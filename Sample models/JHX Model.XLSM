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ysAdmin\Log\Research2\prime8_temp_downloads\model_checkouts\"/>
    </mc:Choice>
  </mc:AlternateContent>
  <xr:revisionPtr revIDLastSave="0" documentId="13_ncr:1_{8E3056E9-0670-4ABF-95AD-77FF220350F6}" xr6:coauthVersionLast="47" xr6:coauthVersionMax="47" xr10:uidLastSave="{00000000-0000-0000-0000-000000000000}"/>
  <bookViews>
    <workbookView xWindow="-100" yWindow="-100" windowWidth="28557" windowHeight="15430" tabRatio="944" activeTab="1" xr2:uid="{885EB275-21A4-4C65-8F25-CB32444AEE6B}"/>
  </bookViews>
  <sheets>
    <sheet name="ImportantDisclosures" sheetId="67" r:id="rId1"/>
    <sheet name="Financial Summary" sheetId="3" r:id="rId2"/>
    <sheet name="Valuation" sheetId="4" r:id="rId3"/>
    <sheet name="BS,CF and P&amp;L" sheetId="7" r:id="rId4"/>
    <sheet name="IndexInformation" sheetId="68" r:id="rId5"/>
    <sheet name="ModPubIndex" sheetId="69" r:id="rId6"/>
  </sheets>
  <externalReferences>
    <externalReference r:id="rId7"/>
  </externalReferences>
  <definedNames>
    <definedName name="africa">#REF!</definedName>
    <definedName name="africaCountries">'[1]MW GEG'!$J$25:$J$26</definedName>
    <definedName name="allRegions">#REF!</definedName>
    <definedName name="americaRegion">#REF!</definedName>
    <definedName name="americas">#REF!</definedName>
    <definedName name="americasStates">#REF!</definedName>
    <definedName name="AppVersion">#REF!</definedName>
    <definedName name="asiaPacific">#REF!</definedName>
    <definedName name="asiaPacificExJapan">#REF!</definedName>
    <definedName name="asiaPacificExJapanCountries">'[1]MW GEG'!$J$32:$J$36</definedName>
    <definedName name="asiaPacificRegion">#REF!</definedName>
    <definedName name="asiaPacificStates">'[1]MW GEG'!$H$28:$H$31</definedName>
    <definedName name="australasia">#REF!</definedName>
    <definedName name="BRICS">#REF!</definedName>
    <definedName name="centralEasternEurope">#REF!</definedName>
    <definedName name="centralEasternEuropeCountries">'[1]MW GEG'!$J$20:$J$21</definedName>
    <definedName name="china">#REF!</definedName>
    <definedName name="consumerDemandExposure">'[1]MW GEG'!$F$63:$F$67</definedName>
    <definedName name="consumersExposure">'[1]MW GEG'!$F$60</definedName>
    <definedName name="countryList">#REF!</definedName>
    <definedName name="developedEuropeExUK">#REF!</definedName>
    <definedName name="developedEuropeExUKCountries">'[1]MW GEG'!$J$14:$J$18</definedName>
    <definedName name="domesticAndForeignExposure">'[1]MW GEG'!$F$54:$F$55</definedName>
    <definedName name="domesticCostExposure">'[1]MW GEG'!$F$76:$F$77</definedName>
    <definedName name="EEMEA">#REF!</definedName>
    <definedName name="endDemandExposure">'[1]MW GEG'!$F$58:$F$60</definedName>
    <definedName name="europe">#REF!</definedName>
    <definedName name="europeRegion">#REF!</definedName>
    <definedName name="europeStates">#REF!</definedName>
    <definedName name="FR_COM_ABBR">" "</definedName>
    <definedName name="FR_COM_AGG">0</definedName>
    <definedName name="FR_COM_NAME_LINK">" "</definedName>
    <definedName name="FR_COU_ABBR">" "</definedName>
    <definedName name="FR_COU_ABBR_LINK">" "</definedName>
    <definedName name="FR_COU_NAME_LINK">" "</definedName>
    <definedName name="FR_END_DATE">" "</definedName>
    <definedName name="FR_LINKS_OVERRUN">TRUE</definedName>
    <definedName name="FR_SHOW_LINK_MARKER">TRUE</definedName>
    <definedName name="FR_START_DATE">" "</definedName>
    <definedName name="FR_USE_DIMFAC">TRUE</definedName>
    <definedName name="FR_USE_LOCAL_CCY">TRUE</definedName>
    <definedName name="IFM">#REF!</definedName>
    <definedName name="IFMYEAR">#REF!</definedName>
    <definedName name="india">#REF!</definedName>
    <definedName name="instructions">#REF!</definedName>
    <definedName name="InterestExpenseCopy">'BS,CF and P&amp;L'!$D$146:$FV$146</definedName>
    <definedName name="InterestExpensePaste">'BS,CF and P&amp;L'!$D$147:$FV$147</definedName>
    <definedName name="InterestIncomeCopy">'BS,CF and P&amp;L'!$D$156:$FV$156</definedName>
    <definedName name="InterestIncomePaste">'BS,CF and P&amp;L'!$D$157:$FV$157</definedName>
    <definedName name="italy">#REF!</definedName>
    <definedName name="japan">#REF!</definedName>
    <definedName name="latinAmerica">#REF!</definedName>
    <definedName name="latinAmericaCountries">'[1]MW GEG'!$J$42:$J$46</definedName>
    <definedName name="Linking_1">'Financial Summary'!$B$2:$AI$82</definedName>
    <definedName name="Linking_10">#REF!</definedName>
    <definedName name="Linking_100">#REF!</definedName>
    <definedName name="Linking_101">#REF!</definedName>
    <definedName name="Linking_102">Valuation!$B$14:$E$22</definedName>
    <definedName name="Linking_103">#REF!</definedName>
    <definedName name="Linking_104">#REF!</definedName>
    <definedName name="Linking_105">#REF!</definedName>
    <definedName name="Linking_106">#REF!</definedName>
    <definedName name="Linking_107">#REF!</definedName>
    <definedName name="Linking_108">#REF!</definedName>
    <definedName name="Linking_109">'BS,CF and P&amp;L'!$FO$345:$FW$351</definedName>
    <definedName name="Linking_11">'Financial Summary'!$AC$100:$AG$108</definedName>
    <definedName name="Linking_110">#REF!</definedName>
    <definedName name="Linking_111">#REF!</definedName>
    <definedName name="Linking_112">#REF!</definedName>
    <definedName name="Linking_113">#REF!</definedName>
    <definedName name="Linking_114">#REF!</definedName>
    <definedName name="Linking_115">#REF!</definedName>
    <definedName name="Linking_116">#REF!</definedName>
    <definedName name="Linking_117">#REF!</definedName>
    <definedName name="Linking_118">#REF!</definedName>
    <definedName name="Linking_119">#REF!</definedName>
    <definedName name="Linking_12">#REF!</definedName>
    <definedName name="Linking_120">#REF!</definedName>
    <definedName name="Linking_121">#REF!</definedName>
    <definedName name="Linking_122">#REF!</definedName>
    <definedName name="Linking_123">'Financial Summary'!$B$4:$AM$75</definedName>
    <definedName name="Linking_124">#REF!</definedName>
    <definedName name="Linking_125">#REF!</definedName>
    <definedName name="Linking_126">#REF!</definedName>
    <definedName name="Linking_127">#REF!</definedName>
    <definedName name="Linking_128">'Financial Summary'!$B$4:$AN$75</definedName>
    <definedName name="Linking_129">#REF!</definedName>
    <definedName name="Linking_13">#REF!</definedName>
    <definedName name="Linking_130">'Financial Summary'!$B$4:$AU$75</definedName>
    <definedName name="Linking_131">#REF!</definedName>
    <definedName name="Linking_132">#REF!</definedName>
    <definedName name="Linking_133">#REF!</definedName>
    <definedName name="Linking_134">#REF!</definedName>
    <definedName name="Linking_135">#REF!</definedName>
    <definedName name="Linking_136">#REF!</definedName>
    <definedName name="Linking_137">#REF!</definedName>
    <definedName name="Linking_138">#REF!</definedName>
    <definedName name="Linking_139">#REF!</definedName>
    <definedName name="Linking_14">#REF!</definedName>
    <definedName name="Linking_140">'Financial Summary'!$B$2:$AU$76</definedName>
    <definedName name="Linking_141">'Financial Summary'!$B$4:$BB$75</definedName>
    <definedName name="Linking_142">'Financial Summary'!$B$4:$BB$81</definedName>
    <definedName name="Linking_143">#REF!</definedName>
    <definedName name="Linking_144">'Financial Summary'!$B$6:$BB$75</definedName>
    <definedName name="Linking_145">'Financial Summary'!$B$5:$BB$76</definedName>
    <definedName name="Linking_146">#REF!</definedName>
    <definedName name="Linking_15">Valuation!$B$48:$W$112</definedName>
    <definedName name="Linking_16">Valuation!$B$48:$W$114</definedName>
    <definedName name="Linking_17">#REF!</definedName>
    <definedName name="Linking_18">#REF!</definedName>
    <definedName name="Linking_19">'Financial Summary'!$B$4:$AJ$82</definedName>
    <definedName name="Linking_2">'Financial Summary'!$B$2:$AG$82</definedName>
    <definedName name="Linking_20">#REF!</definedName>
    <definedName name="Linking_21">#REF!</definedName>
    <definedName name="Linking_22">#REF!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Valuation!$A$40:$W$114</definedName>
    <definedName name="Linking_3">'Financial Summary'!$B$4:$AI$82</definedName>
    <definedName name="Linking_30">#REF!</definedName>
    <definedName name="Linking_31">'Financial Summary'!$B$4:$AJ$84</definedName>
    <definedName name="Linking_32">#REF!</definedName>
    <definedName name="Linking_33">#REF!</definedName>
    <definedName name="Linking_34">#REF!</definedName>
    <definedName name="Linking_35">-2146826265</definedName>
    <definedName name="Linking_36">-2146826265</definedName>
    <definedName name="Linking_37" localSheetId="3">[1]Valuation!#REF!</definedName>
    <definedName name="Linking_37">Valuation!#REF!</definedName>
    <definedName name="Linking_38" localSheetId="3">[1]Valuation!#REF!</definedName>
    <definedName name="Linking_38">Valuation!#REF!</definedName>
    <definedName name="Linking_39" localSheetId="3">[1]Valuation!#REF!</definedName>
    <definedName name="Linking_39">Valuation!#REF!</definedName>
    <definedName name="Linking_4">#REF!</definedName>
    <definedName name="Linking_40">#REF!</definedName>
    <definedName name="Linking_41">'Financial Summary'!$B$4:$AJ$85</definedName>
    <definedName name="Linking_42">#REF!</definedName>
    <definedName name="Linking_43">Valuation!$B$5:$D$10</definedName>
    <definedName name="Linking_44">'Financial Summary'!$B$4:$AK$85</definedName>
    <definedName name="Linking_45">#REF!</definedName>
    <definedName name="Linking_46">#REF!</definedName>
    <definedName name="Linking_47">#REF!</definedName>
    <definedName name="Linking_48">#REF!</definedName>
    <definedName name="Linking_49">#REF!</definedName>
    <definedName name="Linking_5">#REF!</definedName>
    <definedName name="Linking_50">#REF!</definedName>
    <definedName name="Linking_51">#REF!</definedName>
    <definedName name="Linking_52">Valuation!$B$48:$V$112</definedName>
    <definedName name="Linking_53">Valuation!$B$41:$Q$112</definedName>
    <definedName name="Linking_54">#REF!</definedName>
    <definedName name="Linking_55">#REF!</definedName>
    <definedName name="Linking_56">#REF!</definedName>
    <definedName name="Linking_57">#REF!</definedName>
    <definedName name="Linking_58">#REF!</definedName>
    <definedName name="Linking_59">'Financial Summary'!$AC$21:$AK$23</definedName>
    <definedName name="Linking_6">#REF!</definedName>
    <definedName name="Linking_60">#REF!</definedName>
    <definedName name="Linking_61">Valuation!$A$40:$Q$114</definedName>
    <definedName name="Linking_62">#REF!</definedName>
    <definedName name="Linking_63">#REF!</definedName>
    <definedName name="Linking_64">#REF!</definedName>
    <definedName name="Linking_65">#REF!</definedName>
    <definedName name="Linking_66" localSheetId="3">[1]Valuation!#REF!</definedName>
    <definedName name="Linking_66">Valuation!#REF!</definedName>
    <definedName name="Linking_67" localSheetId="3">[1]Valuation!#REF!</definedName>
    <definedName name="Linking_67">Valuation!#REF!</definedName>
    <definedName name="Linking_68">#REF!</definedName>
    <definedName name="Linking_69">#REF!</definedName>
    <definedName name="Linking_7">#REF!</definedName>
    <definedName name="Linking_70">#REF!</definedName>
    <definedName name="Linking_71">#REF!</definedName>
    <definedName name="Linking_72">-2146826265</definedName>
    <definedName name="Linking_73">-2146826265</definedName>
    <definedName name="Linking_74">-2146826265</definedName>
    <definedName name="Linking_75">-2146826265</definedName>
    <definedName name="Linking_76">-2146826265</definedName>
    <definedName name="Linking_77">-2146826265</definedName>
    <definedName name="Linking_78">Valuation!$B$6:$D$10</definedName>
    <definedName name="Linking_79">#REF!</definedName>
    <definedName name="Linking_8">#REF!</definedName>
    <definedName name="Linking_80">#REF!</definedName>
    <definedName name="Linking_81">#REF!</definedName>
    <definedName name="Linking_82">#REF!</definedName>
    <definedName name="Linking_83">'Financial Summary'!$B$4:$AK$75</definedName>
    <definedName name="Linking_84">'Financial Summary'!#REF!</definedName>
    <definedName name="Linking_85">'Financial Summary'!#REF!</definedName>
    <definedName name="Linking_86">'Financial Summary'!#REF!</definedName>
    <definedName name="Linking_87">Valuation!$B$14:$E$19</definedName>
    <definedName name="Linking_88">Valuation!$A$24:$F$38</definedName>
    <definedName name="Linking_89">'Financial Summary'!$B$4:$AL$75</definedName>
    <definedName name="Linking_9">Valuation!$B$5:$D$11</definedName>
    <definedName name="Linking_90">Valuation!$B$14:$E$20</definedName>
    <definedName name="Linking_91">#REF!</definedName>
    <definedName name="Linking_92">#REF!</definedName>
    <definedName name="Linking_93">#REF!</definedName>
    <definedName name="Linking_94">#REF!</definedName>
    <definedName name="Linking_95">#REF!</definedName>
    <definedName name="Linking_96">#REF!</definedName>
    <definedName name="Linking_97">#REF!</definedName>
    <definedName name="Linking_98">#REF!</definedName>
    <definedName name="Linking_99">#REF!</definedName>
    <definedName name="linking_range_2036">#REF!</definedName>
    <definedName name="lstexchcodes">"Drop Down 22"</definedName>
    <definedName name="middleEast">#REF!</definedName>
    <definedName name="middleEastAfrica">#REF!</definedName>
    <definedName name="middleEastAfricaRegion">#REF!</definedName>
    <definedName name="middleEastAfricaStates">'[1]MW GEG'!$H$23:$H$24</definedName>
    <definedName name="northAmerica">#REF!</definedName>
    <definedName name="northAmericaCountries">'[1]MW GEG'!$J$39:$J$40</definedName>
    <definedName name="otherAfrica">#REF!</definedName>
    <definedName name="otherAsiaPacific">#REF!</definedName>
    <definedName name="otherCentralEasternEurope">#REF!</definedName>
    <definedName name="otherDevelopedEurope">#REF!</definedName>
    <definedName name="otherLATAM">#REF!</definedName>
    <definedName name="Per_share_data">'BS,CF and P&amp;L'!$B$244</definedName>
    <definedName name="_xlnm.Print_Area" localSheetId="3">'BS,CF and P&amp;L'!$A$1:$EM$285</definedName>
    <definedName name="_xlnm.Print_Area" localSheetId="1">'Financial Summary'!$B$1:$AU$75</definedName>
    <definedName name="_xlnm.Print_Area" localSheetId="2">Valuation!$A$40:$Q$115</definedName>
    <definedName name="_xlnm.Print_Titles" localSheetId="3">'BS,CF and P&amp;L'!$6:$6</definedName>
    <definedName name="regionalCostExposure">'[1]MW GEG'!$F$70:$F$74</definedName>
    <definedName name="rngBRICS">#REF!,#REF!,#REF!,#REF!</definedName>
    <definedName name="rngContinentWiseValue">#REF!</definedName>
    <definedName name="rngCountryWiseValue">#REF!</definedName>
    <definedName name="rngEEMEA">#REF!,#REF!,#REF!,#REF!</definedName>
    <definedName name="rngStateWiseValue">#REF!</definedName>
    <definedName name="rngTotalRegionExposure">'[1]MW GEG'!$D$10</definedName>
    <definedName name="showVersionCheckMessage">#REF!</definedName>
    <definedName name="socioEconomicRegion">#REF!</definedName>
    <definedName name="socioEconomicRegions">'[1]MW GEG'!$D$48:$D$51</definedName>
    <definedName name="spain">#REF!</definedName>
    <definedName name="TemplateVersion">2</definedName>
    <definedName name="TemplateVersionCSR">2.01</definedName>
    <definedName name="totalConsumerDemandExposure">#REF!</definedName>
    <definedName name="totalDomesticCostExposure">#REF!</definedName>
    <definedName name="totalDomesticRevenueExposure">#REF!</definedName>
    <definedName name="totalEndDemandRevenueExposure">#REF!</definedName>
    <definedName name="totalRegionCostExposure">#REF!</definedName>
    <definedName name="totalRegionRevenueExposure">#REF!</definedName>
    <definedName name="TRNR_0e8e9252b4d348e9a7b2f3aa758ec303_32_2" hidden="1">#REF!</definedName>
    <definedName name="TRNR_1d3a97750cd945dea819b9789a3063ad_29_2" hidden="1">#REF!</definedName>
    <definedName name="TRNR_27a2ea23694c4a2a815d3d4335451779_29_2" hidden="1">#REF!</definedName>
    <definedName name="TRNR_2a869f7e20154255b1b8342f03290e31_23_2" hidden="1">#REF!</definedName>
    <definedName name="TRNR_2adbf545892844519346272b4c20cc15_23_2" hidden="1">#REF!</definedName>
    <definedName name="TRNR_3f9f2b8cf4df4d3285d3a9bb4ef986b9_27_2" hidden="1">#REF!</definedName>
    <definedName name="TRNR_442d849b19bb4e1c99b0c08d1a0413d7_29_2" hidden="1">#REF!</definedName>
    <definedName name="TRNR_456b91a6de79476fb23abd460db14ffe_23_2" hidden="1">#REF!</definedName>
    <definedName name="TRNR_589a6ef02cc44ecb882f891e8050f0e1_29_2" hidden="1">#REF!</definedName>
    <definedName name="TRNR_64c65c6763064697b0ef8ba4069e7f3a_19_2" hidden="1">#REF!</definedName>
    <definedName name="TRNR_6ab2769f0d9f4ed98f5a3255d71f064a_29_2" hidden="1">#REF!</definedName>
    <definedName name="TRNR_704b6cc2e945473f8477869ad790aee7_26_2" hidden="1">#REF!</definedName>
    <definedName name="TRNR_958abf9ddd0b46bcafe4435a49d5db67_23_2" hidden="1">#REF!</definedName>
    <definedName name="TRNR_9c89bee85e994947bd29ebfa3b4f77f5_17_2" hidden="1">#REF!</definedName>
    <definedName name="TRNR_9ceba72656994e8f9d7ffa69a2c924c6_23_2" hidden="1">#REF!</definedName>
    <definedName name="TRNR_c15d287f231a450cae221252283dc667_32_2" hidden="1">#REF!</definedName>
    <definedName name="TRNR_cc8cfa570a4f4459973b0da46ca3bbe4_23_2" hidden="1">#REF!</definedName>
    <definedName name="TRNR_cfba7f86ca49497aa9ee50202f58a9fb_29_2" hidden="1">#REF!</definedName>
    <definedName name="TRNR_d861f46e567e47d4af26506c35133ce4_26_2" hidden="1">#REF!</definedName>
    <definedName name="TRNR_dbffd6a9bb2349dabf2273745f8d6778_32_2" hidden="1">#REF!</definedName>
    <definedName name="TRNR_ebe4fc3cea5e43e3a2f90914e730c0f4_26_2" hidden="1">#REF!</definedName>
    <definedName name="TRNR_eef4aa6dde264084bb76b297a430a52f_26_2" hidden="1">#REF!</definedName>
    <definedName name="TRNR_f4e1927e342941dd9a812cdf6233e4cb_26_2" hidden="1">#REF!</definedName>
    <definedName name="TRNR_fc535dec3abd4871a354909b98c87da8_27_2" hidden="1">#REF!</definedName>
    <definedName name="TRNR_fe86f0faec224f5f9ae7ceb39348b809_23_2" hidden="1">#REF!</definedName>
    <definedName name="TRNR_fe9777db4340439b8b8f51b0476e3b34_29_2" hidden="1">#REF!</definedName>
    <definedName name="uk">'[1]MW GEG'!$H$12</definedName>
    <definedName name="ValidDateTable">#REF!</definedName>
    <definedName name="Version">1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T29" i="7" l="1"/>
  <c r="EQ68" i="7"/>
  <c r="EQ70" i="7" s="1"/>
  <c r="EQ105" i="7" s="1"/>
  <c r="EQ30" i="7"/>
  <c r="EQ67" i="7"/>
  <c r="EQ56" i="7"/>
  <c r="EQ57" i="7" s="1"/>
  <c r="EQ114" i="7"/>
  <c r="EQ116" i="7"/>
  <c r="EQ165" i="7" s="1"/>
  <c r="EQ115" i="7"/>
  <c r="EQ113" i="7"/>
  <c r="EQ110" i="7"/>
  <c r="EQ108" i="7"/>
  <c r="EJ108" i="7"/>
  <c r="EQ206" i="7"/>
  <c r="EQ207" i="7" s="1"/>
  <c r="EQ198" i="7"/>
  <c r="EQ193" i="7"/>
  <c r="EQ187" i="7"/>
  <c r="EQ185" i="7"/>
  <c r="EQ178" i="7"/>
  <c r="EQ174" i="7"/>
  <c r="EQ175" i="7" s="1"/>
  <c r="EQ153" i="7" s="1"/>
  <c r="AW70" i="3"/>
  <c r="EQ6" i="7"/>
  <c r="EQ22" i="7"/>
  <c r="EQ61" i="7"/>
  <c r="EQ64" i="7"/>
  <c r="EQ78" i="7"/>
  <c r="EQ77" i="7" s="1"/>
  <c r="EQ131" i="7"/>
  <c r="EQ132" i="7"/>
  <c r="EQ146" i="7"/>
  <c r="EQ148" i="7" s="1"/>
  <c r="EQ156" i="7"/>
  <c r="EQ158" i="7" s="1"/>
  <c r="EQ168" i="7"/>
  <c r="EQ218" i="7"/>
  <c r="EQ228" i="7"/>
  <c r="EQ229" i="7"/>
  <c r="EQ230" i="7"/>
  <c r="EQ246" i="7"/>
  <c r="EQ247" i="7" s="1"/>
  <c r="EQ253" i="7" s="1"/>
  <c r="EQ255" i="7" s="1"/>
  <c r="EQ267" i="7"/>
  <c r="EQ279" i="7" s="1"/>
  <c r="EQ281" i="7" s="1"/>
  <c r="EQ285" i="7"/>
  <c r="EQ294" i="7"/>
  <c r="EQ297" i="7"/>
  <c r="AM95" i="3"/>
  <c r="AC94" i="3"/>
  <c r="AC95" i="3"/>
  <c r="AC87" i="3"/>
  <c r="AS68" i="3"/>
  <c r="AT68" i="3"/>
  <c r="AC64" i="3"/>
  <c r="AC63" i="3"/>
  <c r="AC62" i="3"/>
  <c r="AC61" i="3"/>
  <c r="BE6" i="3"/>
  <c r="EQ98" i="7" l="1"/>
  <c r="EQ112" i="7"/>
  <c r="EQ164" i="7" s="1"/>
  <c r="EQ29" i="7"/>
  <c r="EQ199" i="7"/>
  <c r="EQ89" i="7"/>
  <c r="EQ208" i="7"/>
  <c r="EQ188" i="7"/>
  <c r="AQ64" i="3"/>
  <c r="AQ63" i="3"/>
  <c r="AW69" i="3"/>
  <c r="EQ167" i="7"/>
  <c r="EQ169" i="7" s="1"/>
  <c r="EQ231" i="7"/>
  <c r="EQ179" i="7"/>
  <c r="EQ134" i="7"/>
  <c r="EQ128" i="7"/>
  <c r="EQ142" i="7"/>
  <c r="EQ248" i="7"/>
  <c r="EQ104" i="7"/>
  <c r="EN61" i="7"/>
  <c r="EO56" i="7"/>
  <c r="EO48" i="7"/>
  <c r="EQ189" i="7" l="1"/>
  <c r="EQ209" i="7" s="1"/>
  <c r="EQ219" i="7" s="1"/>
  <c r="EQ291" i="7"/>
  <c r="AW67" i="3"/>
  <c r="EQ238" i="7"/>
  <c r="EQ237" i="7"/>
  <c r="EQ236" i="7"/>
  <c r="EO57" i="7"/>
  <c r="EP28" i="7"/>
  <c r="EP123" i="7"/>
  <c r="EQ123" i="7" s="1"/>
  <c r="EP122" i="7"/>
  <c r="EQ122" i="7" s="1"/>
  <c r="EP117" i="7"/>
  <c r="EQ117" i="7" s="1"/>
  <c r="EQ118" i="7" s="1"/>
  <c r="EO206" i="7"/>
  <c r="EO198" i="7"/>
  <c r="EP198" i="7" s="1"/>
  <c r="EO193" i="7"/>
  <c r="EP193" i="7" s="1"/>
  <c r="EO187" i="7"/>
  <c r="EO185" i="7"/>
  <c r="EP185" i="7" s="1"/>
  <c r="EO178" i="7"/>
  <c r="EP178" i="7" s="1"/>
  <c r="EO174" i="7"/>
  <c r="EP174" i="7" s="1"/>
  <c r="AP64" i="3"/>
  <c r="EO6" i="7"/>
  <c r="EP6" i="7"/>
  <c r="AO64" i="3"/>
  <c r="EP15" i="7"/>
  <c r="EP19" i="7"/>
  <c r="EP20" i="7"/>
  <c r="EO22" i="7"/>
  <c r="EP43" i="7"/>
  <c r="EP44" i="7"/>
  <c r="EP46" i="7"/>
  <c r="EP52" i="7"/>
  <c r="EP53" i="7"/>
  <c r="EP54" i="7"/>
  <c r="EP55" i="7"/>
  <c r="EO61" i="7"/>
  <c r="EP61" i="7" s="1"/>
  <c r="EP63" i="7"/>
  <c r="EO64" i="7"/>
  <c r="EO77" i="7" s="1"/>
  <c r="EP66" i="7"/>
  <c r="EP68" i="7"/>
  <c r="EO108" i="7"/>
  <c r="EO110" i="7"/>
  <c r="EP112" i="7"/>
  <c r="EO113" i="7"/>
  <c r="EO116" i="7"/>
  <c r="EO165" i="7" s="1"/>
  <c r="EO120" i="7"/>
  <c r="EO121" i="7"/>
  <c r="EO125" i="7"/>
  <c r="EP128" i="7"/>
  <c r="EO131" i="7"/>
  <c r="EO132" i="7"/>
  <c r="EO142" i="7" s="1"/>
  <c r="EO146" i="7"/>
  <c r="EO156" i="7"/>
  <c r="EO158" i="7" s="1"/>
  <c r="EP165" i="7"/>
  <c r="EO168" i="7"/>
  <c r="EP168" i="7" s="1"/>
  <c r="EP173" i="7"/>
  <c r="EP131" i="7" s="1"/>
  <c r="EP176" i="7"/>
  <c r="EP177" i="7"/>
  <c r="EP181" i="7"/>
  <c r="EP182" i="7"/>
  <c r="EP183" i="7"/>
  <c r="EP184" i="7"/>
  <c r="EP186" i="7"/>
  <c r="EP187" i="7"/>
  <c r="EP191" i="7"/>
  <c r="EP192" i="7"/>
  <c r="EP194" i="7"/>
  <c r="EP195" i="7"/>
  <c r="EP196" i="7"/>
  <c r="EP197" i="7"/>
  <c r="EP201" i="7"/>
  <c r="EP202" i="7"/>
  <c r="EP203" i="7"/>
  <c r="EP204" i="7"/>
  <c r="EP205" i="7"/>
  <c r="EP206" i="7"/>
  <c r="EO207" i="7"/>
  <c r="EP211" i="7"/>
  <c r="EQ295" i="7" s="1"/>
  <c r="EP212" i="7"/>
  <c r="EP213" i="7"/>
  <c r="EP215" i="7"/>
  <c r="EO218" i="7"/>
  <c r="EO228" i="7"/>
  <c r="EP228" i="7" s="1"/>
  <c r="EO229" i="7"/>
  <c r="EP229" i="7" s="1"/>
  <c r="EO230" i="7"/>
  <c r="EP230" i="7" s="1"/>
  <c r="EO246" i="7"/>
  <c r="EP246" i="7"/>
  <c r="EP247" i="7" s="1"/>
  <c r="EP253" i="7" s="1"/>
  <c r="EO249" i="7"/>
  <c r="EO250" i="7"/>
  <c r="EO251" i="7"/>
  <c r="EO253" i="7"/>
  <c r="EO255" i="7" s="1"/>
  <c r="EP265" i="7"/>
  <c r="EP267" i="7" s="1"/>
  <c r="EO267" i="7"/>
  <c r="EO281" i="7"/>
  <c r="EP283" i="7"/>
  <c r="EP285" i="7" s="1"/>
  <c r="EO285" i="7"/>
  <c r="EO295" i="7"/>
  <c r="EP312" i="7"/>
  <c r="EP313" i="7"/>
  <c r="EP22" i="7" s="1"/>
  <c r="EO117" i="7" l="1"/>
  <c r="EP118" i="7"/>
  <c r="EQ88" i="7"/>
  <c r="AQ61" i="3"/>
  <c r="AQ62" i="3"/>
  <c r="EQ124" i="7"/>
  <c r="EQ127" i="7" s="1"/>
  <c r="EQ126" i="7" s="1"/>
  <c r="ES126" i="7" s="1"/>
  <c r="EP132" i="7"/>
  <c r="EP134" i="7" s="1"/>
  <c r="EQ135" i="7" s="1"/>
  <c r="EP218" i="7"/>
  <c r="EO89" i="7"/>
  <c r="AO61" i="3"/>
  <c r="EO175" i="7"/>
  <c r="EO179" i="7" s="1"/>
  <c r="EO29" i="7"/>
  <c r="EP29" i="7" s="1"/>
  <c r="EO65" i="7"/>
  <c r="EO67" i="7" s="1"/>
  <c r="EO21" i="7"/>
  <c r="EP207" i="7"/>
  <c r="EP89" i="7"/>
  <c r="EO134" i="7"/>
  <c r="EO238" i="7" s="1"/>
  <c r="EO231" i="7"/>
  <c r="EP164" i="7"/>
  <c r="EP231" i="7"/>
  <c r="EQ232" i="7" s="1"/>
  <c r="EQ106" i="7" s="1"/>
  <c r="EP188" i="7"/>
  <c r="EP199" i="7"/>
  <c r="EO297" i="7"/>
  <c r="EO199" i="7"/>
  <c r="EO208" i="7" s="1"/>
  <c r="EP124" i="7"/>
  <c r="EO188" i="7"/>
  <c r="EO148" i="7"/>
  <c r="ES66" i="7"/>
  <c r="FC96" i="7"/>
  <c r="FE96" i="7" s="1"/>
  <c r="FF96" i="7" s="1"/>
  <c r="FJ96" i="7"/>
  <c r="FL96" i="7" s="1"/>
  <c r="FM96" i="7" s="1"/>
  <c r="FQ96" i="7"/>
  <c r="FS96" i="7" s="1"/>
  <c r="FT96" i="7" s="1"/>
  <c r="EP127" i="7" l="1"/>
  <c r="EP142" i="7"/>
  <c r="AP61" i="3"/>
  <c r="AW68" i="3"/>
  <c r="EQ16" i="7"/>
  <c r="EO237" i="7"/>
  <c r="EO153" i="7"/>
  <c r="EP175" i="7"/>
  <c r="EO69" i="7"/>
  <c r="EO189" i="7"/>
  <c r="EO209" i="7" s="1"/>
  <c r="EO219" i="7" s="1"/>
  <c r="EP30" i="7"/>
  <c r="EP167" i="7" s="1"/>
  <c r="EP169" i="7" s="1"/>
  <c r="AO62" i="3"/>
  <c r="EP208" i="7"/>
  <c r="EO104" i="7"/>
  <c r="EO93" i="7"/>
  <c r="EO95" i="7" s="1"/>
  <c r="EO291" i="7"/>
  <c r="EO167" i="7"/>
  <c r="EO169" i="7" s="1"/>
  <c r="EO137" i="7"/>
  <c r="EO315" i="7"/>
  <c r="EO236" i="7"/>
  <c r="AO63" i="3"/>
  <c r="AV70" i="3"/>
  <c r="EO88" i="7"/>
  <c r="EP236" i="7"/>
  <c r="EP237" i="7"/>
  <c r="EP238" i="7"/>
  <c r="AP62" i="3" l="1"/>
  <c r="EQ17" i="7"/>
  <c r="AQ65" i="3"/>
  <c r="EP153" i="7"/>
  <c r="EQ152" i="7"/>
  <c r="EQ154" i="7" s="1"/>
  <c r="EQ155" i="7" s="1"/>
  <c r="EP179" i="7"/>
  <c r="EP189" i="7" s="1"/>
  <c r="EP209" i="7" s="1"/>
  <c r="EP219" i="7" s="1"/>
  <c r="EO16" i="7"/>
  <c r="AO65" i="3" s="1"/>
  <c r="EP291" i="7"/>
  <c r="EP69" i="7"/>
  <c r="EP70" i="7" s="1"/>
  <c r="EP105" i="7" s="1"/>
  <c r="EO70" i="7"/>
  <c r="EO99" i="7" s="1"/>
  <c r="EO78" i="7"/>
  <c r="EO98" i="7"/>
  <c r="EO96" i="7" s="1"/>
  <c r="EO97" i="7" s="1"/>
  <c r="EP21" i="7"/>
  <c r="EO35" i="7"/>
  <c r="EO49" i="7" l="1"/>
  <c r="EO17" i="7"/>
  <c r="EO227" i="7" s="1"/>
  <c r="EQ233" i="7"/>
  <c r="EQ222" i="7"/>
  <c r="EQ311" i="7"/>
  <c r="EQ224" i="7"/>
  <c r="EQ225" i="7"/>
  <c r="EQ227" i="7"/>
  <c r="EQ223" i="7"/>
  <c r="EQ226" i="7"/>
  <c r="EO105" i="7"/>
  <c r="EO72" i="7"/>
  <c r="EO242" i="7" s="1"/>
  <c r="AV68" i="3"/>
  <c r="EO311" i="7"/>
  <c r="EO314" i="7" s="1"/>
  <c r="EO225" i="7"/>
  <c r="EO224" i="7"/>
  <c r="EO233" i="7"/>
  <c r="EO58" i="7"/>
  <c r="EO90" i="7" s="1"/>
  <c r="EO223" i="7"/>
  <c r="B34" i="7"/>
  <c r="B32" i="7"/>
  <c r="B31" i="7"/>
  <c r="EO222" i="7" l="1"/>
  <c r="EO73" i="7"/>
  <c r="EO226" i="7"/>
  <c r="EO79" i="7"/>
  <c r="B28" i="7"/>
  <c r="B45" i="7" s="1"/>
  <c r="B25" i="7"/>
  <c r="B40" i="7" s="1"/>
  <c r="B24" i="7"/>
  <c r="B39" i="7" s="1"/>
  <c r="EO76" i="7" l="1"/>
  <c r="EO258" i="7" s="1"/>
  <c r="EO261" i="7" s="1"/>
  <c r="EO257" i="7"/>
  <c r="EO260" i="7" s="1"/>
  <c r="EO296" i="7"/>
  <c r="EO298" i="7" s="1"/>
  <c r="EO272" i="7" l="1"/>
  <c r="EO273" i="7"/>
  <c r="EO271" i="7"/>
  <c r="AC70" i="3" l="1"/>
  <c r="AC69" i="3"/>
  <c r="AC68" i="3"/>
  <c r="AC67" i="3"/>
  <c r="AC90" i="3" l="1"/>
  <c r="AC83" i="3"/>
  <c r="AC91" i="3"/>
  <c r="AC84" i="3"/>
  <c r="AC85" i="3"/>
  <c r="AC92" i="3"/>
  <c r="AC86" i="3"/>
  <c r="AC93" i="3"/>
  <c r="FW251" i="7" l="1"/>
  <c r="EN62" i="7"/>
  <c r="EP62" i="7" s="1"/>
  <c r="EN60" i="7"/>
  <c r="EP60" i="7" s="1"/>
  <c r="EN56" i="7"/>
  <c r="EP56" i="7" s="1"/>
  <c r="ES52" i="7"/>
  <c r="EW52" i="7"/>
  <c r="EZ52" i="7"/>
  <c r="FD52" i="7"/>
  <c r="FG52" i="7"/>
  <c r="FK52" i="7"/>
  <c r="FN52" i="7"/>
  <c r="FR52" i="7"/>
  <c r="FU52" i="7"/>
  <c r="ES53" i="7"/>
  <c r="EW53" i="7"/>
  <c r="EZ53" i="7"/>
  <c r="FD53" i="7"/>
  <c r="FG53" i="7"/>
  <c r="FK53" i="7"/>
  <c r="FN53" i="7"/>
  <c r="FR53" i="7"/>
  <c r="FU53" i="7"/>
  <c r="ES54" i="7"/>
  <c r="EW54" i="7"/>
  <c r="EZ54" i="7"/>
  <c r="FD54" i="7"/>
  <c r="FG54" i="7"/>
  <c r="FK54" i="7"/>
  <c r="FN54" i="7"/>
  <c r="FR54" i="7"/>
  <c r="FU54" i="7"/>
  <c r="ES55" i="7"/>
  <c r="EW55" i="7"/>
  <c r="EZ55" i="7"/>
  <c r="FD55" i="7"/>
  <c r="FG55" i="7"/>
  <c r="FK55" i="7"/>
  <c r="FN55" i="7"/>
  <c r="FR55" i="7"/>
  <c r="FU55" i="7"/>
  <c r="ES56" i="7"/>
  <c r="EW56" i="7"/>
  <c r="EZ56" i="7"/>
  <c r="FD56" i="7"/>
  <c r="FG56" i="7"/>
  <c r="FK56" i="7"/>
  <c r="FN56" i="7"/>
  <c r="FR56" i="7"/>
  <c r="FU56" i="7"/>
  <c r="ER60" i="7"/>
  <c r="ES60" i="7"/>
  <c r="ET60" i="7"/>
  <c r="EU60" i="7"/>
  <c r="EV60" i="7"/>
  <c r="EW60" i="7"/>
  <c r="EX60" i="7"/>
  <c r="EY60" i="7"/>
  <c r="EZ60" i="7"/>
  <c r="FA60" i="7"/>
  <c r="FB60" i="7"/>
  <c r="FC60" i="7"/>
  <c r="FD60" i="7"/>
  <c r="FE60" i="7"/>
  <c r="FF60" i="7"/>
  <c r="FG60" i="7"/>
  <c r="FH60" i="7"/>
  <c r="FI60" i="7"/>
  <c r="FJ60" i="7"/>
  <c r="FK60" i="7"/>
  <c r="FL60" i="7"/>
  <c r="FM60" i="7"/>
  <c r="FN60" i="7"/>
  <c r="FO60" i="7"/>
  <c r="FP60" i="7"/>
  <c r="FQ60" i="7"/>
  <c r="FR60" i="7"/>
  <c r="FS60" i="7"/>
  <c r="FT60" i="7"/>
  <c r="FU60" i="7"/>
  <c r="FV60" i="7"/>
  <c r="EV62" i="7"/>
  <c r="EW62" i="7" s="1"/>
  <c r="EN70" i="7"/>
  <c r="EN105" i="7" s="1"/>
  <c r="ET108" i="7"/>
  <c r="EN115" i="7"/>
  <c r="EO115" i="7" s="1"/>
  <c r="EN122" i="7"/>
  <c r="EO122" i="7" s="1"/>
  <c r="EN123" i="7"/>
  <c r="EO123" i="7" s="1"/>
  <c r="EN112" i="7"/>
  <c r="EO112" i="7" s="1"/>
  <c r="EO164" i="7" s="1"/>
  <c r="EN206" i="7"/>
  <c r="EN207" i="7" s="1"/>
  <c r="EN198" i="7"/>
  <c r="EN193" i="7"/>
  <c r="EN187" i="7"/>
  <c r="EN185" i="7"/>
  <c r="EN178" i="7"/>
  <c r="EN174" i="7"/>
  <c r="EN175" i="7" s="1"/>
  <c r="EO152" i="7" s="1"/>
  <c r="EO154" i="7" s="1"/>
  <c r="EO155" i="7" s="1"/>
  <c r="EN6" i="7"/>
  <c r="EN22" i="7"/>
  <c r="EN78" i="7"/>
  <c r="EP78" i="7" s="1"/>
  <c r="EN131" i="7"/>
  <c r="EN132" i="7"/>
  <c r="EN142" i="7" s="1"/>
  <c r="EN156" i="7"/>
  <c r="EP156" i="7" s="1"/>
  <c r="EP158" i="7" s="1"/>
  <c r="EN165" i="7"/>
  <c r="EN168" i="7"/>
  <c r="EN218" i="7"/>
  <c r="EN228" i="7"/>
  <c r="EN229" i="7"/>
  <c r="EN230" i="7"/>
  <c r="EN246" i="7"/>
  <c r="EN247" i="7" s="1"/>
  <c r="EN267" i="7"/>
  <c r="EN285" i="7"/>
  <c r="EN295" i="7"/>
  <c r="EN297" i="7"/>
  <c r="EO124" i="7" l="1"/>
  <c r="EN64" i="7"/>
  <c r="EP64" i="7" s="1"/>
  <c r="EP65" i="7" s="1"/>
  <c r="EP104" i="7" s="1"/>
  <c r="ER62" i="7"/>
  <c r="EN89" i="7"/>
  <c r="EN153" i="7"/>
  <c r="FA54" i="7"/>
  <c r="FA52" i="7"/>
  <c r="FV56" i="7"/>
  <c r="FV55" i="7"/>
  <c r="FV54" i="7"/>
  <c r="FA53" i="7"/>
  <c r="FH52" i="7"/>
  <c r="FA55" i="7"/>
  <c r="EN199" i="7"/>
  <c r="FO53" i="7"/>
  <c r="ET52" i="7"/>
  <c r="FO54" i="7"/>
  <c r="FO55" i="7"/>
  <c r="FH53" i="7"/>
  <c r="EN124" i="7"/>
  <c r="FA56" i="7"/>
  <c r="FO52" i="7"/>
  <c r="FH55" i="7"/>
  <c r="FV52" i="7"/>
  <c r="FH56" i="7"/>
  <c r="FV53" i="7"/>
  <c r="EN188" i="7"/>
  <c r="FO56" i="7"/>
  <c r="ET56" i="7"/>
  <c r="ET54" i="7"/>
  <c r="ET55" i="7"/>
  <c r="ET53" i="7"/>
  <c r="FH54" i="7"/>
  <c r="EX62" i="7"/>
  <c r="EN98" i="7"/>
  <c r="EN164" i="7"/>
  <c r="EN146" i="7"/>
  <c r="EN114" i="7"/>
  <c r="EN231" i="7"/>
  <c r="EO232" i="7" s="1"/>
  <c r="EO106" i="7" s="1"/>
  <c r="EN30" i="7"/>
  <c r="EN134" i="7"/>
  <c r="EN179" i="7"/>
  <c r="EN158" i="7"/>
  <c r="EN248" i="7"/>
  <c r="EN253" i="7"/>
  <c r="EN255" i="7" s="1"/>
  <c r="EP255" i="7" s="1"/>
  <c r="EN77" i="7" l="1"/>
  <c r="EP77" i="7" s="1"/>
  <c r="EN148" i="7"/>
  <c r="EP146" i="7"/>
  <c r="EP148" i="7" s="1"/>
  <c r="EN128" i="7"/>
  <c r="EO114" i="7"/>
  <c r="EN48" i="7"/>
  <c r="EN65" i="7"/>
  <c r="EN104" i="7" s="1"/>
  <c r="AV69" i="3"/>
  <c r="EN238" i="7"/>
  <c r="EO135" i="7"/>
  <c r="AT67" i="3"/>
  <c r="AT69" i="3"/>
  <c r="AT70" i="3"/>
  <c r="EN208" i="7"/>
  <c r="EN167" i="7"/>
  <c r="EN169" i="7" s="1"/>
  <c r="EN236" i="7"/>
  <c r="EO241" i="7" s="1"/>
  <c r="ES62" i="7"/>
  <c r="EN189" i="7"/>
  <c r="EO240" i="7" s="1"/>
  <c r="EN237" i="7"/>
  <c r="EY62" i="7"/>
  <c r="EN291" i="7"/>
  <c r="EN21" i="7"/>
  <c r="EN118" i="7"/>
  <c r="EN127" i="7" s="1"/>
  <c r="EN126" i="7" s="1"/>
  <c r="EN67" i="7" l="1"/>
  <c r="EN88" i="7"/>
  <c r="EN16" i="7"/>
  <c r="EN17" i="7" s="1"/>
  <c r="EO128" i="7"/>
  <c r="EO118" i="7"/>
  <c r="EO127" i="7" s="1"/>
  <c r="EO126" i="7" s="1"/>
  <c r="EP126" i="7" s="1"/>
  <c r="ET126" i="7" s="1"/>
  <c r="EN209" i="7"/>
  <c r="EN219" i="7" s="1"/>
  <c r="EN57" i="7"/>
  <c r="ET62" i="7"/>
  <c r="EN72" i="7"/>
  <c r="EN73" i="7" s="1"/>
  <c r="EN76" i="7" s="1"/>
  <c r="FB62" i="7"/>
  <c r="EZ62" i="7"/>
  <c r="FA62" i="7" s="1"/>
  <c r="EN137" i="7"/>
  <c r="EN36" i="7"/>
  <c r="EP36" i="7" s="1"/>
  <c r="EN315" i="7"/>
  <c r="AQ68" i="3"/>
  <c r="AQ84" i="3" s="1"/>
  <c r="AR68" i="3"/>
  <c r="AP68" i="3" l="1"/>
  <c r="AP84" i="3" s="1"/>
  <c r="AP63" i="3"/>
  <c r="EP16" i="7"/>
  <c r="AP65" i="3" s="1"/>
  <c r="EP48" i="7"/>
  <c r="EP57" i="7" s="1"/>
  <c r="EP88" i="7"/>
  <c r="EN49" i="7"/>
  <c r="AO68" i="3"/>
  <c r="AO84" i="3" s="1"/>
  <c r="EP138" i="7"/>
  <c r="EP103" i="7"/>
  <c r="EN138" i="7"/>
  <c r="EN35" i="7"/>
  <c r="FC62" i="7"/>
  <c r="EN91" i="7"/>
  <c r="EN103" i="7"/>
  <c r="EN290" i="7" s="1"/>
  <c r="EN93" i="7"/>
  <c r="EN95" i="7" s="1"/>
  <c r="EN96" i="7" s="1"/>
  <c r="EN97" i="7" s="1"/>
  <c r="EP97" i="7" s="1"/>
  <c r="EN225" i="7"/>
  <c r="EN222" i="7"/>
  <c r="EN223" i="7"/>
  <c r="EN226" i="7"/>
  <c r="EN233" i="7"/>
  <c r="EN227" i="7"/>
  <c r="EN311" i="7"/>
  <c r="EN314" i="7" s="1"/>
  <c r="EN224" i="7"/>
  <c r="EN58" i="7"/>
  <c r="EN90" i="7" s="1"/>
  <c r="EP17" i="7" l="1"/>
  <c r="EP91" i="7" s="1"/>
  <c r="EP35" i="7"/>
  <c r="AV67" i="3"/>
  <c r="EP49" i="7"/>
  <c r="EP315" i="7"/>
  <c r="EP137" i="7"/>
  <c r="EP67" i="7"/>
  <c r="EP58" i="7"/>
  <c r="EP90" i="7" s="1"/>
  <c r="EP290" i="7"/>
  <c r="EP233" i="7"/>
  <c r="EP225" i="7"/>
  <c r="EP227" i="7"/>
  <c r="EP223" i="7"/>
  <c r="EP311" i="7"/>
  <c r="EP222" i="7"/>
  <c r="EP224" i="7"/>
  <c r="EP98" i="7"/>
  <c r="EN79" i="7"/>
  <c r="EN257" i="7" s="1"/>
  <c r="EN260" i="7" s="1"/>
  <c r="FE62" i="7"/>
  <c r="EN242" i="7"/>
  <c r="FD62" i="7"/>
  <c r="EN99" i="7"/>
  <c r="EN258" i="7"/>
  <c r="EN261" i="7" s="1"/>
  <c r="EP226" i="7" l="1"/>
  <c r="EP314" i="7"/>
  <c r="EP72" i="7"/>
  <c r="EP93" i="7"/>
  <c r="EP95" i="7" s="1"/>
  <c r="EN296" i="7"/>
  <c r="EN298" i="7" s="1"/>
  <c r="FF62" i="7"/>
  <c r="FG62" i="7" s="1"/>
  <c r="FH62" i="7" s="1"/>
  <c r="EN271" i="7"/>
  <c r="EN272" i="7"/>
  <c r="EN273" i="7"/>
  <c r="EP99" i="7" l="1"/>
  <c r="EP96" i="7"/>
  <c r="EP73" i="7"/>
  <c r="EP76" i="7" s="1"/>
  <c r="EP258" i="7" s="1"/>
  <c r="EP261" i="7" s="1"/>
  <c r="EP242" i="7"/>
  <c r="EP79" i="7"/>
  <c r="EP257" i="7" s="1"/>
  <c r="EP260" i="7" s="1"/>
  <c r="FI62" i="7"/>
  <c r="EP271" i="7" l="1"/>
  <c r="EP272" i="7"/>
  <c r="EP273" i="7"/>
  <c r="FJ62" i="7"/>
  <c r="FK62" i="7" s="1"/>
  <c r="FL62" i="7" l="1"/>
  <c r="FM62" i="7" l="1"/>
  <c r="FN62" i="7" s="1"/>
  <c r="FO62" i="7" s="1"/>
  <c r="FP62" i="7" l="1"/>
  <c r="FQ62" i="7" l="1"/>
  <c r="FR62" i="7" s="1"/>
  <c r="FS62" i="7" l="1"/>
  <c r="EM60" i="7"/>
  <c r="EM55" i="7"/>
  <c r="EM77" i="7" s="1"/>
  <c r="EM66" i="7"/>
  <c r="EF29" i="7"/>
  <c r="EM206" i="7"/>
  <c r="EM198" i="7"/>
  <c r="EM193" i="7"/>
  <c r="EL193" i="7" s="1"/>
  <c r="EK193" i="7" s="1"/>
  <c r="EM187" i="7"/>
  <c r="EM185" i="7"/>
  <c r="EL185" i="7" s="1"/>
  <c r="EK185" i="7" s="1"/>
  <c r="EM178" i="7"/>
  <c r="EL178" i="7" s="1"/>
  <c r="EK178" i="7" s="1"/>
  <c r="EM174" i="7"/>
  <c r="EL174" i="7" s="1"/>
  <c r="EK174" i="7" s="1"/>
  <c r="EM123" i="7"/>
  <c r="EM124" i="7" s="1"/>
  <c r="EM117" i="7"/>
  <c r="EK6" i="7"/>
  <c r="EL6" i="7"/>
  <c r="EM6" i="7"/>
  <c r="EM22" i="7"/>
  <c r="EM61" i="7"/>
  <c r="EM64" i="7"/>
  <c r="EM70" i="7"/>
  <c r="EM105" i="7" s="1"/>
  <c r="EM98" i="7"/>
  <c r="EL108" i="7"/>
  <c r="EL110" i="7"/>
  <c r="EM112" i="7"/>
  <c r="EM164" i="7" s="1"/>
  <c r="EL113" i="7"/>
  <c r="EL114" i="7"/>
  <c r="EL115" i="7"/>
  <c r="EK115" i="7" s="1"/>
  <c r="EL116" i="7"/>
  <c r="EL165" i="7" s="1"/>
  <c r="EL120" i="7"/>
  <c r="EL121" i="7"/>
  <c r="EL122" i="7"/>
  <c r="EL125" i="7"/>
  <c r="EM128" i="7"/>
  <c r="EM131" i="7"/>
  <c r="EM132" i="7"/>
  <c r="EM165" i="7"/>
  <c r="EM168" i="7"/>
  <c r="EL173" i="7"/>
  <c r="EL176" i="7"/>
  <c r="EL177" i="7"/>
  <c r="EK177" i="7" s="1"/>
  <c r="EK228" i="7" s="1"/>
  <c r="EL181" i="7"/>
  <c r="EK181" i="7" s="1"/>
  <c r="EL182" i="7"/>
  <c r="EK182" i="7" s="1"/>
  <c r="EL183" i="7"/>
  <c r="EK183" i="7" s="1"/>
  <c r="EL184" i="7"/>
  <c r="EL186" i="7"/>
  <c r="EK186" i="7" s="1"/>
  <c r="EL191" i="7"/>
  <c r="EL192" i="7"/>
  <c r="EL194" i="7"/>
  <c r="EK194" i="7" s="1"/>
  <c r="EL195" i="7"/>
  <c r="EK195" i="7" s="1"/>
  <c r="EL196" i="7"/>
  <c r="EK196" i="7" s="1"/>
  <c r="EL197" i="7"/>
  <c r="EK197" i="7" s="1"/>
  <c r="EL201" i="7"/>
  <c r="EK201" i="7" s="1"/>
  <c r="EL202" i="7"/>
  <c r="EL203" i="7"/>
  <c r="EK203" i="7" s="1"/>
  <c r="EL204" i="7"/>
  <c r="EK204" i="7" s="1"/>
  <c r="EL205" i="7"/>
  <c r="EK205" i="7" s="1"/>
  <c r="EL211" i="7"/>
  <c r="EK211" i="7" s="1"/>
  <c r="EL212" i="7"/>
  <c r="EK212" i="7" s="1"/>
  <c r="EL213" i="7"/>
  <c r="EK213" i="7" s="1"/>
  <c r="EL215" i="7"/>
  <c r="EM218" i="7"/>
  <c r="EK246" i="7"/>
  <c r="EL246" i="7"/>
  <c r="EM246" i="7"/>
  <c r="EM247" i="7" s="1"/>
  <c r="EM253" i="7" s="1"/>
  <c r="EK249" i="7"/>
  <c r="EN279" i="7" s="1"/>
  <c r="EL249" i="7"/>
  <c r="EK250" i="7"/>
  <c r="EL250" i="7"/>
  <c r="EK251" i="7"/>
  <c r="EL251" i="7"/>
  <c r="EK267" i="7"/>
  <c r="EL267" i="7"/>
  <c r="EM295" i="7"/>
  <c r="EM297" i="7"/>
  <c r="EN281" i="7" l="1"/>
  <c r="EP279" i="7"/>
  <c r="EP281" i="7" s="1"/>
  <c r="EM65" i="7"/>
  <c r="EM104" i="7" s="1"/>
  <c r="FT62" i="7"/>
  <c r="FU62" i="7" s="1"/>
  <c r="FV62" i="7" s="1"/>
  <c r="EK247" i="7"/>
  <c r="EK253" i="7" s="1"/>
  <c r="EK255" i="7" s="1"/>
  <c r="EL132" i="7"/>
  <c r="EL142" i="7" s="1"/>
  <c r="EM134" i="7"/>
  <c r="EP135" i="7" s="1"/>
  <c r="AS69" i="3"/>
  <c r="EL247" i="7"/>
  <c r="EL253" i="7" s="1"/>
  <c r="EM43" i="7"/>
  <c r="EM48" i="7" s="1"/>
  <c r="EM57" i="7" s="1"/>
  <c r="EM89" i="7"/>
  <c r="AS70" i="3"/>
  <c r="AS67" i="3"/>
  <c r="EL218" i="7"/>
  <c r="EK192" i="7"/>
  <c r="EK132" i="7" s="1"/>
  <c r="EK142" i="7" s="1"/>
  <c r="EK295" i="7"/>
  <c r="EL168" i="7"/>
  <c r="EK184" i="7"/>
  <c r="EK168" i="7" s="1"/>
  <c r="EM207" i="7"/>
  <c r="EL206" i="7"/>
  <c r="EK206" i="7" s="1"/>
  <c r="EL131" i="7"/>
  <c r="EK173" i="7"/>
  <c r="EK191" i="7"/>
  <c r="EL228" i="7"/>
  <c r="EM188" i="7"/>
  <c r="EL187" i="7"/>
  <c r="EK187" i="7" s="1"/>
  <c r="EK176" i="7"/>
  <c r="EK215" i="7"/>
  <c r="EK218" i="7" s="1"/>
  <c r="EM199" i="7"/>
  <c r="EL198" i="7"/>
  <c r="EK198" i="7" s="1"/>
  <c r="EK116" i="7"/>
  <c r="EK165" i="7" s="1"/>
  <c r="EK202" i="7"/>
  <c r="EM175" i="7"/>
  <c r="EM142" i="7"/>
  <c r="EM118" i="7"/>
  <c r="D71" i="4"/>
  <c r="EJ156" i="7"/>
  <c r="EN152" i="7" l="1"/>
  <c r="EN154" i="7" s="1"/>
  <c r="EN155" i="7" s="1"/>
  <c r="EU155" i="7" s="1"/>
  <c r="EP152" i="7"/>
  <c r="EP154" i="7" s="1"/>
  <c r="EP155" i="7" s="1"/>
  <c r="EM30" i="7"/>
  <c r="EM21" i="7" s="1"/>
  <c r="EM238" i="7"/>
  <c r="EN135" i="7"/>
  <c r="EL134" i="7"/>
  <c r="EL238" i="7" s="1"/>
  <c r="EM237" i="7"/>
  <c r="EM236" i="7"/>
  <c r="EK207" i="7"/>
  <c r="EL207" i="7"/>
  <c r="EM16" i="7"/>
  <c r="EM315" i="7"/>
  <c r="EM88" i="7"/>
  <c r="EL188" i="7"/>
  <c r="EK188" i="7"/>
  <c r="EM127" i="7"/>
  <c r="EM67" i="7"/>
  <c r="EM93" i="7" s="1"/>
  <c r="EM95" i="7" s="1"/>
  <c r="EM137" i="7"/>
  <c r="EM228" i="7"/>
  <c r="EK229" i="7"/>
  <c r="EK131" i="7"/>
  <c r="EK134" i="7" s="1"/>
  <c r="EK199" i="7"/>
  <c r="EK230" i="7"/>
  <c r="EL199" i="7"/>
  <c r="EL175" i="7"/>
  <c r="EM153" i="7"/>
  <c r="EM179" i="7"/>
  <c r="EM189" i="7" s="1"/>
  <c r="EM208" i="7"/>
  <c r="EJ68" i="7"/>
  <c r="EJ69" i="7" s="1"/>
  <c r="EJ64" i="7"/>
  <c r="EJ52" i="7"/>
  <c r="EG53" i="7"/>
  <c r="EJ29" i="7"/>
  <c r="EJ122" i="7"/>
  <c r="EK122" i="7" s="1"/>
  <c r="EJ121" i="7"/>
  <c r="EK121" i="7" s="1"/>
  <c r="EJ113" i="7"/>
  <c r="EK113" i="7" s="1"/>
  <c r="EJ114" i="7"/>
  <c r="EK114" i="7" s="1"/>
  <c r="EJ110" i="7"/>
  <c r="EK110" i="7" s="1"/>
  <c r="EK108" i="7"/>
  <c r="EJ206" i="7"/>
  <c r="EJ207" i="7" s="1"/>
  <c r="EJ198" i="7"/>
  <c r="EJ193" i="7"/>
  <c r="EJ187" i="7"/>
  <c r="EJ185" i="7"/>
  <c r="EJ178" i="7"/>
  <c r="EJ174" i="7"/>
  <c r="EJ175" i="7" s="1"/>
  <c r="EK152" i="7" s="1"/>
  <c r="EJ6" i="7"/>
  <c r="EQ83" i="7"/>
  <c r="EJ22" i="7"/>
  <c r="EJ61" i="7"/>
  <c r="EJ120" i="7"/>
  <c r="EJ131" i="7"/>
  <c r="EJ132" i="7"/>
  <c r="EJ142" i="7" s="1"/>
  <c r="EK141" i="7" s="1"/>
  <c r="EK144" i="7" s="1"/>
  <c r="EJ146" i="7"/>
  <c r="EJ165" i="7"/>
  <c r="EJ168" i="7"/>
  <c r="EJ218" i="7"/>
  <c r="EJ228" i="7"/>
  <c r="EJ229" i="7"/>
  <c r="EJ230" i="7"/>
  <c r="EJ246" i="7"/>
  <c r="EJ247" i="7" s="1"/>
  <c r="EJ253" i="7" s="1"/>
  <c r="EJ255" i="7" s="1"/>
  <c r="EL255" i="7" s="1"/>
  <c r="EJ267" i="7"/>
  <c r="EQ268" i="7" s="1"/>
  <c r="EJ279" i="7"/>
  <c r="EJ285" i="7"/>
  <c r="EJ295" i="7"/>
  <c r="AP70" i="3" l="1"/>
  <c r="AP86" i="3" s="1"/>
  <c r="EN241" i="7"/>
  <c r="EP241" i="7"/>
  <c r="EN240" i="7"/>
  <c r="EP240" i="7"/>
  <c r="AP69" i="3"/>
  <c r="AP85" i="3" s="1"/>
  <c r="EL237" i="7"/>
  <c r="EL236" i="7"/>
  <c r="EM36" i="7"/>
  <c r="EM167" i="7"/>
  <c r="EM169" i="7" s="1"/>
  <c r="EM161" i="7"/>
  <c r="EM291" i="7"/>
  <c r="EJ65" i="7"/>
  <c r="EJ104" i="7" s="1"/>
  <c r="EK208" i="7"/>
  <c r="EJ148" i="7"/>
  <c r="EJ297" i="7"/>
  <c r="EK120" i="7"/>
  <c r="EK297" i="7" s="1"/>
  <c r="EJ281" i="7"/>
  <c r="EL208" i="7"/>
  <c r="EM72" i="7"/>
  <c r="EM73" i="7" s="1"/>
  <c r="EM49" i="7"/>
  <c r="EM17" i="7"/>
  <c r="EK238" i="7"/>
  <c r="EK236" i="7"/>
  <c r="EK237" i="7"/>
  <c r="EK175" i="7"/>
  <c r="EL153" i="7"/>
  <c r="EL179" i="7"/>
  <c r="EL189" i="7" s="1"/>
  <c r="EL229" i="7"/>
  <c r="EK231" i="7"/>
  <c r="EL230" i="7"/>
  <c r="EM230" i="7" s="1"/>
  <c r="EM209" i="7"/>
  <c r="EM219" i="7" s="1"/>
  <c r="EM96" i="7"/>
  <c r="EM99" i="7"/>
  <c r="EJ199" i="7"/>
  <c r="EJ208" i="7" s="1"/>
  <c r="EJ188" i="7"/>
  <c r="EJ89" i="7"/>
  <c r="EJ77" i="7"/>
  <c r="EJ112" i="7"/>
  <c r="EJ164" i="7" s="1"/>
  <c r="EJ78" i="7"/>
  <c r="EJ98" i="7"/>
  <c r="EJ128" i="7"/>
  <c r="EJ134" i="7"/>
  <c r="EJ236" i="7" s="1"/>
  <c r="EJ179" i="7"/>
  <c r="EJ30" i="7"/>
  <c r="EJ167" i="7" s="1"/>
  <c r="EJ169" i="7" s="1"/>
  <c r="EJ231" i="7"/>
  <c r="EJ153" i="7"/>
  <c r="EJ70" i="7"/>
  <c r="EJ105" i="7" s="1"/>
  <c r="C60" i="4"/>
  <c r="C61" i="4"/>
  <c r="EQ82" i="7" l="1"/>
  <c r="AP67" i="3"/>
  <c r="AP83" i="3" s="1"/>
  <c r="EM138" i="7"/>
  <c r="EM35" i="7"/>
  <c r="EJ189" i="7"/>
  <c r="EJ209" i="7" s="1"/>
  <c r="EJ219" i="7" s="1"/>
  <c r="EJ48" i="7"/>
  <c r="EJ36" i="7" s="1"/>
  <c r="EJ1" i="7" s="1"/>
  <c r="EK135" i="7"/>
  <c r="EM242" i="7"/>
  <c r="EM227" i="7"/>
  <c r="EM223" i="7"/>
  <c r="EM311" i="7"/>
  <c r="EM314" i="7" s="1"/>
  <c r="EM91" i="7"/>
  <c r="EM224" i="7"/>
  <c r="EM58" i="7"/>
  <c r="EM90" i="7" s="1"/>
  <c r="EM222" i="7"/>
  <c r="EM225" i="7"/>
  <c r="EK153" i="7"/>
  <c r="EK154" i="7" s="1"/>
  <c r="EK179" i="7"/>
  <c r="EK189" i="7" s="1"/>
  <c r="EK232" i="7"/>
  <c r="EL209" i="7"/>
  <c r="EL219" i="7" s="1"/>
  <c r="EM229" i="7"/>
  <c r="EL231" i="7"/>
  <c r="EM76" i="7"/>
  <c r="EM258" i="7" s="1"/>
  <c r="EM261" i="7" s="1"/>
  <c r="EJ16" i="7"/>
  <c r="EJ88" i="7"/>
  <c r="EJ237" i="7"/>
  <c r="EJ238" i="7"/>
  <c r="EJ291" i="7"/>
  <c r="EJ21" i="7"/>
  <c r="FU113" i="7"/>
  <c r="FR113" i="7"/>
  <c r="FN113" i="7"/>
  <c r="FK113" i="7"/>
  <c r="EJ17" i="7" l="1"/>
  <c r="EJ223" i="7" s="1"/>
  <c r="EQ85" i="7"/>
  <c r="EJ138" i="7"/>
  <c r="EJ35" i="7"/>
  <c r="AR62" i="3"/>
  <c r="AR84" i="3" s="1"/>
  <c r="EJ57" i="7"/>
  <c r="EJ67" i="7"/>
  <c r="EJ93" i="7" s="1"/>
  <c r="EJ95" i="7" s="1"/>
  <c r="EJ99" i="7" s="1"/>
  <c r="EJ137" i="7"/>
  <c r="EJ315" i="7"/>
  <c r="EJ49" i="7"/>
  <c r="EM272" i="7"/>
  <c r="EK209" i="7"/>
  <c r="EK219" i="7" s="1"/>
  <c r="EM226" i="7"/>
  <c r="EM231" i="7"/>
  <c r="EJ103" i="7"/>
  <c r="EJ290" i="7" s="1"/>
  <c r="FV113" i="7"/>
  <c r="FO113" i="7"/>
  <c r="H29" i="4"/>
  <c r="H27" i="4"/>
  <c r="H31" i="4" s="1"/>
  <c r="EJ233" i="7" l="1"/>
  <c r="EJ225" i="7"/>
  <c r="EJ222" i="7"/>
  <c r="EJ224" i="7"/>
  <c r="EJ226" i="7"/>
  <c r="EJ311" i="7"/>
  <c r="EJ314" i="7" s="1"/>
  <c r="EJ227" i="7"/>
  <c r="EJ91" i="7"/>
  <c r="EJ58" i="7"/>
  <c r="EJ90" i="7" s="1"/>
  <c r="EQ18" i="7"/>
  <c r="EQ86" i="7"/>
  <c r="H33" i="4"/>
  <c r="EN232" i="7"/>
  <c r="EN106" i="7" s="1"/>
  <c r="EN109" i="7" s="1"/>
  <c r="EP232" i="7"/>
  <c r="EP106" i="7" s="1"/>
  <c r="ET14" i="7"/>
  <c r="BA68" i="3"/>
  <c r="AS62" i="3"/>
  <c r="AS84" i="3" s="1"/>
  <c r="AY62" i="3"/>
  <c r="AV62" i="3"/>
  <c r="AV84" i="3" s="1"/>
  <c r="AX62" i="3"/>
  <c r="EJ96" i="7"/>
  <c r="EJ97" i="7" s="1"/>
  <c r="EJ72" i="7"/>
  <c r="EJ79" i="7" s="1"/>
  <c r="EJ257" i="7" s="1"/>
  <c r="EJ260" i="7" s="1"/>
  <c r="EM233" i="7"/>
  <c r="AT62" i="3" l="1"/>
  <c r="AT84" i="3" s="1"/>
  <c r="AN62" i="3"/>
  <c r="AW62" i="3"/>
  <c r="AW84" i="3" s="1"/>
  <c r="AZ62" i="3"/>
  <c r="EJ296" i="7"/>
  <c r="EJ298" i="7" s="1"/>
  <c r="EJ73" i="7"/>
  <c r="EJ76" i="7" s="1"/>
  <c r="EJ258" i="7" s="1"/>
  <c r="EJ261" i="7" s="1"/>
  <c r="EJ271" i="7" s="1"/>
  <c r="EJ273" i="7" l="1"/>
  <c r="EJ272" i="7"/>
  <c r="BA62" i="3" l="1"/>
  <c r="BA84" i="3" s="1"/>
  <c r="AU62" i="3"/>
  <c r="AX68" i="3"/>
  <c r="AX84" i="3" s="1"/>
  <c r="BB62" i="3"/>
  <c r="BE62" i="3" s="1"/>
  <c r="ES34" i="7" l="1"/>
  <c r="ET34" i="7" l="1"/>
  <c r="AY68" i="3"/>
  <c r="AY84" i="3" l="1"/>
  <c r="AZ68" i="3"/>
  <c r="AN68" i="3"/>
  <c r="EW108" i="7"/>
  <c r="EU108" i="7" s="1"/>
  <c r="FD108" i="7"/>
  <c r="FG108" i="7" s="1"/>
  <c r="FE108" i="7" s="1"/>
  <c r="FK108" i="7"/>
  <c r="FI108" i="7" s="1"/>
  <c r="FR108" i="7"/>
  <c r="FP108" i="7" s="1"/>
  <c r="FQ108" i="7" s="1"/>
  <c r="EH64" i="7"/>
  <c r="AN84" i="3" l="1"/>
  <c r="AZ84" i="3"/>
  <c r="AU68" i="3"/>
  <c r="AU84" i="3" s="1"/>
  <c r="FU108" i="7"/>
  <c r="FS108" i="7" s="1"/>
  <c r="FB108" i="7"/>
  <c r="FC108" i="7" s="1"/>
  <c r="FF108" i="7"/>
  <c r="FN108" i="7"/>
  <c r="FJ108" i="7"/>
  <c r="EZ108" i="7"/>
  <c r="EV108" i="7"/>
  <c r="ES108" i="7"/>
  <c r="BB68" i="3" l="1"/>
  <c r="ER108" i="7"/>
  <c r="FT108" i="7"/>
  <c r="EX108" i="7"/>
  <c r="EY108" i="7" s="1"/>
  <c r="FL108" i="7"/>
  <c r="FM108" i="7" s="1"/>
  <c r="BB84" i="3" l="1"/>
  <c r="BE68" i="3"/>
  <c r="EI63" i="7"/>
  <c r="EI62" i="7"/>
  <c r="EH61" i="7" l="1"/>
  <c r="EH68" i="7"/>
  <c r="EI68" i="7" s="1"/>
  <c r="EL68" i="7" s="1"/>
  <c r="EF77" i="7"/>
  <c r="EH77" i="7"/>
  <c r="EI53" i="7"/>
  <c r="EL53" i="7" s="1"/>
  <c r="EK53" i="7" s="1"/>
  <c r="EH29" i="7"/>
  <c r="EI123" i="7"/>
  <c r="EL123" i="7" s="1"/>
  <c r="EI117" i="7"/>
  <c r="EL117" i="7" s="1"/>
  <c r="EH198" i="7"/>
  <c r="EH206" i="7"/>
  <c r="EI206" i="7" s="1"/>
  <c r="EH193" i="7"/>
  <c r="EH187" i="7"/>
  <c r="EI187" i="7" s="1"/>
  <c r="EH185" i="7"/>
  <c r="EI185" i="7" s="1"/>
  <c r="EH178" i="7"/>
  <c r="EI178" i="7" s="1"/>
  <c r="EH174" i="7"/>
  <c r="EI174" i="7" s="1"/>
  <c r="EH6" i="7"/>
  <c r="EI6" i="7"/>
  <c r="EO83" i="7"/>
  <c r="EI15" i="7"/>
  <c r="EL15" i="7" s="1"/>
  <c r="EK15" i="7" s="1"/>
  <c r="EI19" i="7"/>
  <c r="EL19" i="7" s="1"/>
  <c r="EK19" i="7" s="1"/>
  <c r="EK156" i="7" s="1"/>
  <c r="EI20" i="7"/>
  <c r="EL20" i="7" s="1"/>
  <c r="EK20" i="7" s="1"/>
  <c r="EH22" i="7"/>
  <c r="EI43" i="7"/>
  <c r="EL43" i="7" s="1"/>
  <c r="EK43" i="7" s="1"/>
  <c r="EI44" i="7"/>
  <c r="EL44" i="7" s="1"/>
  <c r="EK44" i="7" s="1"/>
  <c r="EI46" i="7"/>
  <c r="EL46" i="7" s="1"/>
  <c r="EK46" i="7" s="1"/>
  <c r="EI52" i="7"/>
  <c r="EL52" i="7" s="1"/>
  <c r="EK52" i="7" s="1"/>
  <c r="EI54" i="7"/>
  <c r="EL54" i="7" s="1"/>
  <c r="EK54" i="7" s="1"/>
  <c r="EI55" i="7"/>
  <c r="EL55" i="7" s="1"/>
  <c r="EK55" i="7" s="1"/>
  <c r="EI56" i="7"/>
  <c r="EL56" i="7" s="1"/>
  <c r="EK56" i="7" s="1"/>
  <c r="EI60" i="7"/>
  <c r="EL60" i="7" s="1"/>
  <c r="EI69" i="7"/>
  <c r="EL69" i="7" s="1"/>
  <c r="EH78" i="7"/>
  <c r="EH108" i="7"/>
  <c r="EH110" i="7"/>
  <c r="EI112" i="7"/>
  <c r="EH113" i="7"/>
  <c r="EH116" i="7"/>
  <c r="EH165" i="7" s="1"/>
  <c r="EH120" i="7"/>
  <c r="EH297" i="7" s="1"/>
  <c r="EH121" i="7"/>
  <c r="EH122" i="7"/>
  <c r="EI128" i="7"/>
  <c r="EL128" i="7" s="1"/>
  <c r="EK128" i="7" s="1"/>
  <c r="EH131" i="7"/>
  <c r="EH132" i="7"/>
  <c r="EH142" i="7" s="1"/>
  <c r="EH146" i="7"/>
  <c r="EH156" i="7"/>
  <c r="EI165" i="7"/>
  <c r="EH168" i="7"/>
  <c r="EI168" i="7" s="1"/>
  <c r="EI173" i="7"/>
  <c r="EI131" i="7" s="1"/>
  <c r="EI176" i="7"/>
  <c r="EI177" i="7"/>
  <c r="EI181" i="7"/>
  <c r="EI182" i="7"/>
  <c r="EI183" i="7"/>
  <c r="EI184" i="7"/>
  <c r="EI186" i="7"/>
  <c r="EI191" i="7"/>
  <c r="EI192" i="7"/>
  <c r="EI194" i="7"/>
  <c r="EI195" i="7"/>
  <c r="EI196" i="7"/>
  <c r="EI197" i="7"/>
  <c r="EI201" i="7"/>
  <c r="EI202" i="7"/>
  <c r="EI203" i="7"/>
  <c r="EI204" i="7"/>
  <c r="EI205" i="7"/>
  <c r="EI211" i="7"/>
  <c r="EI212" i="7"/>
  <c r="EI213" i="7"/>
  <c r="EI215" i="7"/>
  <c r="EH218" i="7"/>
  <c r="EH228" i="7"/>
  <c r="EI228" i="7" s="1"/>
  <c r="EH229" i="7"/>
  <c r="EI229" i="7" s="1"/>
  <c r="EH230" i="7"/>
  <c r="EI230" i="7" s="1"/>
  <c r="EH246" i="7"/>
  <c r="EI246" i="7"/>
  <c r="EI247" i="7" s="1"/>
  <c r="EI253" i="7" s="1"/>
  <c r="EH249" i="7"/>
  <c r="EH250" i="7"/>
  <c r="EH251" i="7"/>
  <c r="EH253" i="7"/>
  <c r="EH255" i="7" s="1"/>
  <c r="EI265" i="7"/>
  <c r="EH267" i="7"/>
  <c r="EO268" i="7" s="1"/>
  <c r="EH281" i="7"/>
  <c r="EI283" i="7"/>
  <c r="EH285" i="7"/>
  <c r="EH295" i="7"/>
  <c r="EI312" i="7"/>
  <c r="EK312" i="7" s="1"/>
  <c r="EL312" i="7" s="1"/>
  <c r="EI313" i="7"/>
  <c r="EK77" i="7" l="1"/>
  <c r="EL77" i="7" s="1"/>
  <c r="EL98" i="7"/>
  <c r="EK69" i="7"/>
  <c r="EK78" i="7" s="1"/>
  <c r="EL78" i="7" s="1"/>
  <c r="EK60" i="7"/>
  <c r="EK146" i="7" s="1"/>
  <c r="EP83" i="7"/>
  <c r="AR69" i="3"/>
  <c r="EI22" i="7"/>
  <c r="EK313" i="7"/>
  <c r="EI285" i="7"/>
  <c r="EK283" i="7"/>
  <c r="EK68" i="7"/>
  <c r="EL70" i="7"/>
  <c r="EI267" i="7"/>
  <c r="EP268" i="7" s="1"/>
  <c r="EM265" i="7"/>
  <c r="EK158" i="7"/>
  <c r="EL156" i="7"/>
  <c r="EL158" i="7" s="1"/>
  <c r="EK155" i="7"/>
  <c r="EI164" i="7"/>
  <c r="EL112" i="7"/>
  <c r="EH117" i="7"/>
  <c r="EJ117" i="7"/>
  <c r="EJ118" i="7" s="1"/>
  <c r="EI124" i="7"/>
  <c r="EL124" i="7" s="1"/>
  <c r="EJ123" i="7"/>
  <c r="EJ124" i="7" s="1"/>
  <c r="EJ242" i="7"/>
  <c r="EH98" i="7"/>
  <c r="EH65" i="7"/>
  <c r="EH104" i="7" s="1"/>
  <c r="EH199" i="7"/>
  <c r="EI193" i="7"/>
  <c r="EH70" i="7"/>
  <c r="EH105" i="7" s="1"/>
  <c r="EO82" i="7"/>
  <c r="EI118" i="7"/>
  <c r="EL118" i="7" s="1"/>
  <c r="EI198" i="7"/>
  <c r="EH30" i="7"/>
  <c r="EH291" i="7" s="1"/>
  <c r="EI218" i="7"/>
  <c r="EI207" i="7"/>
  <c r="EH134" i="7"/>
  <c r="EH237" i="7" s="1"/>
  <c r="EI188" i="7"/>
  <c r="EI231" i="7"/>
  <c r="EH231" i="7"/>
  <c r="EH207" i="7"/>
  <c r="EH188" i="7"/>
  <c r="EH158" i="7"/>
  <c r="EH148" i="7"/>
  <c r="EI132" i="7"/>
  <c r="EH175" i="7"/>
  <c r="EF64" i="7"/>
  <c r="EG64" i="7"/>
  <c r="AO70" i="3" l="1"/>
  <c r="AO86" i="3" s="1"/>
  <c r="EI89" i="7"/>
  <c r="EK118" i="7"/>
  <c r="EK123" i="7"/>
  <c r="EK70" i="7"/>
  <c r="EK98" i="7"/>
  <c r="EK112" i="7"/>
  <c r="EL164" i="7"/>
  <c r="EK148" i="7"/>
  <c r="EK145" i="7"/>
  <c r="EL146" i="7"/>
  <c r="EL283" i="7"/>
  <c r="EK285" i="7"/>
  <c r="EK124" i="7"/>
  <c r="AR67" i="3"/>
  <c r="EK22" i="7"/>
  <c r="EL313" i="7"/>
  <c r="EL22" i="7" s="1"/>
  <c r="EM267" i="7"/>
  <c r="EM271" i="7"/>
  <c r="EK117" i="7"/>
  <c r="EJ232" i="7"/>
  <c r="EJ106" i="7" s="1"/>
  <c r="EJ109" i="7" s="1"/>
  <c r="EL232" i="7"/>
  <c r="EH208" i="7"/>
  <c r="EI199" i="7"/>
  <c r="EI208" i="7" s="1"/>
  <c r="EH89" i="7"/>
  <c r="EI70" i="7"/>
  <c r="EI105" i="7" s="1"/>
  <c r="EL105" i="7" s="1"/>
  <c r="EK105" i="7" s="1"/>
  <c r="EH88" i="7"/>
  <c r="EI64" i="7"/>
  <c r="EL64" i="7" s="1"/>
  <c r="EK64" i="7" s="1"/>
  <c r="EH48" i="7"/>
  <c r="EH236" i="7"/>
  <c r="EH238" i="7"/>
  <c r="EH167" i="7"/>
  <c r="EH169" i="7" s="1"/>
  <c r="EH21" i="7"/>
  <c r="EP82" i="7"/>
  <c r="EH179" i="7"/>
  <c r="EH189" i="7" s="1"/>
  <c r="EH153" i="7"/>
  <c r="EI175" i="7"/>
  <c r="EI134" i="7"/>
  <c r="EI142" i="7"/>
  <c r="EL141" i="7" s="1"/>
  <c r="EL144" i="7" s="1"/>
  <c r="M14" i="3"/>
  <c r="AO67" i="3" l="1"/>
  <c r="AO83" i="3" s="1"/>
  <c r="EH57" i="7"/>
  <c r="EO50" i="7"/>
  <c r="EL89" i="7"/>
  <c r="EJ152" i="7"/>
  <c r="EJ154" i="7" s="1"/>
  <c r="EL152" i="7"/>
  <c r="EL154" i="7" s="1"/>
  <c r="EL155" i="7" s="1"/>
  <c r="AQ67" i="3"/>
  <c r="AQ83" i="3" s="1"/>
  <c r="AQ69" i="3"/>
  <c r="AQ85" i="3" s="1"/>
  <c r="EM273" i="7"/>
  <c r="EL285" i="7"/>
  <c r="EM283" i="7"/>
  <c r="EM285" i="7" s="1"/>
  <c r="EL16" i="7"/>
  <c r="EK164" i="7"/>
  <c r="EJ135" i="7"/>
  <c r="EL135" i="7"/>
  <c r="EL88" i="7"/>
  <c r="EL145" i="7"/>
  <c r="EL148" i="7"/>
  <c r="EH137" i="7"/>
  <c r="EH36" i="7"/>
  <c r="EH1" i="7" s="1"/>
  <c r="EH16" i="7"/>
  <c r="EH315" i="7"/>
  <c r="EH67" i="7"/>
  <c r="EH93" i="7" s="1"/>
  <c r="EH95" i="7" s="1"/>
  <c r="EH99" i="7" s="1"/>
  <c r="EI88" i="7"/>
  <c r="EH209" i="7"/>
  <c r="EH219" i="7" s="1"/>
  <c r="EI236" i="7"/>
  <c r="EI238" i="7"/>
  <c r="EI237" i="7"/>
  <c r="EI179" i="7"/>
  <c r="EI189" i="7" s="1"/>
  <c r="EI153" i="7"/>
  <c r="AS253" i="7"/>
  <c r="AV253" i="7"/>
  <c r="BK253" i="7"/>
  <c r="BN253" i="7"/>
  <c r="BO253" i="7"/>
  <c r="BR253" i="7"/>
  <c r="BS253" i="7"/>
  <c r="BT253" i="7"/>
  <c r="BU253" i="7"/>
  <c r="BV253" i="7"/>
  <c r="BW253" i="7"/>
  <c r="BY253" i="7"/>
  <c r="BZ253" i="7"/>
  <c r="CC253" i="7"/>
  <c r="CD253" i="7"/>
  <c r="CF253" i="7"/>
  <c r="CG253" i="7"/>
  <c r="CK253" i="7"/>
  <c r="CL253" i="7"/>
  <c r="CQ253" i="7"/>
  <c r="CR253" i="7"/>
  <c r="CT253" i="7"/>
  <c r="CU253" i="7"/>
  <c r="CV253" i="7"/>
  <c r="CW253" i="7"/>
  <c r="CX253" i="7"/>
  <c r="CY253" i="7"/>
  <c r="CZ253" i="7"/>
  <c r="DA253" i="7"/>
  <c r="DB253" i="7"/>
  <c r="DC253" i="7"/>
  <c r="DD253" i="7"/>
  <c r="DE253" i="7"/>
  <c r="DF253" i="7"/>
  <c r="DG253" i="7"/>
  <c r="DH253" i="7"/>
  <c r="DI253" i="7"/>
  <c r="DJ253" i="7"/>
  <c r="DK253" i="7"/>
  <c r="DL253" i="7"/>
  <c r="DM253" i="7"/>
  <c r="DN253" i="7"/>
  <c r="DO253" i="7"/>
  <c r="DP253" i="7"/>
  <c r="DQ253" i="7"/>
  <c r="DR253" i="7"/>
  <c r="DS253" i="7"/>
  <c r="DT253" i="7"/>
  <c r="DU253" i="7"/>
  <c r="DV253" i="7"/>
  <c r="DW253" i="7"/>
  <c r="DX253" i="7"/>
  <c r="DY253" i="7"/>
  <c r="DZ253" i="7"/>
  <c r="EA253" i="7"/>
  <c r="EH49" i="7" l="1"/>
  <c r="EO85" i="7"/>
  <c r="AR70" i="3"/>
  <c r="EH103" i="7"/>
  <c r="EH290" i="7" s="1"/>
  <c r="EH35" i="7"/>
  <c r="EL48" i="7"/>
  <c r="EL57" i="7" s="1"/>
  <c r="EK89" i="7"/>
  <c r="EL17" i="7"/>
  <c r="EK16" i="7"/>
  <c r="EH138" i="7"/>
  <c r="EK88" i="7"/>
  <c r="EJ241" i="7"/>
  <c r="EJ240" i="7"/>
  <c r="EH17" i="7"/>
  <c r="EH72" i="7"/>
  <c r="EH79" i="7" s="1"/>
  <c r="EH296" i="7" s="1"/>
  <c r="EH96" i="7"/>
  <c r="EH97" i="7" s="1"/>
  <c r="EZ121" i="7"/>
  <c r="FU121" i="7"/>
  <c r="EI209" i="7"/>
  <c r="EI219" i="7" s="1"/>
  <c r="FD121" i="7"/>
  <c r="FN121" i="7"/>
  <c r="EW121" i="7"/>
  <c r="FR121" i="7"/>
  <c r="FK121" i="7"/>
  <c r="FG121" i="7"/>
  <c r="ES121" i="7"/>
  <c r="EH225" i="7" l="1"/>
  <c r="EO18" i="7"/>
  <c r="EO86" i="7"/>
  <c r="AQ70" i="3"/>
  <c r="AQ86" i="3" s="1"/>
  <c r="EL241" i="7"/>
  <c r="EL240" i="7"/>
  <c r="EL315" i="7"/>
  <c r="EL49" i="7"/>
  <c r="EH222" i="7"/>
  <c r="EH224" i="7"/>
  <c r="EH226" i="7"/>
  <c r="EK48" i="7"/>
  <c r="EK241" i="7" s="1"/>
  <c r="EL58" i="7"/>
  <c r="EL90" i="7" s="1"/>
  <c r="EK17" i="7"/>
  <c r="EH311" i="7"/>
  <c r="EH314" i="7" s="1"/>
  <c r="EH227" i="7"/>
  <c r="EL223" i="7"/>
  <c r="EL226" i="7"/>
  <c r="EL224" i="7"/>
  <c r="EL222" i="7"/>
  <c r="EL227" i="7"/>
  <c r="EL225" i="7"/>
  <c r="EL311" i="7"/>
  <c r="EL233" i="7"/>
  <c r="EH233" i="7"/>
  <c r="EH58" i="7"/>
  <c r="EH90" i="7" s="1"/>
  <c r="EH223" i="7"/>
  <c r="EH91" i="7"/>
  <c r="EH257" i="7"/>
  <c r="EH260" i="7" s="1"/>
  <c r="EO262" i="7" s="1"/>
  <c r="EH242" i="7"/>
  <c r="EH73" i="7"/>
  <c r="FA121" i="7"/>
  <c r="FV121" i="7"/>
  <c r="EH298" i="7"/>
  <c r="ET121" i="7"/>
  <c r="FO121" i="7"/>
  <c r="FH121" i="7"/>
  <c r="EH76" i="7" l="1"/>
  <c r="EH258" i="7" s="1"/>
  <c r="EH261" i="7" s="1"/>
  <c r="EO263" i="7" s="1"/>
  <c r="EO74" i="7"/>
  <c r="EL314" i="7"/>
  <c r="EK240" i="7"/>
  <c r="EK57" i="7"/>
  <c r="EK58" i="7" s="1"/>
  <c r="EK90" i="7" s="1"/>
  <c r="EK315" i="7"/>
  <c r="EK49" i="7"/>
  <c r="EK222" i="7"/>
  <c r="EK226" i="7"/>
  <c r="EK233" i="7"/>
  <c r="EK225" i="7"/>
  <c r="EK311" i="7"/>
  <c r="EK227" i="7"/>
  <c r="EK224" i="7"/>
  <c r="EK223" i="7"/>
  <c r="EH271" i="7" l="1"/>
  <c r="EH272" i="7"/>
  <c r="EH273" i="7"/>
  <c r="EK314" i="7"/>
  <c r="G27" i="4" l="1"/>
  <c r="EG70" i="7" l="1"/>
  <c r="EW46" i="7" l="1"/>
  <c r="EZ46" i="7"/>
  <c r="FD46" i="7"/>
  <c r="FG46" i="7"/>
  <c r="FK46" i="7"/>
  <c r="FN46" i="7"/>
  <c r="FR46" i="7"/>
  <c r="FU46" i="7"/>
  <c r="EG229" i="7"/>
  <c r="EW115" i="7"/>
  <c r="EZ115" i="7"/>
  <c r="FD115" i="7"/>
  <c r="FG115" i="7"/>
  <c r="FK115" i="7"/>
  <c r="FN115" i="7"/>
  <c r="FR115" i="7"/>
  <c r="FU115" i="7"/>
  <c r="ES115" i="7"/>
  <c r="FV46" i="7" l="1"/>
  <c r="FA46" i="7"/>
  <c r="ET115" i="7"/>
  <c r="FO46" i="7"/>
  <c r="FV115" i="7"/>
  <c r="FH115" i="7"/>
  <c r="FH46" i="7"/>
  <c r="FO115" i="7"/>
  <c r="FA115" i="7"/>
  <c r="EG66" i="7" l="1"/>
  <c r="EI66" i="7" l="1"/>
  <c r="EL66" i="7" s="1"/>
  <c r="EG29" i="7"/>
  <c r="EI29" i="7" s="1"/>
  <c r="EG115" i="7"/>
  <c r="EH115" i="7" s="1"/>
  <c r="EG123" i="7"/>
  <c r="EH123" i="7" s="1"/>
  <c r="EH124" i="7" s="1"/>
  <c r="EG112" i="7"/>
  <c r="EG206" i="7"/>
  <c r="EG198" i="7"/>
  <c r="EG193" i="7"/>
  <c r="EG187" i="7"/>
  <c r="EG185" i="7"/>
  <c r="EG178" i="7"/>
  <c r="EG174" i="7"/>
  <c r="EG6" i="7"/>
  <c r="EN83" i="7"/>
  <c r="EG22" i="7"/>
  <c r="EG61" i="7"/>
  <c r="EI61" i="7" s="1"/>
  <c r="EL61" i="7" s="1"/>
  <c r="EG105" i="7"/>
  <c r="EG78" i="7"/>
  <c r="EI78" i="7" s="1"/>
  <c r="EM78" i="7" s="1"/>
  <c r="EG98" i="7"/>
  <c r="EG131" i="7"/>
  <c r="EG132" i="7"/>
  <c r="EG146" i="7"/>
  <c r="EG156" i="7"/>
  <c r="EG165" i="7"/>
  <c r="EG168" i="7"/>
  <c r="EG218" i="7"/>
  <c r="EG228" i="7"/>
  <c r="EG230" i="7"/>
  <c r="EG246" i="7"/>
  <c r="EG267" i="7"/>
  <c r="EN268" i="7" s="1"/>
  <c r="EG285" i="7"/>
  <c r="EG295" i="7"/>
  <c r="EG297" i="7"/>
  <c r="AV31" i="3"/>
  <c r="AW31" i="3"/>
  <c r="AX31" i="3"/>
  <c r="AY31" i="3"/>
  <c r="AZ31" i="3"/>
  <c r="BA31" i="3"/>
  <c r="AV32" i="3"/>
  <c r="AW32" i="3"/>
  <c r="AX32" i="3"/>
  <c r="AY32" i="3"/>
  <c r="AZ32" i="3"/>
  <c r="BA32" i="3"/>
  <c r="U14" i="3"/>
  <c r="V14" i="3"/>
  <c r="W14" i="3"/>
  <c r="X14" i="3"/>
  <c r="Y14" i="3"/>
  <c r="Z14" i="3"/>
  <c r="U17" i="3"/>
  <c r="V17" i="3"/>
  <c r="X17" i="3"/>
  <c r="Y17" i="3"/>
  <c r="U28" i="3"/>
  <c r="X28" i="3"/>
  <c r="Y28" i="3"/>
  <c r="U31" i="3"/>
  <c r="V31" i="3"/>
  <c r="X31" i="3"/>
  <c r="Y31" i="3"/>
  <c r="U37" i="3"/>
  <c r="V37" i="3"/>
  <c r="X37" i="3"/>
  <c r="Y37" i="3"/>
  <c r="U39" i="3"/>
  <c r="V39" i="3"/>
  <c r="X39" i="3"/>
  <c r="Y39" i="3"/>
  <c r="AA14" i="3"/>
  <c r="EG188" i="7" l="1"/>
  <c r="EK61" i="7"/>
  <c r="EK65" i="7" s="1"/>
  <c r="EK137" i="7" s="1"/>
  <c r="EL65" i="7"/>
  <c r="EL137" i="7" s="1"/>
  <c r="EI30" i="7"/>
  <c r="EI21" i="7" s="1"/>
  <c r="EL29" i="7"/>
  <c r="EM103" i="7"/>
  <c r="EM79" i="7"/>
  <c r="EK66" i="7"/>
  <c r="EG124" i="7"/>
  <c r="EI65" i="7"/>
  <c r="EI104" i="7" s="1"/>
  <c r="EL104" i="7" s="1"/>
  <c r="EK104" i="7" s="1"/>
  <c r="EG148" i="7"/>
  <c r="EI146" i="7"/>
  <c r="EH112" i="7"/>
  <c r="EH164" i="7" s="1"/>
  <c r="EG158" i="7"/>
  <c r="EI156" i="7"/>
  <c r="EG114" i="7"/>
  <c r="EG118" i="7" s="1"/>
  <c r="EG199" i="7"/>
  <c r="EG247" i="7"/>
  <c r="EG231" i="7"/>
  <c r="EH232" i="7" s="1"/>
  <c r="EH106" i="7" s="1"/>
  <c r="EH109" i="7" s="1"/>
  <c r="EG207" i="7"/>
  <c r="EG175" i="7"/>
  <c r="EH152" i="7" s="1"/>
  <c r="EH154" i="7" s="1"/>
  <c r="EH155" i="7" s="1"/>
  <c r="EG77" i="7"/>
  <c r="EI77" i="7" s="1"/>
  <c r="EG164" i="7"/>
  <c r="EG65" i="7"/>
  <c r="EG104" i="7" s="1"/>
  <c r="EG134" i="7"/>
  <c r="EH135" i="7" s="1"/>
  <c r="EG30" i="7"/>
  <c r="EG167" i="7" s="1"/>
  <c r="EG169" i="7" s="1"/>
  <c r="EN82" i="7"/>
  <c r="EG142" i="7"/>
  <c r="EK67" i="7" l="1"/>
  <c r="EK72" i="7" s="1"/>
  <c r="EL67" i="7"/>
  <c r="EL93" i="7" s="1"/>
  <c r="EL95" i="7" s="1"/>
  <c r="EK29" i="7"/>
  <c r="EK30" i="7" s="1"/>
  <c r="EL30" i="7"/>
  <c r="EI291" i="7"/>
  <c r="EI158" i="7"/>
  <c r="EM156" i="7"/>
  <c r="EI167" i="7"/>
  <c r="EI169" i="7" s="1"/>
  <c r="EM257" i="7"/>
  <c r="EM260" i="7" s="1"/>
  <c r="EM296" i="7"/>
  <c r="EM298" i="7" s="1"/>
  <c r="EI148" i="7"/>
  <c r="EM146" i="7"/>
  <c r="EM290" i="7"/>
  <c r="EG127" i="7"/>
  <c r="EG126" i="7" s="1"/>
  <c r="EG88" i="7"/>
  <c r="EG48" i="7"/>
  <c r="EV66" i="7"/>
  <c r="EX66" i="7" s="1"/>
  <c r="EY66" i="7" s="1"/>
  <c r="FB66" i="7" s="1"/>
  <c r="FC66" i="7" s="1"/>
  <c r="FE66" i="7" s="1"/>
  <c r="EG128" i="7"/>
  <c r="EH114" i="7"/>
  <c r="EG208" i="7"/>
  <c r="EG253" i="7"/>
  <c r="EG255" i="7" s="1"/>
  <c r="EI255" i="7" s="1"/>
  <c r="EM255" i="7" s="1"/>
  <c r="EG236" i="7"/>
  <c r="EH241" i="7" s="1"/>
  <c r="EG248" i="7"/>
  <c r="EG179" i="7"/>
  <c r="EG189" i="7" s="1"/>
  <c r="EH240" i="7" s="1"/>
  <c r="EG153" i="7"/>
  <c r="EG89" i="7"/>
  <c r="EG21" i="7"/>
  <c r="EG238" i="7"/>
  <c r="EG237" i="7"/>
  <c r="EG291" i="7"/>
  <c r="EG161" i="7"/>
  <c r="EI16" i="7" l="1"/>
  <c r="AO69" i="3"/>
  <c r="AO85" i="3" s="1"/>
  <c r="EG67" i="7"/>
  <c r="EG72" i="7" s="1"/>
  <c r="EN50" i="7"/>
  <c r="EK93" i="7"/>
  <c r="EK95" i="7" s="1"/>
  <c r="EK99" i="7" s="1"/>
  <c r="EL72" i="7"/>
  <c r="EL242" i="7" s="1"/>
  <c r="EM158" i="7"/>
  <c r="EM148" i="7"/>
  <c r="EL167" i="7"/>
  <c r="EL169" i="7" s="1"/>
  <c r="EL21" i="7"/>
  <c r="EL161" i="7"/>
  <c r="EL36" i="7"/>
  <c r="EL35" i="7" s="1"/>
  <c r="EK242" i="7"/>
  <c r="EK79" i="7"/>
  <c r="EK73" i="7"/>
  <c r="EL99" i="7"/>
  <c r="EL96" i="7"/>
  <c r="EL97" i="7" s="1"/>
  <c r="EK21" i="7"/>
  <c r="EK291" i="7"/>
  <c r="EK167" i="7"/>
  <c r="EK169" i="7" s="1"/>
  <c r="EK161" i="7"/>
  <c r="EK36" i="7"/>
  <c r="EG36" i="7"/>
  <c r="EG1" i="7" s="1"/>
  <c r="EG137" i="7"/>
  <c r="EG315" i="7"/>
  <c r="EG57" i="7"/>
  <c r="EG16" i="7"/>
  <c r="EI48" i="7"/>
  <c r="EZ66" i="7"/>
  <c r="EW66" i="7"/>
  <c r="EH128" i="7"/>
  <c r="EH118" i="7"/>
  <c r="FD66" i="7"/>
  <c r="EG209" i="7"/>
  <c r="EG219" i="7" s="1"/>
  <c r="FF66" i="7"/>
  <c r="FI66" i="7" s="1"/>
  <c r="EI17" i="7" l="1"/>
  <c r="EI222" i="7" s="1"/>
  <c r="EP85" i="7"/>
  <c r="EI137" i="7"/>
  <c r="EP50" i="7"/>
  <c r="EK35" i="7"/>
  <c r="EK1" i="7"/>
  <c r="EG103" i="7"/>
  <c r="EG290" i="7" s="1"/>
  <c r="EG35" i="7"/>
  <c r="EG93" i="7"/>
  <c r="EG95" i="7" s="1"/>
  <c r="EG99" i="7" s="1"/>
  <c r="EG17" i="7"/>
  <c r="EG224" i="7" s="1"/>
  <c r="EN85" i="7"/>
  <c r="EL73" i="7"/>
  <c r="EL76" i="7" s="1"/>
  <c r="EL258" i="7" s="1"/>
  <c r="EL261" i="7" s="1"/>
  <c r="EL79" i="7"/>
  <c r="EL257" i="7" s="1"/>
  <c r="EK96" i="7"/>
  <c r="EK97" i="7" s="1"/>
  <c r="EK91" i="7"/>
  <c r="EK138" i="7"/>
  <c r="EK257" i="7"/>
  <c r="EK296" i="7"/>
  <c r="EK298" i="7" s="1"/>
  <c r="EL138" i="7"/>
  <c r="EL91" i="7"/>
  <c r="EK76" i="7"/>
  <c r="EK258" i="7" s="1"/>
  <c r="EG138" i="7"/>
  <c r="EI315" i="7"/>
  <c r="FA66" i="7"/>
  <c r="EI67" i="7"/>
  <c r="EI93" i="7" s="1"/>
  <c r="EI95" i="7" s="1"/>
  <c r="EI99" i="7" s="1"/>
  <c r="EI57" i="7"/>
  <c r="EI58" i="7" s="1"/>
  <c r="EI90" i="7" s="1"/>
  <c r="EI36" i="7"/>
  <c r="EI35" i="7" s="1"/>
  <c r="EG49" i="7"/>
  <c r="EI49" i="7"/>
  <c r="EI225" i="7"/>
  <c r="EI227" i="7"/>
  <c r="EI224" i="7"/>
  <c r="EI233" i="7"/>
  <c r="EI311" i="7"/>
  <c r="EI223" i="7"/>
  <c r="EI226" i="7"/>
  <c r="FJ66" i="7"/>
  <c r="FL66" i="7" s="1"/>
  <c r="FG66" i="7"/>
  <c r="FH66" i="7" s="1"/>
  <c r="EG73" i="7"/>
  <c r="EN74" i="7" s="1"/>
  <c r="EG79" i="7"/>
  <c r="EG242" i="7"/>
  <c r="EP86" i="7" l="1"/>
  <c r="EP18" i="7"/>
  <c r="EG96" i="7"/>
  <c r="EG97" i="7" s="1"/>
  <c r="EI97" i="7" s="1"/>
  <c r="EM97" i="7" s="1"/>
  <c r="EG311" i="7"/>
  <c r="EG314" i="7" s="1"/>
  <c r="EG223" i="7"/>
  <c r="EG233" i="7"/>
  <c r="EN18" i="7"/>
  <c r="EN86" i="7"/>
  <c r="EG225" i="7"/>
  <c r="EG58" i="7"/>
  <c r="EG90" i="7" s="1"/>
  <c r="EG226" i="7"/>
  <c r="EG91" i="7"/>
  <c r="EG222" i="7"/>
  <c r="EG227" i="7"/>
  <c r="EL273" i="7"/>
  <c r="EL272" i="7"/>
  <c r="EL271" i="7"/>
  <c r="EI72" i="7"/>
  <c r="EI242" i="7" s="1"/>
  <c r="EI91" i="7"/>
  <c r="EI138" i="7"/>
  <c r="EI314" i="7"/>
  <c r="EI103" i="7"/>
  <c r="EI96" i="7"/>
  <c r="EI98" i="7"/>
  <c r="FK66" i="7"/>
  <c r="FM66" i="7"/>
  <c r="FP66" i="7" s="1"/>
  <c r="EG257" i="7"/>
  <c r="EG260" i="7" s="1"/>
  <c r="EN262" i="7" s="1"/>
  <c r="EG296" i="7"/>
  <c r="EG76" i="7"/>
  <c r="EG258" i="7" s="1"/>
  <c r="EG261" i="7" s="1"/>
  <c r="EN263" i="7" s="1"/>
  <c r="EI73" i="7" l="1"/>
  <c r="EI79" i="7"/>
  <c r="EI257" i="7" s="1"/>
  <c r="EI260" i="7" s="1"/>
  <c r="EP262" i="7" s="1"/>
  <c r="EI290" i="7"/>
  <c r="EL103" i="7"/>
  <c r="EK103" i="7" s="1"/>
  <c r="EK290" i="7" s="1"/>
  <c r="FN66" i="7"/>
  <c r="FO66" i="7" s="1"/>
  <c r="FQ66" i="7"/>
  <c r="FS66" i="7" s="1"/>
  <c r="FT66" i="7" s="1"/>
  <c r="FU66" i="7" s="1"/>
  <c r="EG271" i="7"/>
  <c r="EG273" i="7"/>
  <c r="EG272" i="7"/>
  <c r="EG298" i="7"/>
  <c r="FG113" i="7"/>
  <c r="Z31" i="3" s="1"/>
  <c r="FD113" i="7"/>
  <c r="W31" i="3" s="1"/>
  <c r="EI76" i="7" l="1"/>
  <c r="EP74" i="7"/>
  <c r="EL260" i="7"/>
  <c r="EK260" i="7"/>
  <c r="EI258" i="7"/>
  <c r="EI261" i="7" s="1"/>
  <c r="FR66" i="7"/>
  <c r="FV66" i="7" s="1"/>
  <c r="FH113" i="7"/>
  <c r="AA31" i="3" s="1"/>
  <c r="EF66" i="7"/>
  <c r="EK261" i="7" l="1"/>
  <c r="EP263" i="7"/>
  <c r="EK271" i="7"/>
  <c r="EK272" i="7"/>
  <c r="EK273" i="7"/>
  <c r="EI272" i="7"/>
  <c r="EI271" i="7"/>
  <c r="EI273" i="7"/>
  <c r="EF61" i="7"/>
  <c r="EF65" i="7" s="1"/>
  <c r="EF112" i="7" l="1"/>
  <c r="EF206" i="7" l="1"/>
  <c r="EF207" i="7" s="1"/>
  <c r="EF198" i="7"/>
  <c r="EE198" i="7" s="1"/>
  <c r="ED198" i="7" s="1"/>
  <c r="EF193" i="7"/>
  <c r="EE193" i="7" s="1"/>
  <c r="ED193" i="7" s="1"/>
  <c r="EF187" i="7"/>
  <c r="EE187" i="7" s="1"/>
  <c r="ED187" i="7" s="1"/>
  <c r="EF185" i="7"/>
  <c r="EF178" i="7"/>
  <c r="EE178" i="7" s="1"/>
  <c r="ED178" i="7" s="1"/>
  <c r="EF174" i="7"/>
  <c r="EE174" i="7" s="1"/>
  <c r="ED174" i="7" s="1"/>
  <c r="EF123" i="7"/>
  <c r="EF122" i="7"/>
  <c r="EF117" i="7"/>
  <c r="ED6" i="7"/>
  <c r="EE6" i="7"/>
  <c r="EF6" i="7"/>
  <c r="EM83" i="7"/>
  <c r="EF22" i="7"/>
  <c r="EF104" i="7"/>
  <c r="EF70" i="7"/>
  <c r="EF105" i="7" s="1"/>
  <c r="EF98" i="7"/>
  <c r="EE108" i="7"/>
  <c r="EE110" i="7"/>
  <c r="EE113" i="7"/>
  <c r="EE114" i="7"/>
  <c r="EE115" i="7"/>
  <c r="EE116" i="7"/>
  <c r="ED116" i="7" s="1"/>
  <c r="ED165" i="7" s="1"/>
  <c r="EE120" i="7"/>
  <c r="EE121" i="7"/>
  <c r="EF131" i="7"/>
  <c r="EF132" i="7"/>
  <c r="EF142" i="7" s="1"/>
  <c r="EM141" i="7" s="1"/>
  <c r="EP141" i="7" s="1"/>
  <c r="EF164" i="7"/>
  <c r="EF165" i="7"/>
  <c r="EF168" i="7"/>
  <c r="EE173" i="7"/>
  <c r="EE131" i="7" s="1"/>
  <c r="EE176" i="7"/>
  <c r="ED176" i="7" s="1"/>
  <c r="ED229" i="7" s="1"/>
  <c r="EE229" i="7" s="1"/>
  <c r="EF229" i="7" s="1"/>
  <c r="EE177" i="7"/>
  <c r="ED177" i="7" s="1"/>
  <c r="EE181" i="7"/>
  <c r="ED181" i="7" s="1"/>
  <c r="EE182" i="7"/>
  <c r="ED182" i="7" s="1"/>
  <c r="EE183" i="7"/>
  <c r="ED183" i="7" s="1"/>
  <c r="EE184" i="7"/>
  <c r="EE168" i="7" s="1"/>
  <c r="EE186" i="7"/>
  <c r="ED186" i="7" s="1"/>
  <c r="EE191" i="7"/>
  <c r="ED191" i="7" s="1"/>
  <c r="EE192" i="7"/>
  <c r="EE194" i="7"/>
  <c r="ED194" i="7" s="1"/>
  <c r="EE195" i="7"/>
  <c r="ED195" i="7" s="1"/>
  <c r="EE196" i="7"/>
  <c r="ED196" i="7" s="1"/>
  <c r="EE197" i="7"/>
  <c r="ED197" i="7" s="1"/>
  <c r="EE201" i="7"/>
  <c r="EE202" i="7"/>
  <c r="ED202" i="7" s="1"/>
  <c r="EE204" i="7"/>
  <c r="ED204" i="7" s="1"/>
  <c r="EE205" i="7"/>
  <c r="ED205" i="7" s="1"/>
  <c r="EE211" i="7"/>
  <c r="EE212" i="7"/>
  <c r="ED212" i="7" s="1"/>
  <c r="EE213" i="7"/>
  <c r="ED213" i="7" s="1"/>
  <c r="EE215" i="7"/>
  <c r="ED215" i="7" s="1"/>
  <c r="EF218" i="7"/>
  <c r="ED246" i="7"/>
  <c r="EE246" i="7"/>
  <c r="EF246" i="7"/>
  <c r="EF247" i="7" s="1"/>
  <c r="EF253" i="7" s="1"/>
  <c r="ED249" i="7"/>
  <c r="EG279" i="7" s="1"/>
  <c r="EE249" i="7"/>
  <c r="ED250" i="7"/>
  <c r="EE250" i="7"/>
  <c r="ED251" i="7"/>
  <c r="EE251" i="7"/>
  <c r="ED267" i="7"/>
  <c r="EK268" i="7" s="1"/>
  <c r="EE267" i="7"/>
  <c r="EL268" i="7" s="1"/>
  <c r="EF295" i="7"/>
  <c r="EF297" i="7"/>
  <c r="EP144" i="7" l="1"/>
  <c r="EP145" i="7" s="1"/>
  <c r="EQ141" i="7"/>
  <c r="EQ144" i="7" s="1"/>
  <c r="EQ145" i="7" s="1"/>
  <c r="EM144" i="7"/>
  <c r="EM145" i="7" s="1"/>
  <c r="EN141" i="7"/>
  <c r="EF89" i="7"/>
  <c r="EG281" i="7"/>
  <c r="EI279" i="7"/>
  <c r="EF175" i="7"/>
  <c r="EM152" i="7" s="1"/>
  <c r="EM154" i="7" s="1"/>
  <c r="EM155" i="7" s="1"/>
  <c r="EE206" i="7"/>
  <c r="ED206" i="7" s="1"/>
  <c r="EF188" i="7"/>
  <c r="EF124" i="7"/>
  <c r="EE247" i="7"/>
  <c r="EE253" i="7" s="1"/>
  <c r="ED247" i="7"/>
  <c r="EE218" i="7"/>
  <c r="EE132" i="7"/>
  <c r="EE134" i="7" s="1"/>
  <c r="EE165" i="7"/>
  <c r="EF30" i="7"/>
  <c r="EF291" i="7" s="1"/>
  <c r="EM82" i="7"/>
  <c r="EF134" i="7"/>
  <c r="EF128" i="7"/>
  <c r="ED230" i="7"/>
  <c r="EE230" i="7" s="1"/>
  <c r="EF230" i="7" s="1"/>
  <c r="ED228" i="7"/>
  <c r="EE185" i="7"/>
  <c r="ED185" i="7" s="1"/>
  <c r="EE125" i="7"/>
  <c r="ED211" i="7"/>
  <c r="EF199" i="7"/>
  <c r="EF208" i="7" s="1"/>
  <c r="ED184" i="7"/>
  <c r="ED168" i="7" s="1"/>
  <c r="ED173" i="7"/>
  <c r="ED115" i="7"/>
  <c r="EE199" i="7"/>
  <c r="ED201" i="7"/>
  <c r="EF118" i="7"/>
  <c r="EE203" i="7"/>
  <c r="ED203" i="7" s="1"/>
  <c r="ED192" i="7"/>
  <c r="G31" i="4"/>
  <c r="G33" i="4" s="1"/>
  <c r="G29" i="4"/>
  <c r="AO31" i="3"/>
  <c r="AP31" i="3"/>
  <c r="AQ31" i="3"/>
  <c r="AR31" i="3"/>
  <c r="AS31" i="3"/>
  <c r="AT31" i="3"/>
  <c r="AO32" i="3"/>
  <c r="AP32" i="3"/>
  <c r="AQ32" i="3"/>
  <c r="AR32" i="3"/>
  <c r="AS32" i="3"/>
  <c r="AT32" i="3"/>
  <c r="N14" i="3"/>
  <c r="O14" i="3"/>
  <c r="P14" i="3"/>
  <c r="Q14" i="3"/>
  <c r="R14" i="3"/>
  <c r="S14" i="3"/>
  <c r="T14" i="3"/>
  <c r="N17" i="3"/>
  <c r="O17" i="3"/>
  <c r="Q17" i="3"/>
  <c r="R17" i="3"/>
  <c r="N28" i="3"/>
  <c r="Q28" i="3"/>
  <c r="R28" i="3"/>
  <c r="N31" i="3"/>
  <c r="O31" i="3"/>
  <c r="N37" i="3"/>
  <c r="O37" i="3"/>
  <c r="Q37" i="3"/>
  <c r="R37" i="3"/>
  <c r="N39" i="3"/>
  <c r="O39" i="3"/>
  <c r="Q39" i="3"/>
  <c r="R39" i="3"/>
  <c r="EC126" i="7"/>
  <c r="EN144" i="7" l="1"/>
  <c r="EN145" i="7" s="1"/>
  <c r="EO141" i="7"/>
  <c r="EO144" i="7" s="1"/>
  <c r="EO145" i="7" s="1"/>
  <c r="EF16" i="7"/>
  <c r="EI281" i="7"/>
  <c r="EK279" i="7"/>
  <c r="EI135" i="7"/>
  <c r="EM135" i="7"/>
  <c r="EF179" i="7"/>
  <c r="EF189" i="7" s="1"/>
  <c r="EI152" i="7"/>
  <c r="EI154" i="7" s="1"/>
  <c r="EI155" i="7" s="1"/>
  <c r="ED253" i="7"/>
  <c r="ED255" i="7" s="1"/>
  <c r="EF236" i="7"/>
  <c r="EM241" i="7" s="1"/>
  <c r="EG135" i="7"/>
  <c r="EF153" i="7"/>
  <c r="EG152" i="7"/>
  <c r="EG154" i="7" s="1"/>
  <c r="EG155" i="7" s="1"/>
  <c r="EE175" i="7"/>
  <c r="EE153" i="7" s="1"/>
  <c r="EF237" i="7"/>
  <c r="EF238" i="7"/>
  <c r="EE188" i="7"/>
  <c r="EE142" i="7"/>
  <c r="EE207" i="7"/>
  <c r="EE208" i="7" s="1"/>
  <c r="EF167" i="7"/>
  <c r="EF169" i="7" s="1"/>
  <c r="EF21" i="7"/>
  <c r="EF161" i="7"/>
  <c r="EF88" i="7"/>
  <c r="EF48" i="7"/>
  <c r="EM50" i="7" s="1"/>
  <c r="ED132" i="7"/>
  <c r="ED142" i="7" s="1"/>
  <c r="ED231" i="7"/>
  <c r="EE228" i="7"/>
  <c r="ED188" i="7"/>
  <c r="ED131" i="7"/>
  <c r="EE236" i="7"/>
  <c r="EE237" i="7"/>
  <c r="EE238" i="7"/>
  <c r="ED207" i="7"/>
  <c r="ED295" i="7"/>
  <c r="ED218" i="7"/>
  <c r="EF127" i="7"/>
  <c r="ED199" i="7"/>
  <c r="EC246" i="7"/>
  <c r="EC247" i="7" s="1"/>
  <c r="EC114" i="7"/>
  <c r="ED114" i="7" s="1"/>
  <c r="EC113" i="7"/>
  <c r="ED113" i="7" s="1"/>
  <c r="EC66" i="7"/>
  <c r="EC68" i="7"/>
  <c r="EC64" i="7"/>
  <c r="EC29" i="7"/>
  <c r="EC108" i="7"/>
  <c r="ED108" i="7" s="1"/>
  <c r="EC125" i="7"/>
  <c r="ED125" i="7" s="1"/>
  <c r="EC121" i="7"/>
  <c r="ED121" i="7" s="1"/>
  <c r="EC120" i="7"/>
  <c r="EC110" i="7"/>
  <c r="ED110" i="7" s="1"/>
  <c r="EC206" i="7"/>
  <c r="EC203" i="7"/>
  <c r="EC198" i="7"/>
  <c r="EC193" i="7"/>
  <c r="EC187" i="7"/>
  <c r="EC185" i="7"/>
  <c r="EC178" i="7"/>
  <c r="EC174" i="7"/>
  <c r="EC175" i="7" s="1"/>
  <c r="EC6" i="7"/>
  <c r="EJ83" i="7"/>
  <c r="EC22" i="7"/>
  <c r="EC61" i="7"/>
  <c r="EC77" i="7"/>
  <c r="EC131" i="7"/>
  <c r="EC132" i="7"/>
  <c r="EC142" i="7" s="1"/>
  <c r="ED141" i="7" s="1"/>
  <c r="EC146" i="7"/>
  <c r="EC148" i="7" s="1"/>
  <c r="EC165" i="7"/>
  <c r="EC168" i="7"/>
  <c r="EC218" i="7"/>
  <c r="EC228" i="7"/>
  <c r="EC229" i="7"/>
  <c r="EC230" i="7"/>
  <c r="EC267" i="7"/>
  <c r="EJ268" i="7" s="1"/>
  <c r="EC279" i="7"/>
  <c r="EC285" i="7"/>
  <c r="EC295" i="7"/>
  <c r="EM85" i="7" l="1"/>
  <c r="EK281" i="7"/>
  <c r="EL279" i="7"/>
  <c r="EI240" i="7"/>
  <c r="EM240" i="7"/>
  <c r="EC89" i="7"/>
  <c r="EC69" i="7"/>
  <c r="EC70" i="7" s="1"/>
  <c r="EC105" i="7" s="1"/>
  <c r="EG241" i="7"/>
  <c r="EI241" i="7"/>
  <c r="EC253" i="7"/>
  <c r="EC255" i="7" s="1"/>
  <c r="EE255" i="7" s="1"/>
  <c r="EF209" i="7"/>
  <c r="EF219" i="7" s="1"/>
  <c r="EG240" i="7"/>
  <c r="ED175" i="7"/>
  <c r="ED153" i="7" s="1"/>
  <c r="EE179" i="7"/>
  <c r="EE189" i="7" s="1"/>
  <c r="EE209" i="7" s="1"/>
  <c r="EE219" i="7" s="1"/>
  <c r="ED134" i="7"/>
  <c r="ED236" i="7" s="1"/>
  <c r="EC281" i="7"/>
  <c r="EC297" i="7"/>
  <c r="ED120" i="7"/>
  <c r="ED297" i="7" s="1"/>
  <c r="ED144" i="7"/>
  <c r="EF17" i="7"/>
  <c r="EF137" i="7"/>
  <c r="EF57" i="7"/>
  <c r="EF67" i="7"/>
  <c r="EF315" i="7"/>
  <c r="EF49" i="7"/>
  <c r="EF36" i="7"/>
  <c r="EF35" i="7" s="1"/>
  <c r="EE231" i="7"/>
  <c r="EF228" i="7"/>
  <c r="EC153" i="7"/>
  <c r="ED152" i="7"/>
  <c r="ED208" i="7"/>
  <c r="EC199" i="7"/>
  <c r="EC65" i="7"/>
  <c r="EC104" i="7" s="1"/>
  <c r="EC207" i="7"/>
  <c r="EC112" i="7"/>
  <c r="EC188" i="7"/>
  <c r="EC30" i="7"/>
  <c r="EC21" i="7" s="1"/>
  <c r="EJ82" i="7"/>
  <c r="EC231" i="7"/>
  <c r="ED232" i="7" s="1"/>
  <c r="EC134" i="7"/>
  <c r="EC238" i="7" s="1"/>
  <c r="EC179" i="7"/>
  <c r="EM18" i="7" l="1"/>
  <c r="EM86" i="7"/>
  <c r="EM279" i="7"/>
  <c r="EM281" i="7" s="1"/>
  <c r="EL281" i="7"/>
  <c r="EC16" i="7"/>
  <c r="EJ85" i="7" s="1"/>
  <c r="EC98" i="7"/>
  <c r="EC48" i="7"/>
  <c r="EC137" i="7" s="1"/>
  <c r="EC78" i="7"/>
  <c r="ED179" i="7"/>
  <c r="ED189" i="7" s="1"/>
  <c r="ED209" i="7" s="1"/>
  <c r="ED219" i="7" s="1"/>
  <c r="ED237" i="7"/>
  <c r="ED238" i="7"/>
  <c r="ED154" i="7"/>
  <c r="ED135" i="7"/>
  <c r="EF226" i="7"/>
  <c r="EF222" i="7"/>
  <c r="EF58" i="7"/>
  <c r="EF90" i="7" s="1"/>
  <c r="EF223" i="7"/>
  <c r="EF227" i="7"/>
  <c r="EF311" i="7"/>
  <c r="EF314" i="7" s="1"/>
  <c r="EF224" i="7"/>
  <c r="EF138" i="7"/>
  <c r="EF91" i="7"/>
  <c r="EF72" i="7"/>
  <c r="EF93" i="7"/>
  <c r="EF95" i="7" s="1"/>
  <c r="EF231" i="7"/>
  <c r="EF225" i="7"/>
  <c r="EC208" i="7"/>
  <c r="EC189" i="7"/>
  <c r="EC237" i="7"/>
  <c r="EC236" i="7"/>
  <c r="EC291" i="7"/>
  <c r="EC167" i="7"/>
  <c r="EC169" i="7" s="1"/>
  <c r="EC88" i="7"/>
  <c r="EI232" i="7" l="1"/>
  <c r="EI106" i="7" s="1"/>
  <c r="EM232" i="7"/>
  <c r="EM106" i="7" s="1"/>
  <c r="EC315" i="7"/>
  <c r="EJ50" i="7"/>
  <c r="EC67" i="7"/>
  <c r="EC93" i="7" s="1"/>
  <c r="EC95" i="7" s="1"/>
  <c r="EC96" i="7" s="1"/>
  <c r="EC57" i="7"/>
  <c r="EC36" i="7"/>
  <c r="EG232" i="7"/>
  <c r="EG106" i="7" s="1"/>
  <c r="EG109" i="7" s="1"/>
  <c r="EI109" i="7" s="1"/>
  <c r="EC209" i="7"/>
  <c r="EC219" i="7" s="1"/>
  <c r="EF99" i="7"/>
  <c r="EF96" i="7"/>
  <c r="EF242" i="7"/>
  <c r="EF73" i="7"/>
  <c r="EM74" i="7" s="1"/>
  <c r="EF233" i="7"/>
  <c r="EC49" i="7"/>
  <c r="EC17" i="7"/>
  <c r="EC103" i="7" l="1"/>
  <c r="EC290" i="7" s="1"/>
  <c r="EC1" i="7"/>
  <c r="EL106" i="7"/>
  <c r="EK106" i="7" s="1"/>
  <c r="EM109" i="7"/>
  <c r="EL109" i="7" s="1"/>
  <c r="EK109" i="7" s="1"/>
  <c r="EC99" i="7"/>
  <c r="EC72" i="7"/>
  <c r="EC73" i="7" s="1"/>
  <c r="EJ74" i="7" s="1"/>
  <c r="EJ18" i="7"/>
  <c r="EJ86" i="7"/>
  <c r="EC138" i="7"/>
  <c r="EF76" i="7"/>
  <c r="EF258" i="7" s="1"/>
  <c r="EF261" i="7" s="1"/>
  <c r="EM263" i="7" s="1"/>
  <c r="EC97" i="7"/>
  <c r="EC233" i="7"/>
  <c r="EC311" i="7"/>
  <c r="EC314" i="7" s="1"/>
  <c r="EC224" i="7"/>
  <c r="EC226" i="7"/>
  <c r="EC227" i="7"/>
  <c r="EC222" i="7"/>
  <c r="EC223" i="7"/>
  <c r="EC225" i="7"/>
  <c r="EC91" i="7"/>
  <c r="EC58" i="7"/>
  <c r="EC90" i="7" s="1"/>
  <c r="EC76" i="7" l="1"/>
  <c r="EC258" i="7" s="1"/>
  <c r="EC261" i="7" s="1"/>
  <c r="EJ263" i="7" s="1"/>
  <c r="EC79" i="7"/>
  <c r="EC257" i="7" s="1"/>
  <c r="EC260" i="7" s="1"/>
  <c r="EJ262" i="7" s="1"/>
  <c r="EF272" i="7"/>
  <c r="EC296" i="7" l="1"/>
  <c r="EC298" i="7" s="1"/>
  <c r="EC271" i="7"/>
  <c r="EC272" i="7"/>
  <c r="EC273" i="7"/>
  <c r="F27" i="4"/>
  <c r="C42" i="4"/>
  <c r="EA77" i="7" l="1"/>
  <c r="EA66" i="7"/>
  <c r="EA64" i="7"/>
  <c r="EA68" i="7"/>
  <c r="EA29" i="7"/>
  <c r="EB19" i="7"/>
  <c r="EE19" i="7" s="1"/>
  <c r="ED19" i="7" s="1"/>
  <c r="ED156" i="7" s="1"/>
  <c r="DT19" i="7"/>
  <c r="EB112" i="7"/>
  <c r="EE112" i="7" s="1"/>
  <c r="EB123" i="7"/>
  <c r="EB122" i="7"/>
  <c r="EB117" i="7"/>
  <c r="EE117" i="7" s="1"/>
  <c r="EA206" i="7"/>
  <c r="EB206" i="7" s="1"/>
  <c r="EA203" i="7"/>
  <c r="EB203" i="7" s="1"/>
  <c r="EA198" i="7"/>
  <c r="EB198" i="7" s="1"/>
  <c r="EA193" i="7"/>
  <c r="EB193" i="7" s="1"/>
  <c r="EA187" i="7"/>
  <c r="EB187" i="7" s="1"/>
  <c r="EA185" i="7"/>
  <c r="EB185" i="7" s="1"/>
  <c r="EA178" i="7"/>
  <c r="EB178" i="7" s="1"/>
  <c r="EA174" i="7"/>
  <c r="EA175" i="7" s="1"/>
  <c r="EA6" i="7"/>
  <c r="EB6" i="7"/>
  <c r="EB15" i="7"/>
  <c r="EE15" i="7" s="1"/>
  <c r="ED15" i="7" s="1"/>
  <c r="EB20" i="7"/>
  <c r="EE20" i="7" s="1"/>
  <c r="ED20" i="7" s="1"/>
  <c r="EA22" i="7"/>
  <c r="EB43" i="7"/>
  <c r="EB44" i="7"/>
  <c r="EB46" i="7"/>
  <c r="EE46" i="7" s="1"/>
  <c r="ED46" i="7" s="1"/>
  <c r="EB52" i="7"/>
  <c r="EE52" i="7" s="1"/>
  <c r="ED52" i="7" s="1"/>
  <c r="EB53" i="7"/>
  <c r="EE53" i="7" s="1"/>
  <c r="ED53" i="7" s="1"/>
  <c r="EB54" i="7"/>
  <c r="EE54" i="7" s="1"/>
  <c r="ED54" i="7" s="1"/>
  <c r="EB55" i="7"/>
  <c r="EE55" i="7" s="1"/>
  <c r="ED55" i="7" s="1"/>
  <c r="EB56" i="7"/>
  <c r="EE56" i="7" s="1"/>
  <c r="ED56" i="7" s="1"/>
  <c r="EB60" i="7"/>
  <c r="EE60" i="7" s="1"/>
  <c r="EB69" i="7"/>
  <c r="EE69" i="7" s="1"/>
  <c r="ED69" i="7" s="1"/>
  <c r="ED78" i="7" s="1"/>
  <c r="EE78" i="7" s="1"/>
  <c r="EA78" i="7"/>
  <c r="EA108" i="7"/>
  <c r="EA110" i="7"/>
  <c r="EA113" i="7"/>
  <c r="EA115" i="7"/>
  <c r="EA116" i="7"/>
  <c r="EA165" i="7" s="1"/>
  <c r="EA120" i="7"/>
  <c r="EA297" i="7" s="1"/>
  <c r="EA125" i="7"/>
  <c r="EA131" i="7"/>
  <c r="EA132" i="7"/>
  <c r="EA146" i="7"/>
  <c r="EA156" i="7"/>
  <c r="EB165" i="7"/>
  <c r="EA168" i="7"/>
  <c r="EB168" i="7" s="1"/>
  <c r="EB173" i="7"/>
  <c r="EB131" i="7" s="1"/>
  <c r="EB176" i="7"/>
  <c r="EB177" i="7"/>
  <c r="EB181" i="7"/>
  <c r="EB182" i="7"/>
  <c r="EB183" i="7"/>
  <c r="EB184" i="7"/>
  <c r="EB186" i="7"/>
  <c r="EB191" i="7"/>
  <c r="EB192" i="7"/>
  <c r="EB194" i="7"/>
  <c r="EB195" i="7"/>
  <c r="EB196" i="7"/>
  <c r="EB197" i="7"/>
  <c r="EB201" i="7"/>
  <c r="EB202" i="7"/>
  <c r="EB204" i="7"/>
  <c r="EB205" i="7"/>
  <c r="EB211" i="7"/>
  <c r="EB212" i="7"/>
  <c r="EB213" i="7"/>
  <c r="EB215" i="7"/>
  <c r="EA218" i="7"/>
  <c r="EA228" i="7"/>
  <c r="EB228" i="7" s="1"/>
  <c r="EA229" i="7"/>
  <c r="EB229" i="7" s="1"/>
  <c r="EA230" i="7"/>
  <c r="EB230" i="7" s="1"/>
  <c r="EA246" i="7"/>
  <c r="EB246" i="7"/>
  <c r="EB247" i="7" s="1"/>
  <c r="EB253" i="7" s="1"/>
  <c r="EA249" i="7"/>
  <c r="EA250" i="7"/>
  <c r="EA251" i="7"/>
  <c r="EA255" i="7"/>
  <c r="EB265" i="7"/>
  <c r="EA267" i="7"/>
  <c r="EH268" i="7" s="1"/>
  <c r="EA281" i="7"/>
  <c r="EB283" i="7"/>
  <c r="EA285" i="7"/>
  <c r="EA295" i="7"/>
  <c r="EB312" i="7"/>
  <c r="ED312" i="7" s="1"/>
  <c r="EB313" i="7"/>
  <c r="EE44" i="7" l="1"/>
  <c r="EH83" i="7"/>
  <c r="EE43" i="7"/>
  <c r="EB68" i="7"/>
  <c r="EB70" i="7" s="1"/>
  <c r="ED77" i="7"/>
  <c r="EE77" i="7" s="1"/>
  <c r="EC122" i="7"/>
  <c r="EE122" i="7"/>
  <c r="ED112" i="7"/>
  <c r="EE164" i="7"/>
  <c r="EE312" i="7"/>
  <c r="EB285" i="7"/>
  <c r="ED283" i="7"/>
  <c r="ED158" i="7"/>
  <c r="ED155" i="7"/>
  <c r="EC123" i="7"/>
  <c r="EE123" i="7"/>
  <c r="EB267" i="7"/>
  <c r="EI268" i="7" s="1"/>
  <c r="EF265" i="7"/>
  <c r="ED60" i="7"/>
  <c r="EB22" i="7"/>
  <c r="ED313" i="7"/>
  <c r="EC117" i="7"/>
  <c r="EC118" i="7" s="1"/>
  <c r="EA122" i="7"/>
  <c r="EB164" i="7"/>
  <c r="EC242" i="7"/>
  <c r="EA188" i="7"/>
  <c r="EA134" i="7"/>
  <c r="EA238" i="7" s="1"/>
  <c r="EA207" i="7"/>
  <c r="EA30" i="7"/>
  <c r="EA167" i="7" s="1"/>
  <c r="EA169" i="7" s="1"/>
  <c r="EB174" i="7"/>
  <c r="EB218" i="7"/>
  <c r="EA142" i="7"/>
  <c r="EB132" i="7"/>
  <c r="EB134" i="7" s="1"/>
  <c r="EB188" i="7"/>
  <c r="EB231" i="7"/>
  <c r="EB207" i="7"/>
  <c r="EA179" i="7"/>
  <c r="EA153" i="7"/>
  <c r="EB175" i="7"/>
  <c r="EA158" i="7"/>
  <c r="EA148" i="7"/>
  <c r="EB124" i="7"/>
  <c r="EE124" i="7" s="1"/>
  <c r="EA61" i="7"/>
  <c r="EA65" i="7" s="1"/>
  <c r="EA117" i="7"/>
  <c r="EB199" i="7"/>
  <c r="EA70" i="7"/>
  <c r="EA231" i="7"/>
  <c r="EA199" i="7"/>
  <c r="EA98" i="7"/>
  <c r="EE68" i="7" l="1"/>
  <c r="EI83" i="7"/>
  <c r="EH82" i="7"/>
  <c r="ED43" i="7"/>
  <c r="ED44" i="7"/>
  <c r="ED123" i="7"/>
  <c r="ED117" i="7"/>
  <c r="ED122" i="7"/>
  <c r="EC124" i="7"/>
  <c r="ED124" i="7" s="1"/>
  <c r="EE313" i="7"/>
  <c r="EE22" i="7" s="1"/>
  <c r="ED22" i="7"/>
  <c r="EL83" i="7"/>
  <c r="ED285" i="7"/>
  <c r="EE283" i="7"/>
  <c r="ED146" i="7"/>
  <c r="EF267" i="7"/>
  <c r="EM268" i="7" s="1"/>
  <c r="EF271" i="7"/>
  <c r="EC135" i="7"/>
  <c r="EE135" i="7"/>
  <c r="ED164" i="7"/>
  <c r="EC152" i="7"/>
  <c r="EC154" i="7" s="1"/>
  <c r="EE152" i="7"/>
  <c r="EE154" i="7" s="1"/>
  <c r="EC232" i="7"/>
  <c r="EC106" i="7" s="1"/>
  <c r="EC109" i="7" s="1"/>
  <c r="EE232" i="7"/>
  <c r="EC164" i="7"/>
  <c r="EA89" i="7"/>
  <c r="EB105" i="7"/>
  <c r="EE105" i="7" s="1"/>
  <c r="ED105" i="7" s="1"/>
  <c r="EA236" i="7"/>
  <c r="EA237" i="7"/>
  <c r="EA189" i="7"/>
  <c r="EA88" i="7"/>
  <c r="EA48" i="7"/>
  <c r="EA21" i="7"/>
  <c r="EA208" i="7"/>
  <c r="EA291" i="7"/>
  <c r="EB118" i="7"/>
  <c r="EB128" i="7"/>
  <c r="EE128" i="7" s="1"/>
  <c r="EB142" i="7"/>
  <c r="EE141" i="7" s="1"/>
  <c r="EE144" i="7" s="1"/>
  <c r="EB208" i="7"/>
  <c r="EA105" i="7"/>
  <c r="EB179" i="7"/>
  <c r="EB189" i="7" s="1"/>
  <c r="EB153" i="7"/>
  <c r="EB238" i="7"/>
  <c r="EB236" i="7"/>
  <c r="EC241" i="7" s="1"/>
  <c r="EB237" i="7"/>
  <c r="EB89" i="7" l="1"/>
  <c r="EI82" i="7"/>
  <c r="ED68" i="7"/>
  <c r="EE98" i="7"/>
  <c r="EE70" i="7"/>
  <c r="EA67" i="7"/>
  <c r="EH50" i="7"/>
  <c r="EE285" i="7"/>
  <c r="EF283" i="7"/>
  <c r="EF285" i="7" s="1"/>
  <c r="ED148" i="7"/>
  <c r="EE146" i="7"/>
  <c r="ED145" i="7"/>
  <c r="EK83" i="7"/>
  <c r="EB127" i="7"/>
  <c r="EE127" i="7" s="1"/>
  <c r="EE118" i="7"/>
  <c r="ED118" i="7" s="1"/>
  <c r="EF273" i="7"/>
  <c r="EL82" i="7"/>
  <c r="EC240" i="7"/>
  <c r="EA209" i="7"/>
  <c r="EA219" i="7" s="1"/>
  <c r="EA36" i="7"/>
  <c r="EA1" i="7" s="1"/>
  <c r="EA57" i="7"/>
  <c r="EA315" i="7"/>
  <c r="EB88" i="7"/>
  <c r="EA104" i="7"/>
  <c r="EA137" i="7"/>
  <c r="EB209" i="7"/>
  <c r="EB219" i="7" s="1"/>
  <c r="EE16" i="7" l="1"/>
  <c r="EL85" i="7" s="1"/>
  <c r="EE88" i="7"/>
  <c r="ED70" i="7"/>
  <c r="ED98" i="7"/>
  <c r="EE89" i="7"/>
  <c r="EA138" i="7"/>
  <c r="ED48" i="7"/>
  <c r="EE48" i="7"/>
  <c r="EL50" i="7" s="1"/>
  <c r="EK82" i="7"/>
  <c r="EE148" i="7"/>
  <c r="EE145" i="7"/>
  <c r="ED89" i="7"/>
  <c r="EA16" i="7"/>
  <c r="EA103" i="7"/>
  <c r="EA290" i="7" s="1"/>
  <c r="EA72" i="7"/>
  <c r="EA93" i="7"/>
  <c r="EA95" i="7" s="1"/>
  <c r="ED16" i="7" l="1"/>
  <c r="EK85" i="7" s="1"/>
  <c r="ED241" i="7"/>
  <c r="EK50" i="7"/>
  <c r="EA49" i="7"/>
  <c r="EH85" i="7"/>
  <c r="ED315" i="7"/>
  <c r="ED57" i="7"/>
  <c r="ED240" i="7"/>
  <c r="EE241" i="7"/>
  <c r="EE315" i="7"/>
  <c r="EE57" i="7"/>
  <c r="EE49" i="7"/>
  <c r="EE240" i="7"/>
  <c r="ED88" i="7"/>
  <c r="EE17" i="7"/>
  <c r="EA17" i="7"/>
  <c r="EA99" i="7"/>
  <c r="EA96" i="7"/>
  <c r="EA97" i="7" s="1"/>
  <c r="EA73" i="7"/>
  <c r="EA242" i="7"/>
  <c r="EA79" i="7"/>
  <c r="EL18" i="7" l="1"/>
  <c r="EL86" i="7"/>
  <c r="EA223" i="7"/>
  <c r="EH18" i="7"/>
  <c r="EH86" i="7"/>
  <c r="EA76" i="7"/>
  <c r="EA258" i="7" s="1"/>
  <c r="EA261" i="7" s="1"/>
  <c r="EH74" i="7"/>
  <c r="ED17" i="7"/>
  <c r="ED49" i="7"/>
  <c r="EE58" i="7"/>
  <c r="EE90" i="7" s="1"/>
  <c r="EE224" i="7"/>
  <c r="EE311" i="7"/>
  <c r="EE314" i="7" s="1"/>
  <c r="EE222" i="7"/>
  <c r="EE223" i="7"/>
  <c r="EE226" i="7"/>
  <c r="EE225" i="7"/>
  <c r="EE233" i="7"/>
  <c r="EE227" i="7"/>
  <c r="EA91" i="7"/>
  <c r="EA227" i="7"/>
  <c r="EA58" i="7"/>
  <c r="EA90" i="7" s="1"/>
  <c r="EA225" i="7"/>
  <c r="EA311" i="7"/>
  <c r="EA314" i="7" s="1"/>
  <c r="EA224" i="7"/>
  <c r="EA233" i="7"/>
  <c r="EA222" i="7"/>
  <c r="EA226" i="7"/>
  <c r="EA257" i="7"/>
  <c r="EA260" i="7" s="1"/>
  <c r="EH262" i="7" s="1"/>
  <c r="EA296" i="7"/>
  <c r="EK18" i="7" l="1"/>
  <c r="EK86" i="7"/>
  <c r="EH263" i="7"/>
  <c r="ED223" i="7"/>
  <c r="ED311" i="7"/>
  <c r="ED314" i="7" s="1"/>
  <c r="ED222" i="7"/>
  <c r="ED224" i="7"/>
  <c r="ED233" i="7"/>
  <c r="ED225" i="7"/>
  <c r="ED226" i="7"/>
  <c r="ED227" i="7"/>
  <c r="ED58" i="7"/>
  <c r="ED90" i="7" s="1"/>
  <c r="EA298" i="7"/>
  <c r="EA272" i="7"/>
  <c r="EA271" i="7"/>
  <c r="EA273" i="7"/>
  <c r="C57" i="4" l="1"/>
  <c r="C56" i="4"/>
  <c r="C58" i="4" s="1"/>
  <c r="DZ66" i="7" l="1"/>
  <c r="DZ64" i="7"/>
  <c r="DZ61" i="7"/>
  <c r="DZ121" i="7"/>
  <c r="EA121" i="7" s="1"/>
  <c r="DZ112" i="7"/>
  <c r="DV112" i="7"/>
  <c r="DZ29" i="7"/>
  <c r="EB29" i="7" s="1"/>
  <c r="DZ206" i="7"/>
  <c r="DZ203" i="7"/>
  <c r="DZ198" i="7"/>
  <c r="DZ193" i="7"/>
  <c r="DZ187" i="7"/>
  <c r="DZ185" i="7"/>
  <c r="DZ178" i="7"/>
  <c r="DZ174" i="7"/>
  <c r="DZ175" i="7" s="1"/>
  <c r="EA152" i="7" s="1"/>
  <c r="EA154" i="7" s="1"/>
  <c r="EA155" i="7" s="1"/>
  <c r="EC155" i="7" s="1"/>
  <c r="EC156" i="7" s="1"/>
  <c r="DZ123" i="7"/>
  <c r="EA123" i="7" s="1"/>
  <c r="DZ6" i="7"/>
  <c r="DZ22" i="7"/>
  <c r="DZ70" i="7"/>
  <c r="DZ78" i="7"/>
  <c r="EB78" i="7" s="1"/>
  <c r="EF78" i="7" s="1"/>
  <c r="EF79" i="7" s="1"/>
  <c r="DZ98" i="7"/>
  <c r="DZ131" i="7"/>
  <c r="DZ132" i="7"/>
  <c r="DZ142" i="7" s="1"/>
  <c r="DZ146" i="7"/>
  <c r="EB146" i="7" s="1"/>
  <c r="DZ156" i="7"/>
  <c r="DZ165" i="7"/>
  <c r="DZ168" i="7"/>
  <c r="DZ218" i="7"/>
  <c r="DZ228" i="7"/>
  <c r="DZ229" i="7"/>
  <c r="DZ230" i="7"/>
  <c r="DZ246" i="7"/>
  <c r="DZ248" i="7" s="1"/>
  <c r="DZ255" i="7"/>
  <c r="EB255" i="7" s="1"/>
  <c r="EF255" i="7" s="1"/>
  <c r="DZ267" i="7"/>
  <c r="EG268" i="7" s="1"/>
  <c r="DZ285" i="7"/>
  <c r="DZ295" i="7"/>
  <c r="DZ297" i="7"/>
  <c r="EG83" i="7" l="1"/>
  <c r="DZ231" i="7"/>
  <c r="EA232" i="7" s="1"/>
  <c r="EA106" i="7" s="1"/>
  <c r="EA109" i="7" s="1"/>
  <c r="EB30" i="7"/>
  <c r="EB291" i="7" s="1"/>
  <c r="EE29" i="7"/>
  <c r="EB148" i="7"/>
  <c r="EF146" i="7"/>
  <c r="EF103" i="7"/>
  <c r="EC158" i="7"/>
  <c r="EE156" i="7"/>
  <c r="DZ105" i="7"/>
  <c r="EB66" i="7"/>
  <c r="EE66" i="7" s="1"/>
  <c r="ED66" i="7" s="1"/>
  <c r="EA124" i="7"/>
  <c r="DZ158" i="7"/>
  <c r="EB156" i="7"/>
  <c r="EB158" i="7" s="1"/>
  <c r="DZ164" i="7"/>
  <c r="EA112" i="7"/>
  <c r="EA164" i="7" s="1"/>
  <c r="DZ65" i="7"/>
  <c r="EB61" i="7"/>
  <c r="EE61" i="7" s="1"/>
  <c r="DZ77" i="7"/>
  <c r="EB77" i="7" s="1"/>
  <c r="EB64" i="7"/>
  <c r="DZ199" i="7"/>
  <c r="DZ179" i="7"/>
  <c r="DZ207" i="7"/>
  <c r="DZ188" i="7"/>
  <c r="DZ124" i="7"/>
  <c r="DZ114" i="7"/>
  <c r="DZ30" i="7"/>
  <c r="DZ134" i="7"/>
  <c r="EA135" i="7" s="1"/>
  <c r="DZ148" i="7"/>
  <c r="DZ153" i="7"/>
  <c r="EE64" i="7" l="1"/>
  <c r="EG82" i="7"/>
  <c r="EB167" i="7"/>
  <c r="EB169" i="7" s="1"/>
  <c r="EB21" i="7"/>
  <c r="EF156" i="7"/>
  <c r="ED61" i="7"/>
  <c r="EE65" i="7"/>
  <c r="EE137" i="7" s="1"/>
  <c r="EF148" i="7"/>
  <c r="EF290" i="7"/>
  <c r="ED29" i="7"/>
  <c r="ED30" i="7" s="1"/>
  <c r="EE30" i="7"/>
  <c r="EF296" i="7"/>
  <c r="EF298" i="7" s="1"/>
  <c r="EF257" i="7"/>
  <c r="EF260" i="7" s="1"/>
  <c r="EE158" i="7"/>
  <c r="EE155" i="7"/>
  <c r="DZ89" i="7"/>
  <c r="EB65" i="7"/>
  <c r="DZ128" i="7"/>
  <c r="EA114" i="7"/>
  <c r="DZ208" i="7"/>
  <c r="DZ189" i="7"/>
  <c r="DZ48" i="7"/>
  <c r="DZ118" i="7"/>
  <c r="DZ238" i="7"/>
  <c r="DZ167" i="7"/>
  <c r="DZ169" i="7" s="1"/>
  <c r="DZ21" i="7"/>
  <c r="DZ104" i="7"/>
  <c r="DZ291" i="7"/>
  <c r="DZ161" i="7"/>
  <c r="DZ88" i="7"/>
  <c r="DZ236" i="7"/>
  <c r="EA241" i="7" s="1"/>
  <c r="DZ237" i="7"/>
  <c r="F31" i="4"/>
  <c r="F29" i="4"/>
  <c r="EM262" i="7" l="1"/>
  <c r="DZ16" i="7"/>
  <c r="DZ17" i="7" s="1"/>
  <c r="DZ225" i="7" s="1"/>
  <c r="ED64" i="7"/>
  <c r="EB16" i="7"/>
  <c r="DZ57" i="7"/>
  <c r="EG50" i="7"/>
  <c r="F33" i="4"/>
  <c r="EE67" i="7"/>
  <c r="EE93" i="7" s="1"/>
  <c r="EE95" i="7" s="1"/>
  <c r="ED291" i="7"/>
  <c r="ED167" i="7"/>
  <c r="ED169" i="7" s="1"/>
  <c r="ED21" i="7"/>
  <c r="ED161" i="7"/>
  <c r="ED36" i="7"/>
  <c r="ED1" i="7" s="1"/>
  <c r="EE167" i="7"/>
  <c r="EE169" i="7" s="1"/>
  <c r="EE161" i="7"/>
  <c r="EE21" i="7"/>
  <c r="EE36" i="7"/>
  <c r="EF158" i="7"/>
  <c r="EB104" i="7"/>
  <c r="EE104" i="7" s="1"/>
  <c r="ED104" i="7" s="1"/>
  <c r="EB48" i="7"/>
  <c r="DZ209" i="7"/>
  <c r="DZ219" i="7" s="1"/>
  <c r="EA240" i="7"/>
  <c r="EA128" i="7"/>
  <c r="EA118" i="7"/>
  <c r="EA127" i="7" s="1"/>
  <c r="EA126" i="7" s="1"/>
  <c r="DZ67" i="7"/>
  <c r="DZ72" i="7" s="1"/>
  <c r="DZ73" i="7" s="1"/>
  <c r="DZ127" i="7"/>
  <c r="DZ126" i="7" s="1"/>
  <c r="DZ315" i="7"/>
  <c r="DZ137" i="7"/>
  <c r="DZ36" i="7"/>
  <c r="DZ1" i="7" s="1"/>
  <c r="DZ49" i="7" l="1"/>
  <c r="EG85" i="7"/>
  <c r="ED65" i="7"/>
  <c r="EB17" i="7"/>
  <c r="EB222" i="7" s="1"/>
  <c r="EI85" i="7"/>
  <c r="EB67" i="7"/>
  <c r="EB93" i="7" s="1"/>
  <c r="EB95" i="7" s="1"/>
  <c r="EB99" i="7" s="1"/>
  <c r="EI50" i="7"/>
  <c r="DZ233" i="7"/>
  <c r="DZ224" i="7"/>
  <c r="DZ226" i="7"/>
  <c r="DZ223" i="7"/>
  <c r="DZ91" i="7"/>
  <c r="DZ311" i="7"/>
  <c r="DZ314" i="7" s="1"/>
  <c r="DZ222" i="7"/>
  <c r="DZ227" i="7"/>
  <c r="DZ58" i="7"/>
  <c r="DZ90" i="7" s="1"/>
  <c r="EG86" i="7"/>
  <c r="EG18" i="7"/>
  <c r="DZ76" i="7"/>
  <c r="EG74" i="7"/>
  <c r="EE72" i="7"/>
  <c r="EE242" i="7" s="1"/>
  <c r="EE138" i="7"/>
  <c r="EE91" i="7"/>
  <c r="ED138" i="7"/>
  <c r="ED91" i="7"/>
  <c r="EE99" i="7"/>
  <c r="EE96" i="7"/>
  <c r="EE97" i="7" s="1"/>
  <c r="EB315" i="7"/>
  <c r="EB57" i="7"/>
  <c r="EB137" i="7"/>
  <c r="EB49" i="7"/>
  <c r="EB36" i="7"/>
  <c r="EB126" i="7"/>
  <c r="DZ103" i="7"/>
  <c r="DZ290" i="7" s="1"/>
  <c r="DZ138" i="7"/>
  <c r="DZ93" i="7"/>
  <c r="DZ95" i="7" s="1"/>
  <c r="EB223" i="7" l="1"/>
  <c r="EB224" i="7"/>
  <c r="EE73" i="7"/>
  <c r="EB58" i="7"/>
  <c r="EB90" i="7" s="1"/>
  <c r="ED137" i="7"/>
  <c r="ED67" i="7"/>
  <c r="EB311" i="7"/>
  <c r="EB314" i="7" s="1"/>
  <c r="EB226" i="7"/>
  <c r="EB103" i="7"/>
  <c r="EE103" i="7" s="1"/>
  <c r="ED103" i="7" s="1"/>
  <c r="ED290" i="7" s="1"/>
  <c r="EB233" i="7"/>
  <c r="EB227" i="7"/>
  <c r="EB225" i="7"/>
  <c r="EB72" i="7"/>
  <c r="EB73" i="7" s="1"/>
  <c r="EI18" i="7"/>
  <c r="EI86" i="7"/>
  <c r="EE79" i="7"/>
  <c r="EE257" i="7" s="1"/>
  <c r="EB138" i="7"/>
  <c r="EB91" i="7"/>
  <c r="DZ99" i="7"/>
  <c r="DZ96" i="7"/>
  <c r="DZ97" i="7" s="1"/>
  <c r="EB97" i="7" s="1"/>
  <c r="EF97" i="7" s="1"/>
  <c r="DZ242" i="7"/>
  <c r="DZ79" i="7"/>
  <c r="DZ257" i="7" s="1"/>
  <c r="DZ260" i="7" s="1"/>
  <c r="EG262" i="7" s="1"/>
  <c r="DY22" i="7"/>
  <c r="EE76" i="7" l="1"/>
  <c r="EE258" i="7" s="1"/>
  <c r="EE261" i="7" s="1"/>
  <c r="EL263" i="7" s="1"/>
  <c r="EL74" i="7"/>
  <c r="EB290" i="7"/>
  <c r="EB242" i="7"/>
  <c r="ED72" i="7"/>
  <c r="ED93" i="7"/>
  <c r="ED95" i="7" s="1"/>
  <c r="EB79" i="7"/>
  <c r="EB257" i="7" s="1"/>
  <c r="EB260" i="7" s="1"/>
  <c r="EI262" i="7" s="1"/>
  <c r="EB76" i="7"/>
  <c r="EB258" i="7" s="1"/>
  <c r="EB261" i="7" s="1"/>
  <c r="EI74" i="7"/>
  <c r="EB96" i="7"/>
  <c r="EB98" i="7"/>
  <c r="DZ296" i="7"/>
  <c r="DZ298" i="7" s="1"/>
  <c r="DZ258" i="7"/>
  <c r="DZ261" i="7" s="1"/>
  <c r="DV126" i="7"/>
  <c r="DY116" i="7"/>
  <c r="DY125" i="7"/>
  <c r="DX125" i="7" s="1"/>
  <c r="EE272" i="7" l="1"/>
  <c r="EE273" i="7"/>
  <c r="EE271" i="7"/>
  <c r="EG263" i="7"/>
  <c r="ED99" i="7"/>
  <c r="ED96" i="7"/>
  <c r="ED97" i="7" s="1"/>
  <c r="EE260" i="7"/>
  <c r="EL262" i="7" s="1"/>
  <c r="ED242" i="7"/>
  <c r="ED73" i="7"/>
  <c r="ED79" i="7"/>
  <c r="EB271" i="7"/>
  <c r="ED260" i="7"/>
  <c r="EK262" i="7" s="1"/>
  <c r="EB273" i="7"/>
  <c r="EB272" i="7"/>
  <c r="ED261" i="7"/>
  <c r="EK263" i="7" s="1"/>
  <c r="EI263" i="7"/>
  <c r="DZ273" i="7"/>
  <c r="DZ272" i="7"/>
  <c r="DZ271" i="7"/>
  <c r="ED76" i="7" l="1"/>
  <c r="ED258" i="7" s="1"/>
  <c r="EK74" i="7"/>
  <c r="ED296" i="7"/>
  <c r="ED298" i="7" s="1"/>
  <c r="ED257" i="7"/>
  <c r="ED273" i="7"/>
  <c r="ED271" i="7"/>
  <c r="ED272" i="7"/>
  <c r="DY77" i="7" l="1"/>
  <c r="DY29" i="7"/>
  <c r="DR77" i="7"/>
  <c r="DS203" i="7"/>
  <c r="DY206" i="7"/>
  <c r="DX206" i="7" s="1"/>
  <c r="DW206" i="7" s="1"/>
  <c r="DY203" i="7"/>
  <c r="DX203" i="7" s="1"/>
  <c r="DW203" i="7" s="1"/>
  <c r="DY198" i="7"/>
  <c r="DX198" i="7" s="1"/>
  <c r="DW198" i="7" s="1"/>
  <c r="DY193" i="7"/>
  <c r="DY187" i="7"/>
  <c r="DX187" i="7" s="1"/>
  <c r="DW187" i="7" s="1"/>
  <c r="DY185" i="7"/>
  <c r="DY178" i="7"/>
  <c r="DX178" i="7" s="1"/>
  <c r="DW178" i="7" s="1"/>
  <c r="DY174" i="7"/>
  <c r="DY175" i="7" s="1"/>
  <c r="DY123" i="7"/>
  <c r="DY122" i="7"/>
  <c r="DY117" i="7"/>
  <c r="DW6" i="7"/>
  <c r="DX6" i="7"/>
  <c r="DY6" i="7"/>
  <c r="DY65" i="7"/>
  <c r="DY70" i="7"/>
  <c r="DY98" i="7"/>
  <c r="DX108" i="7"/>
  <c r="DX110" i="7"/>
  <c r="DX112" i="7"/>
  <c r="DX113" i="7"/>
  <c r="DY114" i="7"/>
  <c r="DY128" i="7" s="1"/>
  <c r="DX115" i="7"/>
  <c r="DW115" i="7" s="1"/>
  <c r="DX116" i="7"/>
  <c r="DX120" i="7"/>
  <c r="DX121" i="7"/>
  <c r="DY131" i="7"/>
  <c r="DY132" i="7"/>
  <c r="DY142" i="7" s="1"/>
  <c r="EF141" i="7" s="1"/>
  <c r="EI141" i="7" s="1"/>
  <c r="DY164" i="7"/>
  <c r="DY165" i="7"/>
  <c r="DY168" i="7"/>
  <c r="DX173" i="7"/>
  <c r="DW173" i="7" s="1"/>
  <c r="DX176" i="7"/>
  <c r="DW176" i="7" s="1"/>
  <c r="DW229" i="7" s="1"/>
  <c r="DX229" i="7" s="1"/>
  <c r="DY229" i="7" s="1"/>
  <c r="DX177" i="7"/>
  <c r="DW177" i="7" s="1"/>
  <c r="DX181" i="7"/>
  <c r="DW181" i="7" s="1"/>
  <c r="DX182" i="7"/>
  <c r="DW182" i="7" s="1"/>
  <c r="DX183" i="7"/>
  <c r="DW183" i="7" s="1"/>
  <c r="DX184" i="7"/>
  <c r="DW184" i="7" s="1"/>
  <c r="DW168" i="7" s="1"/>
  <c r="DX186" i="7"/>
  <c r="DW186" i="7" s="1"/>
  <c r="DX191" i="7"/>
  <c r="DW191" i="7" s="1"/>
  <c r="DX192" i="7"/>
  <c r="DW192" i="7" s="1"/>
  <c r="DX194" i="7"/>
  <c r="DW194" i="7" s="1"/>
  <c r="DX195" i="7"/>
  <c r="DW195" i="7" s="1"/>
  <c r="DX196" i="7"/>
  <c r="DW196" i="7" s="1"/>
  <c r="DX197" i="7"/>
  <c r="DW197" i="7" s="1"/>
  <c r="DX201" i="7"/>
  <c r="DW201" i="7" s="1"/>
  <c r="DX202" i="7"/>
  <c r="DW202" i="7" s="1"/>
  <c r="DX204" i="7"/>
  <c r="DW204" i="7" s="1"/>
  <c r="DX205" i="7"/>
  <c r="DW205" i="7" s="1"/>
  <c r="DX211" i="7"/>
  <c r="DW211" i="7" s="1"/>
  <c r="DW295" i="7" s="1"/>
  <c r="DX212" i="7"/>
  <c r="DW212" i="7" s="1"/>
  <c r="DX213" i="7"/>
  <c r="DX214" i="7"/>
  <c r="DW214" i="7" s="1"/>
  <c r="DX215" i="7"/>
  <c r="DW215" i="7" s="1"/>
  <c r="DY218" i="7"/>
  <c r="DW246" i="7"/>
  <c r="DX246" i="7"/>
  <c r="DY246" i="7"/>
  <c r="DW249" i="7"/>
  <c r="DZ279" i="7" s="1"/>
  <c r="DX249" i="7"/>
  <c r="DW250" i="7"/>
  <c r="DX250" i="7"/>
  <c r="DW251" i="7"/>
  <c r="DX251" i="7"/>
  <c r="DW255" i="7"/>
  <c r="DW267" i="7"/>
  <c r="ED268" i="7" s="1"/>
  <c r="DX267" i="7"/>
  <c r="EE268" i="7" s="1"/>
  <c r="DY295" i="7"/>
  <c r="DY297" i="7"/>
  <c r="EI144" i="7" l="1"/>
  <c r="EI145" i="7" s="1"/>
  <c r="EJ141" i="7"/>
  <c r="EJ144" i="7" s="1"/>
  <c r="EJ145" i="7" s="1"/>
  <c r="EF83" i="7"/>
  <c r="EF144" i="7"/>
  <c r="EF145" i="7" s="1"/>
  <c r="EG141" i="7"/>
  <c r="EB152" i="7"/>
  <c r="EB154" i="7" s="1"/>
  <c r="EB155" i="7" s="1"/>
  <c r="EF152" i="7"/>
  <c r="EF154" i="7" s="1"/>
  <c r="EF155" i="7" s="1"/>
  <c r="DY105" i="7"/>
  <c r="DY104" i="7"/>
  <c r="DZ281" i="7"/>
  <c r="EB279" i="7"/>
  <c r="DX175" i="7"/>
  <c r="DX153" i="7" s="1"/>
  <c r="DZ152" i="7"/>
  <c r="DZ154" i="7" s="1"/>
  <c r="DZ155" i="7" s="1"/>
  <c r="DY30" i="7"/>
  <c r="DY167" i="7" s="1"/>
  <c r="DY169" i="7" s="1"/>
  <c r="DY153" i="7"/>
  <c r="DY179" i="7"/>
  <c r="DY124" i="7"/>
  <c r="DY207" i="7"/>
  <c r="DX218" i="7"/>
  <c r="DW213" i="7"/>
  <c r="DW218" i="7" s="1"/>
  <c r="DX207" i="7"/>
  <c r="DX132" i="7"/>
  <c r="DX142" i="7" s="1"/>
  <c r="DY134" i="7"/>
  <c r="DX164" i="7"/>
  <c r="DY118" i="7"/>
  <c r="DW230" i="7"/>
  <c r="DX230" i="7" s="1"/>
  <c r="DY230" i="7" s="1"/>
  <c r="DY188" i="7"/>
  <c r="DX185" i="7"/>
  <c r="DW116" i="7"/>
  <c r="DW165" i="7" s="1"/>
  <c r="DX165" i="7"/>
  <c r="DW228" i="7"/>
  <c r="DY199" i="7"/>
  <c r="DX193" i="7"/>
  <c r="DW207" i="7"/>
  <c r="DW132" i="7"/>
  <c r="DW131" i="7"/>
  <c r="DX174" i="7"/>
  <c r="DW174" i="7" s="1"/>
  <c r="DX168" i="7"/>
  <c r="DX131" i="7"/>
  <c r="H14" i="3"/>
  <c r="H23" i="3"/>
  <c r="H42" i="3" s="1"/>
  <c r="H28" i="3"/>
  <c r="H30" i="3"/>
  <c r="H31" i="3"/>
  <c r="H34" i="3"/>
  <c r="H35" i="3"/>
  <c r="H39" i="3"/>
  <c r="EF82" i="7" l="1"/>
  <c r="H37" i="4"/>
  <c r="G37" i="4"/>
  <c r="C46" i="4"/>
  <c r="F37" i="4"/>
  <c r="EG144" i="7"/>
  <c r="EG145" i="7" s="1"/>
  <c r="EH141" i="7"/>
  <c r="EH144" i="7" s="1"/>
  <c r="EH145" i="7" s="1"/>
  <c r="EB281" i="7"/>
  <c r="ED279" i="7"/>
  <c r="EB135" i="7"/>
  <c r="EF135" i="7"/>
  <c r="DY89" i="7"/>
  <c r="DX179" i="7"/>
  <c r="DW175" i="7"/>
  <c r="DW179" i="7" s="1"/>
  <c r="DY208" i="7"/>
  <c r="DY237" i="7"/>
  <c r="DZ135" i="7"/>
  <c r="DY21" i="7"/>
  <c r="DY161" i="7"/>
  <c r="DY127" i="7"/>
  <c r="DY88" i="7"/>
  <c r="DY189" i="7"/>
  <c r="DY291" i="7"/>
  <c r="DY48" i="7"/>
  <c r="EF50" i="7" s="1"/>
  <c r="DX134" i="7"/>
  <c r="DY238" i="7"/>
  <c r="DY236" i="7"/>
  <c r="EF241" i="7" s="1"/>
  <c r="DW185" i="7"/>
  <c r="DW188" i="7" s="1"/>
  <c r="DX188" i="7"/>
  <c r="DW231" i="7"/>
  <c r="DX228" i="7"/>
  <c r="DW134" i="7"/>
  <c r="DW142" i="7"/>
  <c r="DW193" i="7"/>
  <c r="DW199" i="7" s="1"/>
  <c r="DW208" i="7" s="1"/>
  <c r="DX199" i="7"/>
  <c r="DX208" i="7" s="1"/>
  <c r="DY16" i="7" l="1"/>
  <c r="EE279" i="7"/>
  <c r="ED281" i="7"/>
  <c r="EB240" i="7"/>
  <c r="EF240" i="7"/>
  <c r="DX189" i="7"/>
  <c r="DX209" i="7" s="1"/>
  <c r="DX219" i="7" s="1"/>
  <c r="DZ241" i="7"/>
  <c r="EB241" i="7"/>
  <c r="DW153" i="7"/>
  <c r="DW189" i="7"/>
  <c r="DW209" i="7" s="1"/>
  <c r="DW219" i="7" s="1"/>
  <c r="DY209" i="7"/>
  <c r="DY219" i="7" s="1"/>
  <c r="DZ240" i="7"/>
  <c r="DY137" i="7"/>
  <c r="DY57" i="7"/>
  <c r="DX238" i="7"/>
  <c r="DX236" i="7"/>
  <c r="DX237" i="7"/>
  <c r="DY36" i="7"/>
  <c r="DY67" i="7"/>
  <c r="DY72" i="7" s="1"/>
  <c r="DY73" i="7" s="1"/>
  <c r="DY315" i="7"/>
  <c r="DW237" i="7"/>
  <c r="DW236" i="7"/>
  <c r="DW238" i="7"/>
  <c r="DY228" i="7"/>
  <c r="DY231" i="7" s="1"/>
  <c r="DX231" i="7"/>
  <c r="DV121" i="7"/>
  <c r="DW121" i="7" s="1"/>
  <c r="DV125" i="7"/>
  <c r="DW125" i="7" s="1"/>
  <c r="DV110" i="7"/>
  <c r="DW110" i="7" s="1"/>
  <c r="DY49" i="7" l="1"/>
  <c r="DY17" i="7"/>
  <c r="DY91" i="7" s="1"/>
  <c r="EF85" i="7"/>
  <c r="EF232" i="7"/>
  <c r="EF106" i="7" s="1"/>
  <c r="EF109" i="7" s="1"/>
  <c r="DZ232" i="7"/>
  <c r="DZ106" i="7" s="1"/>
  <c r="DZ109" i="7" s="1"/>
  <c r="EB109" i="7" s="1"/>
  <c r="DY76" i="7"/>
  <c r="EF74" i="7"/>
  <c r="EF279" i="7"/>
  <c r="EF281" i="7" s="1"/>
  <c r="EE281" i="7"/>
  <c r="EB232" i="7"/>
  <c r="EB106" i="7" s="1"/>
  <c r="DY138" i="7"/>
  <c r="DY93" i="7"/>
  <c r="DY95" i="7" s="1"/>
  <c r="DY96" i="7" s="1"/>
  <c r="DY242" i="7"/>
  <c r="C45" i="4"/>
  <c r="DY227" i="7" l="1"/>
  <c r="DY224" i="7"/>
  <c r="EF86" i="7"/>
  <c r="DY226" i="7"/>
  <c r="EF18" i="7"/>
  <c r="DY58" i="7"/>
  <c r="DY90" i="7" s="1"/>
  <c r="DY233" i="7"/>
  <c r="DY225" i="7"/>
  <c r="DY311" i="7"/>
  <c r="DY314" i="7" s="1"/>
  <c r="DY223" i="7"/>
  <c r="DY222" i="7"/>
  <c r="D78" i="4"/>
  <c r="EE106" i="7"/>
  <c r="ED106" i="7" s="1"/>
  <c r="EE109" i="7"/>
  <c r="ED109" i="7" s="1"/>
  <c r="DY99" i="7"/>
  <c r="DY258" i="7"/>
  <c r="DY261" i="7" s="1"/>
  <c r="EF263" i="7" l="1"/>
  <c r="DY272" i="7"/>
  <c r="DV69" i="7"/>
  <c r="DV78" i="7" s="1"/>
  <c r="DV64" i="7"/>
  <c r="DO64" i="7"/>
  <c r="DV203" i="7"/>
  <c r="DV206" i="7"/>
  <c r="DV198" i="7"/>
  <c r="DV193" i="7"/>
  <c r="DV185" i="7"/>
  <c r="DV187" i="7"/>
  <c r="DV178" i="7"/>
  <c r="DV174" i="7"/>
  <c r="DV175" i="7" s="1"/>
  <c r="DV120" i="7"/>
  <c r="DW120" i="7" s="1"/>
  <c r="DW297" i="7" s="1"/>
  <c r="DW112" i="7"/>
  <c r="DO112" i="7"/>
  <c r="DV108" i="7"/>
  <c r="DW108" i="7" s="1"/>
  <c r="DV77" i="7"/>
  <c r="DV29" i="7"/>
  <c r="DV6" i="7"/>
  <c r="DV22" i="7"/>
  <c r="DV61" i="7"/>
  <c r="DV131" i="7"/>
  <c r="DV132" i="7"/>
  <c r="DV142" i="7" s="1"/>
  <c r="DW141" i="7" s="1"/>
  <c r="DW144" i="7" s="1"/>
  <c r="DV146" i="7"/>
  <c r="DV165" i="7"/>
  <c r="DV168" i="7"/>
  <c r="DV218" i="7"/>
  <c r="DV228" i="7"/>
  <c r="DV229" i="7"/>
  <c r="DV230" i="7"/>
  <c r="DV246" i="7"/>
  <c r="DV255" i="7"/>
  <c r="DX255" i="7" s="1"/>
  <c r="DV267" i="7"/>
  <c r="EC268" i="7" s="1"/>
  <c r="DV279" i="7"/>
  <c r="DV281" i="7" s="1"/>
  <c r="DV285" i="7"/>
  <c r="DV295" i="7"/>
  <c r="EC83" i="7" l="1"/>
  <c r="DV297" i="7"/>
  <c r="DV148" i="7"/>
  <c r="DV153" i="7"/>
  <c r="DW152" i="7"/>
  <c r="DW154" i="7" s="1"/>
  <c r="DV207" i="7"/>
  <c r="DV199" i="7"/>
  <c r="DV188" i="7"/>
  <c r="DV231" i="7"/>
  <c r="DW232" i="7" s="1"/>
  <c r="DV70" i="7"/>
  <c r="DV98" i="7"/>
  <c r="DV30" i="7"/>
  <c r="DV167" i="7" s="1"/>
  <c r="DV169" i="7" s="1"/>
  <c r="DV134" i="7"/>
  <c r="DV179" i="7"/>
  <c r="DV65" i="7"/>
  <c r="EC82" i="7" l="1"/>
  <c r="DV89" i="7"/>
  <c r="DV104" i="7"/>
  <c r="DV105" i="7"/>
  <c r="DV208" i="7"/>
  <c r="DV237" i="7"/>
  <c r="DW135" i="7"/>
  <c r="DV238" i="7"/>
  <c r="DV189" i="7"/>
  <c r="DV48" i="7"/>
  <c r="DV236" i="7"/>
  <c r="DV291" i="7"/>
  <c r="DV21" i="7"/>
  <c r="DV88" i="7"/>
  <c r="DV315" i="7" l="1"/>
  <c r="EC50" i="7"/>
  <c r="DV209" i="7"/>
  <c r="DV219" i="7" s="1"/>
  <c r="DV16" i="7"/>
  <c r="DV57" i="7"/>
  <c r="DV137" i="7"/>
  <c r="DV67" i="7"/>
  <c r="DV72" i="7" s="1"/>
  <c r="DV73" i="7" s="1"/>
  <c r="DV36" i="7"/>
  <c r="DV103" i="7" s="1"/>
  <c r="DV17" i="7" l="1"/>
  <c r="DV91" i="7" s="1"/>
  <c r="EC85" i="7"/>
  <c r="DV76" i="7"/>
  <c r="EC74" i="7"/>
  <c r="DV49" i="7"/>
  <c r="DV93" i="7"/>
  <c r="DV95" i="7" s="1"/>
  <c r="DV96" i="7" s="1"/>
  <c r="DV97" i="7" s="1"/>
  <c r="DV138" i="7"/>
  <c r="DV290" i="7"/>
  <c r="DV79" i="7"/>
  <c r="DV224" i="7" l="1"/>
  <c r="DV223" i="7"/>
  <c r="DV311" i="7"/>
  <c r="DV314" i="7" s="1"/>
  <c r="DV222" i="7"/>
  <c r="DV226" i="7"/>
  <c r="DV233" i="7"/>
  <c r="DV227" i="7"/>
  <c r="DV225" i="7"/>
  <c r="DV58" i="7"/>
  <c r="DV90" i="7" s="1"/>
  <c r="EC18" i="7"/>
  <c r="EC86" i="7"/>
  <c r="DV99" i="7"/>
  <c r="DV258" i="7"/>
  <c r="DV261" i="7" s="1"/>
  <c r="DV296" i="7"/>
  <c r="DV257" i="7"/>
  <c r="DV260" i="7" s="1"/>
  <c r="EC262" i="7" s="1"/>
  <c r="EC263" i="7" l="1"/>
  <c r="DV298" i="7"/>
  <c r="DV271" i="7"/>
  <c r="DV272" i="7"/>
  <c r="DV273" i="7"/>
  <c r="DV83" i="7" l="1"/>
  <c r="AD181" i="3"/>
  <c r="I74" i="3"/>
  <c r="I73" i="3"/>
  <c r="I72" i="3"/>
  <c r="I71" i="3"/>
  <c r="I66" i="3"/>
  <c r="I65" i="3"/>
  <c r="I63" i="3"/>
  <c r="I62" i="3"/>
  <c r="I59" i="3"/>
  <c r="I58" i="3"/>
  <c r="I56" i="3"/>
  <c r="I55" i="3"/>
  <c r="I50" i="3"/>
  <c r="I49" i="3"/>
  <c r="I48" i="3"/>
  <c r="I45" i="3"/>
  <c r="I44" i="3"/>
  <c r="I39" i="3"/>
  <c r="D39" i="3"/>
  <c r="C39" i="3"/>
  <c r="I35" i="3"/>
  <c r="E35" i="3"/>
  <c r="I34" i="3"/>
  <c r="D34" i="3"/>
  <c r="I31" i="3"/>
  <c r="I30" i="3"/>
  <c r="I28" i="3"/>
  <c r="L14" i="3"/>
  <c r="K14" i="3"/>
  <c r="J14" i="3"/>
  <c r="I14" i="3"/>
  <c r="G14" i="3"/>
  <c r="F14" i="3"/>
  <c r="E14" i="3"/>
  <c r="D14" i="3"/>
  <c r="C14" i="3"/>
  <c r="BD10" i="3"/>
  <c r="BE8" i="3"/>
  <c r="AW48" i="3" l="1"/>
  <c r="AZ48" i="3"/>
  <c r="AS48" i="3"/>
  <c r="AP48" i="3"/>
  <c r="DZ83" i="7"/>
  <c r="EA83" i="7"/>
  <c r="DY83" i="7"/>
  <c r="BA48" i="3"/>
  <c r="AT48" i="3"/>
  <c r="DU313" i="7"/>
  <c r="DN313" i="7"/>
  <c r="DP313" i="7" s="1"/>
  <c r="DQ313" i="7" s="1"/>
  <c r="DQ22" i="7" s="1"/>
  <c r="DG313" i="7"/>
  <c r="DI313" i="7" s="1"/>
  <c r="DJ313" i="7" s="1"/>
  <c r="DJ22" i="7" s="1"/>
  <c r="CZ313" i="7"/>
  <c r="DB313" i="7" s="1"/>
  <c r="DC313" i="7" s="1"/>
  <c r="DC22" i="7" s="1"/>
  <c r="CS313" i="7"/>
  <c r="CU313" i="7" s="1"/>
  <c r="CV313" i="7" s="1"/>
  <c r="CV22" i="7" s="1"/>
  <c r="CL313" i="7"/>
  <c r="CN313" i="7" s="1"/>
  <c r="CO313" i="7" s="1"/>
  <c r="CO22" i="7" s="1"/>
  <c r="CE313" i="7"/>
  <c r="CG313" i="7" s="1"/>
  <c r="CH313" i="7" s="1"/>
  <c r="CH22" i="7" s="1"/>
  <c r="BX313" i="7"/>
  <c r="BZ313" i="7" s="1"/>
  <c r="CA313" i="7" s="1"/>
  <c r="CA22" i="7" s="1"/>
  <c r="BQ313" i="7"/>
  <c r="BS313" i="7" s="1"/>
  <c r="BT313" i="7" s="1"/>
  <c r="BT22" i="7" s="1"/>
  <c r="BJ313" i="7"/>
  <c r="BL313" i="7" s="1"/>
  <c r="BM313" i="7" s="1"/>
  <c r="BM22" i="7" s="1"/>
  <c r="BC313" i="7"/>
  <c r="BE313" i="7" s="1"/>
  <c r="BF313" i="7" s="1"/>
  <c r="BF22" i="7" s="1"/>
  <c r="AV313" i="7"/>
  <c r="AX313" i="7" s="1"/>
  <c r="AY313" i="7" s="1"/>
  <c r="AY22" i="7" s="1"/>
  <c r="AO313" i="7"/>
  <c r="AQ313" i="7" s="1"/>
  <c r="AR313" i="7" s="1"/>
  <c r="AR22" i="7" s="1"/>
  <c r="AH313" i="7"/>
  <c r="AJ313" i="7" s="1"/>
  <c r="AK313" i="7" s="1"/>
  <c r="AK22" i="7" s="1"/>
  <c r="AA313" i="7"/>
  <c r="AC313" i="7" s="1"/>
  <c r="AD313" i="7" s="1"/>
  <c r="AD22" i="7" s="1"/>
  <c r="DU312" i="7"/>
  <c r="DW312" i="7" s="1"/>
  <c r="DN312" i="7"/>
  <c r="DP312" i="7" s="1"/>
  <c r="DQ312" i="7" s="1"/>
  <c r="DG312" i="7"/>
  <c r="DI312" i="7" s="1"/>
  <c r="DJ312" i="7" s="1"/>
  <c r="CZ312" i="7"/>
  <c r="DB312" i="7" s="1"/>
  <c r="DC312" i="7" s="1"/>
  <c r="CS312" i="7"/>
  <c r="CU312" i="7" s="1"/>
  <c r="CV312" i="7" s="1"/>
  <c r="CL312" i="7"/>
  <c r="CN312" i="7" s="1"/>
  <c r="CO312" i="7" s="1"/>
  <c r="CE312" i="7"/>
  <c r="CG312" i="7" s="1"/>
  <c r="CH312" i="7" s="1"/>
  <c r="BX312" i="7"/>
  <c r="BZ312" i="7" s="1"/>
  <c r="CA312" i="7" s="1"/>
  <c r="BQ312" i="7"/>
  <c r="BS312" i="7" s="1"/>
  <c r="BT312" i="7" s="1"/>
  <c r="BJ312" i="7"/>
  <c r="BL312" i="7" s="1"/>
  <c r="BM312" i="7" s="1"/>
  <c r="BC312" i="7"/>
  <c r="BE312" i="7" s="1"/>
  <c r="BF312" i="7" s="1"/>
  <c r="AV312" i="7"/>
  <c r="AX312" i="7" s="1"/>
  <c r="AY312" i="7" s="1"/>
  <c r="AO312" i="7"/>
  <c r="AQ312" i="7" s="1"/>
  <c r="AR312" i="7" s="1"/>
  <c r="AH312" i="7"/>
  <c r="AJ312" i="7" s="1"/>
  <c r="AK312" i="7" s="1"/>
  <c r="AA312" i="7"/>
  <c r="AC312" i="7" s="1"/>
  <c r="AD312" i="7" s="1"/>
  <c r="DS297" i="7"/>
  <c r="DR297" i="7"/>
  <c r="DL297" i="7"/>
  <c r="DK297" i="7"/>
  <c r="DH297" i="7"/>
  <c r="DF297" i="7"/>
  <c r="DE297" i="7"/>
  <c r="CY297" i="7"/>
  <c r="CX297" i="7"/>
  <c r="CU297" i="7"/>
  <c r="CR297" i="7"/>
  <c r="CQ297" i="7"/>
  <c r="CJ297" i="7"/>
  <c r="CI297" i="7"/>
  <c r="CC297" i="7"/>
  <c r="BU297" i="7"/>
  <c r="BO297" i="7"/>
  <c r="BN297" i="7"/>
  <c r="BH297" i="7"/>
  <c r="BG297" i="7"/>
  <c r="BA297" i="7"/>
  <c r="AZ297" i="7"/>
  <c r="AW297" i="7"/>
  <c r="AT297" i="7"/>
  <c r="AS297" i="7"/>
  <c r="AM297" i="7"/>
  <c r="AL297" i="7"/>
  <c r="AI297" i="7"/>
  <c r="AF297" i="7"/>
  <c r="AE297" i="7"/>
  <c r="AB297" i="7"/>
  <c r="Y297" i="7"/>
  <c r="X297" i="7"/>
  <c r="R297" i="7"/>
  <c r="Q297" i="7"/>
  <c r="N297" i="7"/>
  <c r="K297" i="7"/>
  <c r="DT295" i="7"/>
  <c r="DS295" i="7"/>
  <c r="DO295" i="7"/>
  <c r="DM295" i="7"/>
  <c r="DI295" i="7"/>
  <c r="DH295" i="7"/>
  <c r="DF295" i="7"/>
  <c r="DB295" i="7"/>
  <c r="DA295" i="7"/>
  <c r="CY295" i="7"/>
  <c r="CU295" i="7"/>
  <c r="CT295" i="7"/>
  <c r="CR295" i="7"/>
  <c r="CN295" i="7"/>
  <c r="CM295" i="7"/>
  <c r="CK295" i="7"/>
  <c r="CG295" i="7"/>
  <c r="CF295" i="7"/>
  <c r="CD295" i="7"/>
  <c r="BZ295" i="7"/>
  <c r="BY295" i="7"/>
  <c r="BS295" i="7"/>
  <c r="BR295" i="7"/>
  <c r="BP295" i="7"/>
  <c r="BL295" i="7"/>
  <c r="BH295" i="7"/>
  <c r="AX295" i="7"/>
  <c r="AT295" i="7"/>
  <c r="AS295" i="7"/>
  <c r="AM295" i="7"/>
  <c r="AL295" i="7"/>
  <c r="AF295" i="7"/>
  <c r="AE295" i="7"/>
  <c r="Y295" i="7"/>
  <c r="X295" i="7"/>
  <c r="R295" i="7"/>
  <c r="Q295" i="7"/>
  <c r="K295" i="7"/>
  <c r="AT291" i="7"/>
  <c r="FS285" i="7"/>
  <c r="FQ197" i="7" s="1"/>
  <c r="FP285" i="7"/>
  <c r="FL285" i="7"/>
  <c r="FJ197" i="7" s="1"/>
  <c r="FK197" i="7" s="1"/>
  <c r="FI285" i="7"/>
  <c r="FE285" i="7"/>
  <c r="FC197" i="7" s="1"/>
  <c r="FB285" i="7"/>
  <c r="EX285" i="7"/>
  <c r="EV197" i="7" s="1"/>
  <c r="EW197" i="7" s="1"/>
  <c r="EU285" i="7"/>
  <c r="DT285" i="7"/>
  <c r="DS285" i="7"/>
  <c r="DO285" i="7"/>
  <c r="DM285" i="7"/>
  <c r="DL285" i="7"/>
  <c r="DH285" i="7"/>
  <c r="DF285" i="7"/>
  <c r="DE285" i="7"/>
  <c r="DA285" i="7"/>
  <c r="CX285" i="7"/>
  <c r="CT285" i="7"/>
  <c r="CQ285" i="7"/>
  <c r="CM285" i="7"/>
  <c r="CK197" i="7" s="1"/>
  <c r="CL197" i="7" s="1"/>
  <c r="CJ285" i="7"/>
  <c r="CF285" i="7"/>
  <c r="CC285" i="7"/>
  <c r="BV285" i="7"/>
  <c r="BK285" i="7"/>
  <c r="BH285" i="7"/>
  <c r="BB285" i="7"/>
  <c r="BB120" i="7" s="1"/>
  <c r="BA285" i="7"/>
  <c r="AW285" i="7"/>
  <c r="AM285" i="7"/>
  <c r="AL285" i="7"/>
  <c r="AI285" i="7"/>
  <c r="AH285" i="7"/>
  <c r="AF285" i="7"/>
  <c r="AE285" i="7"/>
  <c r="AB285" i="7"/>
  <c r="AA285" i="7"/>
  <c r="Y285" i="7"/>
  <c r="X285" i="7"/>
  <c r="T285" i="7"/>
  <c r="R285" i="7"/>
  <c r="Q285" i="7"/>
  <c r="N285" i="7"/>
  <c r="M285" i="7"/>
  <c r="K285" i="7"/>
  <c r="J285" i="7"/>
  <c r="F285" i="7"/>
  <c r="D285" i="7"/>
  <c r="D284" i="7" s="1"/>
  <c r="DU283" i="7"/>
  <c r="DN283" i="7"/>
  <c r="DN285" i="7" s="1"/>
  <c r="DG283" i="7"/>
  <c r="DG285" i="7" s="1"/>
  <c r="BC283" i="7"/>
  <c r="BC285" i="7" s="1"/>
  <c r="BC120" i="7" s="1"/>
  <c r="DT281" i="7"/>
  <c r="DM281" i="7"/>
  <c r="BE281" i="7"/>
  <c r="BI283" i="7" s="1"/>
  <c r="BI285" i="7" s="1"/>
  <c r="DO279" i="7"/>
  <c r="DO281" i="7" s="1"/>
  <c r="BD279" i="7"/>
  <c r="BD281" i="7" s="1"/>
  <c r="BE283" i="7" s="1"/>
  <c r="BE285" i="7" s="1"/>
  <c r="BB279" i="7"/>
  <c r="BB281" i="7" s="1"/>
  <c r="BD283" i="7" s="1"/>
  <c r="AP279" i="7"/>
  <c r="AP281" i="7" s="1"/>
  <c r="AQ283" i="7" s="1"/>
  <c r="AQ285" i="7" s="1"/>
  <c r="AN279" i="7"/>
  <c r="AM279" i="7"/>
  <c r="AM281" i="7" s="1"/>
  <c r="AN283" i="7" s="1"/>
  <c r="AN285" i="7" s="1"/>
  <c r="AN120" i="7" s="1"/>
  <c r="AI279" i="7"/>
  <c r="AI281" i="7" s="1"/>
  <c r="AJ283" i="7" s="1"/>
  <c r="AF279" i="7"/>
  <c r="AF281" i="7" s="1"/>
  <c r="AG283" i="7" s="1"/>
  <c r="AB279" i="7"/>
  <c r="AB281" i="7" s="1"/>
  <c r="AC283" i="7" s="1"/>
  <c r="Y279" i="7"/>
  <c r="Y281" i="7" s="1"/>
  <c r="Z283" i="7" s="1"/>
  <c r="U279" i="7"/>
  <c r="U281" i="7" s="1"/>
  <c r="V283" i="7" s="1"/>
  <c r="R279" i="7"/>
  <c r="R281" i="7" s="1"/>
  <c r="S283" i="7" s="1"/>
  <c r="N279" i="7"/>
  <c r="N281" i="7" s="1"/>
  <c r="O283" i="7" s="1"/>
  <c r="K279" i="7"/>
  <c r="K281" i="7" s="1"/>
  <c r="L283" i="7" s="1"/>
  <c r="G279" i="7"/>
  <c r="G281" i="7" s="1"/>
  <c r="H283" i="7" s="1"/>
  <c r="D279" i="7"/>
  <c r="D281" i="7" s="1"/>
  <c r="E283" i="7" s="1"/>
  <c r="AN275" i="7"/>
  <c r="AO275" i="7" s="1"/>
  <c r="AP275" i="7" s="1"/>
  <c r="AP277" i="7" s="1"/>
  <c r="DS267" i="7"/>
  <c r="DP267" i="7"/>
  <c r="DO267" i="7"/>
  <c r="DN267" i="7"/>
  <c r="DL267" i="7"/>
  <c r="DI267" i="7"/>
  <c r="DH267" i="7"/>
  <c r="DE267" i="7"/>
  <c r="DB267" i="7"/>
  <c r="DB279" i="7" s="1"/>
  <c r="DA267" i="7"/>
  <c r="CY267" i="7"/>
  <c r="CY279" i="7" s="1"/>
  <c r="CX267" i="7"/>
  <c r="CU267" i="7"/>
  <c r="CT267" i="7"/>
  <c r="CR267" i="7"/>
  <c r="CQ267" i="7"/>
  <c r="CN267" i="7"/>
  <c r="CM267" i="7"/>
  <c r="CK267" i="7"/>
  <c r="CJ267" i="7"/>
  <c r="CF267" i="7"/>
  <c r="CD267" i="7"/>
  <c r="CC267" i="7"/>
  <c r="BZ267" i="7"/>
  <c r="BY267" i="7"/>
  <c r="BW267" i="7"/>
  <c r="BV267" i="7"/>
  <c r="BS267" i="7"/>
  <c r="BR267" i="7"/>
  <c r="BP267" i="7"/>
  <c r="BO267" i="7"/>
  <c r="BL267" i="7"/>
  <c r="BK267" i="7"/>
  <c r="BJ267" i="7"/>
  <c r="BH267" i="7"/>
  <c r="BE267" i="7"/>
  <c r="BD267" i="7"/>
  <c r="BB267" i="7"/>
  <c r="BA267" i="7"/>
  <c r="AX267" i="7"/>
  <c r="AW267" i="7"/>
  <c r="AU267" i="7"/>
  <c r="AT267" i="7"/>
  <c r="AQ267" i="7"/>
  <c r="AP267" i="7"/>
  <c r="AN267" i="7"/>
  <c r="AM267" i="7"/>
  <c r="AJ267" i="7"/>
  <c r="AI267" i="7"/>
  <c r="AG267" i="7"/>
  <c r="AF267" i="7"/>
  <c r="AC267" i="7"/>
  <c r="AB267" i="7"/>
  <c r="Z267" i="7"/>
  <c r="Y267" i="7"/>
  <c r="V267" i="7"/>
  <c r="U267" i="7"/>
  <c r="S267" i="7"/>
  <c r="R267" i="7"/>
  <c r="O267" i="7"/>
  <c r="N267" i="7"/>
  <c r="L267" i="7"/>
  <c r="K267" i="7"/>
  <c r="H267" i="7"/>
  <c r="G267" i="7"/>
  <c r="E267" i="7"/>
  <c r="D267" i="7"/>
  <c r="CA266" i="7"/>
  <c r="BX266" i="7"/>
  <c r="BT266" i="7"/>
  <c r="BQ266" i="7"/>
  <c r="BM266" i="7"/>
  <c r="BN266" i="7" s="1"/>
  <c r="BF266" i="7"/>
  <c r="BG266" i="7" s="1"/>
  <c r="DQ265" i="7"/>
  <c r="DM265" i="7"/>
  <c r="DJ265" i="7"/>
  <c r="DC265" i="7"/>
  <c r="CZ265" i="7"/>
  <c r="CZ267" i="7" s="1"/>
  <c r="CV265" i="7"/>
  <c r="CV267" i="7" s="1"/>
  <c r="CS265" i="7"/>
  <c r="CO265" i="7"/>
  <c r="CL265" i="7"/>
  <c r="CL267" i="7" s="1"/>
  <c r="CH265" i="7"/>
  <c r="CA265" i="7"/>
  <c r="BX265" i="7"/>
  <c r="BT265" i="7"/>
  <c r="BQ265" i="7"/>
  <c r="BI265" i="7"/>
  <c r="BI267" i="7" s="1"/>
  <c r="BF265" i="7"/>
  <c r="BC265" i="7"/>
  <c r="AY265" i="7"/>
  <c r="AV265" i="7"/>
  <c r="AV267" i="7" s="1"/>
  <c r="AR265" i="7"/>
  <c r="AR267" i="7" s="1"/>
  <c r="AO265" i="7"/>
  <c r="AK265" i="7"/>
  <c r="AK267" i="7" s="1"/>
  <c r="AH265" i="7"/>
  <c r="AH279" i="7" s="1"/>
  <c r="AH281" i="7" s="1"/>
  <c r="AD265" i="7"/>
  <c r="AA265" i="7"/>
  <c r="AA279" i="7" s="1"/>
  <c r="AA281" i="7" s="1"/>
  <c r="W265" i="7"/>
  <c r="W267" i="7" s="1"/>
  <c r="T265" i="7"/>
  <c r="T267" i="7" s="1"/>
  <c r="P265" i="7"/>
  <c r="P267" i="7" s="1"/>
  <c r="M265" i="7"/>
  <c r="M267" i="7" s="1"/>
  <c r="I265" i="7"/>
  <c r="F265" i="7"/>
  <c r="CQ255" i="7"/>
  <c r="CJ255" i="7"/>
  <c r="CC255" i="7"/>
  <c r="BU255" i="7"/>
  <c r="BT255" i="7"/>
  <c r="BS255" i="7"/>
  <c r="BR255" i="7"/>
  <c r="BO255" i="7"/>
  <c r="BK255" i="7"/>
  <c r="BH255" i="7"/>
  <c r="BF255" i="7"/>
  <c r="AS255" i="7"/>
  <c r="AR255" i="7"/>
  <c r="AQ255" i="7"/>
  <c r="AP255" i="7"/>
  <c r="AP121" i="7" s="1"/>
  <c r="AP211" i="7" s="1"/>
  <c r="AN255" i="7"/>
  <c r="X255" i="7"/>
  <c r="CG254" i="7"/>
  <c r="CF254" i="7"/>
  <c r="CD254" i="7"/>
  <c r="CC254" i="7"/>
  <c r="BN254" i="7"/>
  <c r="DT255" i="7"/>
  <c r="DS255" i="7"/>
  <c r="DP255" i="7"/>
  <c r="DO255" i="7"/>
  <c r="DM255" i="7"/>
  <c r="DL255" i="7"/>
  <c r="DI255" i="7"/>
  <c r="DH255" i="7"/>
  <c r="DF255" i="7"/>
  <c r="DE255" i="7"/>
  <c r="DB255" i="7"/>
  <c r="DA255" i="7"/>
  <c r="CY255" i="7"/>
  <c r="CY121" i="7" s="1"/>
  <c r="CX255" i="7"/>
  <c r="CX121" i="7" s="1"/>
  <c r="CX124" i="7" s="1"/>
  <c r="CU255" i="7"/>
  <c r="CU121" i="7" s="1"/>
  <c r="CU124" i="7" s="1"/>
  <c r="CT255" i="7"/>
  <c r="CR255" i="7"/>
  <c r="CK255" i="7"/>
  <c r="CK121" i="7" s="1"/>
  <c r="BZ255" i="7"/>
  <c r="BY255" i="7"/>
  <c r="BW255" i="7"/>
  <c r="BV255" i="7"/>
  <c r="DT251" i="7"/>
  <c r="DQ251" i="7"/>
  <c r="DP251" i="7"/>
  <c r="DM251" i="7"/>
  <c r="DJ251" i="7"/>
  <c r="DI251" i="7"/>
  <c r="DC251" i="7"/>
  <c r="CV251" i="7"/>
  <c r="CO251" i="7"/>
  <c r="CJ251" i="7"/>
  <c r="CH251" i="7"/>
  <c r="BV251" i="7"/>
  <c r="BM251" i="7"/>
  <c r="BF251" i="7"/>
  <c r="AY251" i="7"/>
  <c r="AQ251" i="7"/>
  <c r="AR251" i="7" s="1"/>
  <c r="AK251" i="7"/>
  <c r="AJ251" i="7" s="1"/>
  <c r="AD251" i="7"/>
  <c r="AC251" i="7" s="1"/>
  <c r="W251" i="7"/>
  <c r="V251" i="7" s="1"/>
  <c r="P251" i="7"/>
  <c r="O251" i="7" s="1"/>
  <c r="I251" i="7"/>
  <c r="H251" i="7" s="1"/>
  <c r="DT250" i="7"/>
  <c r="DQ250" i="7"/>
  <c r="DP250" i="7"/>
  <c r="DM250" i="7"/>
  <c r="DJ250" i="7"/>
  <c r="DI250" i="7"/>
  <c r="DC250" i="7"/>
  <c r="CV250" i="7"/>
  <c r="CO250" i="7"/>
  <c r="CJ250" i="7"/>
  <c r="CH250" i="7"/>
  <c r="BV250" i="7"/>
  <c r="BV246" i="7" s="1"/>
  <c r="BV249" i="7" s="1"/>
  <c r="BN250" i="7"/>
  <c r="BM250" i="7" s="1"/>
  <c r="AY250" i="7"/>
  <c r="AR250" i="7"/>
  <c r="AK250" i="7"/>
  <c r="AJ250" i="7" s="1"/>
  <c r="AD250" i="7"/>
  <c r="AC250" i="7" s="1"/>
  <c r="W250" i="7"/>
  <c r="V250" i="7" s="1"/>
  <c r="P250" i="7"/>
  <c r="O250" i="7" s="1"/>
  <c r="I250" i="7"/>
  <c r="H250" i="7" s="1"/>
  <c r="DT249" i="7"/>
  <c r="DQ249" i="7"/>
  <c r="DP249" i="7"/>
  <c r="DM249" i="7"/>
  <c r="DJ249" i="7"/>
  <c r="DI249" i="7"/>
  <c r="DC249" i="7"/>
  <c r="DD249" i="7" s="1"/>
  <c r="DG246" i="7" s="1"/>
  <c r="DG249" i="7" s="1"/>
  <c r="CV249" i="7"/>
  <c r="CW249" i="7" s="1"/>
  <c r="CX246" i="7" s="1"/>
  <c r="CO249" i="7"/>
  <c r="CP249" i="7" s="1"/>
  <c r="CW246" i="7" s="1"/>
  <c r="CH249" i="7"/>
  <c r="CI249" i="7" s="1"/>
  <c r="CJ246" i="7" s="1"/>
  <c r="CJ247" i="7" s="1"/>
  <c r="CJ253" i="7" s="1"/>
  <c r="CE249" i="7"/>
  <c r="CH246" i="7" s="1"/>
  <c r="CA249" i="7"/>
  <c r="CB249" i="7" s="1"/>
  <c r="BW249" i="7"/>
  <c r="BQ249" i="7"/>
  <c r="BT246" i="7" s="1"/>
  <c r="BM249" i="7"/>
  <c r="BF249" i="7"/>
  <c r="BE249" i="7" s="1"/>
  <c r="BB249" i="7"/>
  <c r="AY249" i="7"/>
  <c r="AN249" i="7"/>
  <c r="AK249" i="7"/>
  <c r="AJ249" i="7" s="1"/>
  <c r="AJ279" i="7" s="1"/>
  <c r="AJ281" i="7" s="1"/>
  <c r="AM283" i="7" s="1"/>
  <c r="AG249" i="7"/>
  <c r="AG279" i="7" s="1"/>
  <c r="AG281" i="7" s="1"/>
  <c r="AI283" i="7" s="1"/>
  <c r="AD249" i="7"/>
  <c r="AC249" i="7" s="1"/>
  <c r="AC279" i="7" s="1"/>
  <c r="AC281" i="7" s="1"/>
  <c r="AF283" i="7" s="1"/>
  <c r="Z249" i="7"/>
  <c r="Z279" i="7" s="1"/>
  <c r="Z281" i="7" s="1"/>
  <c r="AB283" i="7" s="1"/>
  <c r="W249" i="7"/>
  <c r="V249" i="7" s="1"/>
  <c r="V279" i="7" s="1"/>
  <c r="V281" i="7" s="1"/>
  <c r="Y283" i="7" s="1"/>
  <c r="S249" i="7"/>
  <c r="S279" i="7" s="1"/>
  <c r="S281" i="7" s="1"/>
  <c r="U283" i="7" s="1"/>
  <c r="P249" i="7"/>
  <c r="O249" i="7" s="1"/>
  <c r="O279" i="7" s="1"/>
  <c r="O281" i="7" s="1"/>
  <c r="R283" i="7" s="1"/>
  <c r="L249" i="7"/>
  <c r="L279" i="7" s="1"/>
  <c r="L281" i="7" s="1"/>
  <c r="N283" i="7" s="1"/>
  <c r="I249" i="7"/>
  <c r="H249" i="7" s="1"/>
  <c r="H279" i="7" s="1"/>
  <c r="H281" i="7" s="1"/>
  <c r="K283" i="7" s="1"/>
  <c r="E249" i="7"/>
  <c r="E279" i="7" s="1"/>
  <c r="E281" i="7" s="1"/>
  <c r="G283" i="7" s="1"/>
  <c r="CH248" i="7"/>
  <c r="CE248" i="7"/>
  <c r="CH247" i="7"/>
  <c r="CH253" i="7" s="1"/>
  <c r="CE247" i="7"/>
  <c r="CE253" i="7" s="1"/>
  <c r="CA247" i="7"/>
  <c r="CA253" i="7" s="1"/>
  <c r="BX247" i="7"/>
  <c r="BX253" i="7" s="1"/>
  <c r="AU247" i="7"/>
  <c r="AU253" i="7" s="1"/>
  <c r="DU246" i="7"/>
  <c r="DT246" i="7"/>
  <c r="DS246" i="7"/>
  <c r="DR246" i="7"/>
  <c r="DQ246" i="7"/>
  <c r="DP246" i="7"/>
  <c r="DO246" i="7"/>
  <c r="DN246" i="7"/>
  <c r="DM246" i="7"/>
  <c r="DL246" i="7"/>
  <c r="DI246" i="7"/>
  <c r="DB246" i="7"/>
  <c r="DB250" i="7" s="1"/>
  <c r="CY246" i="7"/>
  <c r="CV246" i="7"/>
  <c r="CU246" i="7"/>
  <c r="CU250" i="7" s="1"/>
  <c r="CT246" i="7"/>
  <c r="CR246" i="7"/>
  <c r="CR249" i="7" s="1"/>
  <c r="CS246" i="7" s="1"/>
  <c r="CN246" i="7"/>
  <c r="CN251" i="7" s="1"/>
  <c r="CK246" i="7"/>
  <c r="CG246" i="7"/>
  <c r="CG251" i="7" s="1"/>
  <c r="CD246" i="7"/>
  <c r="BU246" i="7"/>
  <c r="BU249" i="7" s="1"/>
  <c r="BS246" i="7"/>
  <c r="BS249" i="7" s="1"/>
  <c r="BS250" i="7" s="1"/>
  <c r="BQ246" i="7"/>
  <c r="BO246" i="7"/>
  <c r="BO249" i="7" s="1"/>
  <c r="BP246" i="7" s="1"/>
  <c r="BP247" i="7" s="1"/>
  <c r="BP253" i="7" s="1"/>
  <c r="BP255" i="7" s="1"/>
  <c r="BN246" i="7"/>
  <c r="BJ246" i="7"/>
  <c r="BI246" i="7"/>
  <c r="BI247" i="7" s="1"/>
  <c r="BI253" i="7" s="1"/>
  <c r="BH246" i="7"/>
  <c r="BH250" i="7" s="1"/>
  <c r="BG246" i="7"/>
  <c r="BG250" i="7" s="1"/>
  <c r="BF250" i="7" s="1"/>
  <c r="BF246" i="7"/>
  <c r="BE246" i="7"/>
  <c r="BD246" i="7"/>
  <c r="BD247" i="7" s="1"/>
  <c r="BD253" i="7" s="1"/>
  <c r="BC246" i="7"/>
  <c r="BB246" i="7"/>
  <c r="BA246" i="7"/>
  <c r="BA247" i="7" s="1"/>
  <c r="AS246" i="7"/>
  <c r="AR246" i="7"/>
  <c r="AP246" i="7"/>
  <c r="AP249" i="7" s="1"/>
  <c r="AQ279" i="7" s="1"/>
  <c r="AO246" i="7"/>
  <c r="AN246" i="7"/>
  <c r="AM246" i="7"/>
  <c r="AL246" i="7"/>
  <c r="AK246" i="7"/>
  <c r="AJ246" i="7"/>
  <c r="AI246" i="7"/>
  <c r="AH246" i="7"/>
  <c r="AG246" i="7"/>
  <c r="AF246" i="7"/>
  <c r="AE246" i="7"/>
  <c r="AD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BL236" i="7"/>
  <c r="AW231" i="7"/>
  <c r="DT230" i="7"/>
  <c r="DU230" i="7" s="1"/>
  <c r="DS230" i="7"/>
  <c r="DO230" i="7"/>
  <c r="DM230" i="7"/>
  <c r="DN230" i="7" s="1"/>
  <c r="DL230" i="7"/>
  <c r="DI230" i="7"/>
  <c r="DJ230" i="7" s="1"/>
  <c r="DK230" i="7" s="1"/>
  <c r="DH230" i="7"/>
  <c r="DF230" i="7"/>
  <c r="DG230" i="7" s="1"/>
  <c r="DE230" i="7"/>
  <c r="DB230" i="7"/>
  <c r="DC230" i="7" s="1"/>
  <c r="DD230" i="7" s="1"/>
  <c r="DA230" i="7"/>
  <c r="CY230" i="7"/>
  <c r="CZ230" i="7" s="1"/>
  <c r="CX230" i="7"/>
  <c r="CU230" i="7"/>
  <c r="CV230" i="7" s="1"/>
  <c r="CW230" i="7" s="1"/>
  <c r="CT230" i="7"/>
  <c r="CR230" i="7"/>
  <c r="CS230" i="7" s="1"/>
  <c r="CQ230" i="7"/>
  <c r="CN230" i="7"/>
  <c r="CO230" i="7" s="1"/>
  <c r="CP230" i="7" s="1"/>
  <c r="CK230" i="7"/>
  <c r="CL230" i="7" s="1"/>
  <c r="CJ230" i="7"/>
  <c r="CF230" i="7"/>
  <c r="CD230" i="7"/>
  <c r="CE230" i="7" s="1"/>
  <c r="CC230" i="7"/>
  <c r="BZ230" i="7"/>
  <c r="CA230" i="7" s="1"/>
  <c r="CB230" i="7" s="1"/>
  <c r="BY230" i="7"/>
  <c r="BW230" i="7"/>
  <c r="BX230" i="7" s="1"/>
  <c r="BS230" i="7"/>
  <c r="BR230" i="7"/>
  <c r="BP230" i="7"/>
  <c r="BO230" i="7"/>
  <c r="BH230" i="7"/>
  <c r="AS230" i="7"/>
  <c r="AM230" i="7"/>
  <c r="AL230" i="7"/>
  <c r="AI230" i="7"/>
  <c r="AH230" i="7"/>
  <c r="AF230" i="7"/>
  <c r="AE230" i="7"/>
  <c r="AB230" i="7"/>
  <c r="AA230" i="7"/>
  <c r="Y230" i="7"/>
  <c r="X230" i="7"/>
  <c r="U230" i="7"/>
  <c r="T230" i="7"/>
  <c r="R230" i="7"/>
  <c r="Q230" i="7"/>
  <c r="N230" i="7"/>
  <c r="M230" i="7"/>
  <c r="K230" i="7"/>
  <c r="J230" i="7"/>
  <c r="G230" i="7"/>
  <c r="F230" i="7"/>
  <c r="D230" i="7"/>
  <c r="DT229" i="7"/>
  <c r="DU229" i="7" s="1"/>
  <c r="DS229" i="7"/>
  <c r="DO229" i="7"/>
  <c r="DM229" i="7"/>
  <c r="DN229" i="7" s="1"/>
  <c r="DL229" i="7"/>
  <c r="DI229" i="7"/>
  <c r="DJ229" i="7" s="1"/>
  <c r="DK229" i="7" s="1"/>
  <c r="DH229" i="7"/>
  <c r="DF229" i="7"/>
  <c r="DG229" i="7" s="1"/>
  <c r="DE229" i="7"/>
  <c r="DB229" i="7"/>
  <c r="DC229" i="7" s="1"/>
  <c r="DD229" i="7" s="1"/>
  <c r="DA229" i="7"/>
  <c r="CY229" i="7"/>
  <c r="CZ229" i="7" s="1"/>
  <c r="CX229" i="7"/>
  <c r="CU229" i="7"/>
  <c r="CV229" i="7" s="1"/>
  <c r="CW229" i="7" s="1"/>
  <c r="CT229" i="7"/>
  <c r="CR229" i="7"/>
  <c r="CS229" i="7" s="1"/>
  <c r="CQ229" i="7"/>
  <c r="CN229" i="7"/>
  <c r="CO229" i="7" s="1"/>
  <c r="CP229" i="7" s="1"/>
  <c r="CK229" i="7"/>
  <c r="CL229" i="7" s="1"/>
  <c r="CJ229" i="7"/>
  <c r="CF229" i="7"/>
  <c r="CD229" i="7"/>
  <c r="CE229" i="7" s="1"/>
  <c r="CC229" i="7"/>
  <c r="BZ229" i="7"/>
  <c r="CA229" i="7" s="1"/>
  <c r="CB229" i="7" s="1"/>
  <c r="BY229" i="7"/>
  <c r="BW229" i="7"/>
  <c r="BX229" i="7" s="1"/>
  <c r="BS229" i="7"/>
  <c r="BR229" i="7"/>
  <c r="BP229" i="7"/>
  <c r="BO229" i="7"/>
  <c r="BH229" i="7"/>
  <c r="AS229" i="7"/>
  <c r="AP229" i="7"/>
  <c r="AM229" i="7"/>
  <c r="AL229" i="7"/>
  <c r="AI229" i="7"/>
  <c r="AH229" i="7"/>
  <c r="AF229" i="7"/>
  <c r="AE229" i="7"/>
  <c r="AB229" i="7"/>
  <c r="AA229" i="7"/>
  <c r="Y229" i="7"/>
  <c r="X229" i="7"/>
  <c r="U229" i="7"/>
  <c r="T229" i="7"/>
  <c r="R229" i="7"/>
  <c r="Q229" i="7"/>
  <c r="N229" i="7"/>
  <c r="M229" i="7"/>
  <c r="K229" i="7"/>
  <c r="J229" i="7"/>
  <c r="G229" i="7"/>
  <c r="F229" i="7"/>
  <c r="D229" i="7"/>
  <c r="DT228" i="7"/>
  <c r="DS228" i="7"/>
  <c r="DO228" i="7"/>
  <c r="DM228" i="7"/>
  <c r="DL228" i="7"/>
  <c r="DI228" i="7"/>
  <c r="DJ228" i="7" s="1"/>
  <c r="DH228" i="7"/>
  <c r="DF228" i="7"/>
  <c r="DG228" i="7" s="1"/>
  <c r="DE228" i="7"/>
  <c r="DB228" i="7"/>
  <c r="DA228" i="7"/>
  <c r="CY228" i="7"/>
  <c r="CZ228" i="7" s="1"/>
  <c r="CX228" i="7"/>
  <c r="CU228" i="7"/>
  <c r="CT228" i="7"/>
  <c r="CR228" i="7"/>
  <c r="CQ228" i="7"/>
  <c r="CN228" i="7"/>
  <c r="CK228" i="7"/>
  <c r="CJ228" i="7"/>
  <c r="CF228" i="7"/>
  <c r="CD228" i="7"/>
  <c r="CC228" i="7"/>
  <c r="BZ228" i="7"/>
  <c r="CA228" i="7" s="1"/>
  <c r="CB228" i="7" s="1"/>
  <c r="BY228" i="7"/>
  <c r="BW228" i="7"/>
  <c r="BS228" i="7"/>
  <c r="BR228" i="7"/>
  <c r="BP228" i="7"/>
  <c r="BO228" i="7"/>
  <c r="BH228" i="7"/>
  <c r="AS228" i="7"/>
  <c r="AP228" i="7"/>
  <c r="AM228" i="7"/>
  <c r="AL228" i="7"/>
  <c r="AI228" i="7"/>
  <c r="AH228" i="7"/>
  <c r="AF228" i="7"/>
  <c r="AE228" i="7"/>
  <c r="AB228" i="7"/>
  <c r="AA228" i="7"/>
  <c r="Y228" i="7"/>
  <c r="X228" i="7"/>
  <c r="U228" i="7"/>
  <c r="T228" i="7"/>
  <c r="R228" i="7"/>
  <c r="Q228" i="7"/>
  <c r="N228" i="7"/>
  <c r="M228" i="7"/>
  <c r="K228" i="7"/>
  <c r="J228" i="7"/>
  <c r="G228" i="7"/>
  <c r="F228" i="7"/>
  <c r="D228" i="7"/>
  <c r="DT218" i="7"/>
  <c r="DS218" i="7"/>
  <c r="DR218" i="7"/>
  <c r="DO218" i="7"/>
  <c r="DM218" i="7"/>
  <c r="DL218" i="7"/>
  <c r="DI218" i="7"/>
  <c r="DH218" i="7"/>
  <c r="DF218" i="7"/>
  <c r="DE218" i="7"/>
  <c r="DB218" i="7"/>
  <c r="DA218" i="7"/>
  <c r="CY218" i="7"/>
  <c r="CX218" i="7"/>
  <c r="CU218" i="7"/>
  <c r="CT218" i="7"/>
  <c r="CR218" i="7"/>
  <c r="CJ218" i="7"/>
  <c r="CG218" i="7"/>
  <c r="CF218" i="7"/>
  <c r="CD218" i="7"/>
  <c r="CC218" i="7"/>
  <c r="BZ218" i="7"/>
  <c r="BY218" i="7"/>
  <c r="BW218" i="7"/>
  <c r="BS218" i="7"/>
  <c r="BR218" i="7"/>
  <c r="BP218" i="7"/>
  <c r="BO218" i="7"/>
  <c r="BL218" i="7"/>
  <c r="BK218" i="7"/>
  <c r="BJ218" i="7"/>
  <c r="BH218" i="7"/>
  <c r="BG218" i="7"/>
  <c r="BD218" i="7"/>
  <c r="BC218" i="7"/>
  <c r="BA218" i="7"/>
  <c r="AX218" i="7"/>
  <c r="AW218" i="7"/>
  <c r="AV218" i="7"/>
  <c r="AT218" i="7"/>
  <c r="AS218" i="7"/>
  <c r="AO218" i="7"/>
  <c r="AM218" i="7"/>
  <c r="AL218" i="7"/>
  <c r="AI218" i="7"/>
  <c r="AH218" i="7"/>
  <c r="AF218" i="7"/>
  <c r="AE218" i="7"/>
  <c r="AB218" i="7"/>
  <c r="AA218" i="7"/>
  <c r="Y218" i="7"/>
  <c r="X218" i="7"/>
  <c r="U218" i="7"/>
  <c r="T218" i="7"/>
  <c r="R218" i="7"/>
  <c r="Q218" i="7"/>
  <c r="AK217" i="7"/>
  <c r="AJ217" i="7" s="1"/>
  <c r="AG217" i="7"/>
  <c r="AD217" i="7"/>
  <c r="AC217" i="7" s="1"/>
  <c r="Z217" i="7"/>
  <c r="W217" i="7"/>
  <c r="V217" i="7" s="1"/>
  <c r="S217" i="7"/>
  <c r="P217" i="7"/>
  <c r="O217" i="7" s="1"/>
  <c r="L217" i="7"/>
  <c r="I217" i="7"/>
  <c r="H217" i="7" s="1"/>
  <c r="E217" i="7"/>
  <c r="AK216" i="7"/>
  <c r="AJ216" i="7" s="1"/>
  <c r="AG216" i="7"/>
  <c r="AD216" i="7"/>
  <c r="AC216" i="7" s="1"/>
  <c r="Z216" i="7"/>
  <c r="W216" i="7"/>
  <c r="V216" i="7" s="1"/>
  <c r="S216" i="7"/>
  <c r="P216" i="7"/>
  <c r="O216" i="7" s="1"/>
  <c r="L216" i="7"/>
  <c r="I216" i="7"/>
  <c r="H216" i="7" s="1"/>
  <c r="E216" i="7"/>
  <c r="DU215" i="7"/>
  <c r="DQ215" i="7"/>
  <c r="DP215" i="7" s="1"/>
  <c r="DN215" i="7"/>
  <c r="DJ215" i="7"/>
  <c r="DK215" i="7" s="1"/>
  <c r="H74" i="3" s="1"/>
  <c r="DG215" i="7"/>
  <c r="DC215" i="7"/>
  <c r="DD215" i="7" s="1"/>
  <c r="G74" i="3" s="1"/>
  <c r="CZ215" i="7"/>
  <c r="CV215" i="7"/>
  <c r="CW215" i="7" s="1"/>
  <c r="F74" i="3" s="1"/>
  <c r="CS215" i="7"/>
  <c r="CQ215" i="7"/>
  <c r="CQ218" i="7" s="1"/>
  <c r="CN215" i="7"/>
  <c r="CO215" i="7" s="1"/>
  <c r="CP215" i="7" s="1"/>
  <c r="E74" i="3" s="1"/>
  <c r="CL215" i="7"/>
  <c r="CH215" i="7"/>
  <c r="CI215" i="7" s="1"/>
  <c r="D74" i="3" s="1"/>
  <c r="CE215" i="7"/>
  <c r="CA215" i="7"/>
  <c r="CB215" i="7" s="1"/>
  <c r="C74" i="3" s="1"/>
  <c r="BX215" i="7"/>
  <c r="BV215" i="7"/>
  <c r="BT215" i="7"/>
  <c r="BU215" i="7" s="1"/>
  <c r="BQ215" i="7"/>
  <c r="BM215" i="7"/>
  <c r="BN215" i="7" s="1"/>
  <c r="BI215" i="7"/>
  <c r="BF215" i="7"/>
  <c r="BE215" i="7" s="1"/>
  <c r="BB215" i="7"/>
  <c r="AY215" i="7"/>
  <c r="AZ215" i="7" s="1"/>
  <c r="AU215" i="7"/>
  <c r="AR215" i="7"/>
  <c r="AQ215" i="7" s="1"/>
  <c r="AN215" i="7"/>
  <c r="AK215" i="7"/>
  <c r="AJ215" i="7" s="1"/>
  <c r="AG215" i="7"/>
  <c r="AD215" i="7"/>
  <c r="AC215" i="7" s="1"/>
  <c r="Z215" i="7"/>
  <c r="W215" i="7"/>
  <c r="V215" i="7" s="1"/>
  <c r="S215" i="7"/>
  <c r="P215" i="7"/>
  <c r="O215" i="7" s="1"/>
  <c r="N215" i="7"/>
  <c r="N218" i="7" s="1"/>
  <c r="M215" i="7"/>
  <c r="M218" i="7" s="1"/>
  <c r="K215" i="7"/>
  <c r="K218" i="7" s="1"/>
  <c r="J215" i="7"/>
  <c r="I215" i="7" s="1"/>
  <c r="H215" i="7" s="1"/>
  <c r="G215" i="7"/>
  <c r="G299" i="7" s="1"/>
  <c r="F215" i="7"/>
  <c r="D215" i="7"/>
  <c r="D299" i="7" s="1"/>
  <c r="DQ214" i="7"/>
  <c r="DP214" i="7" s="1"/>
  <c r="AK214" i="7"/>
  <c r="AJ214" i="7" s="1"/>
  <c r="AG214" i="7"/>
  <c r="AD214" i="7"/>
  <c r="AC214" i="7" s="1"/>
  <c r="Z214" i="7"/>
  <c r="W214" i="7"/>
  <c r="V214" i="7" s="1"/>
  <c r="S214" i="7"/>
  <c r="P214" i="7"/>
  <c r="O214" i="7" s="1"/>
  <c r="L214" i="7"/>
  <c r="I214" i="7"/>
  <c r="H214" i="7" s="1"/>
  <c r="E214" i="7"/>
  <c r="DU213" i="7"/>
  <c r="DQ213" i="7"/>
  <c r="DP213" i="7" s="1"/>
  <c r="DN213" i="7"/>
  <c r="DJ213" i="7"/>
  <c r="DK213" i="7" s="1"/>
  <c r="H73" i="3" s="1"/>
  <c r="DG213" i="7"/>
  <c r="DC213" i="7"/>
  <c r="DD213" i="7" s="1"/>
  <c r="G73" i="3" s="1"/>
  <c r="CZ213" i="7"/>
  <c r="CV213" i="7"/>
  <c r="CW213" i="7" s="1"/>
  <c r="F73" i="3" s="1"/>
  <c r="CS213" i="7"/>
  <c r="CN213" i="7"/>
  <c r="CM213" i="7"/>
  <c r="CM218" i="7" s="1"/>
  <c r="CK213" i="7"/>
  <c r="CK218" i="7" s="1"/>
  <c r="CH213" i="7"/>
  <c r="CI213" i="7" s="1"/>
  <c r="D73" i="3" s="1"/>
  <c r="CE213" i="7"/>
  <c r="CA213" i="7"/>
  <c r="CB213" i="7" s="1"/>
  <c r="C73" i="3" s="1"/>
  <c r="BX213" i="7"/>
  <c r="BV213" i="7"/>
  <c r="BT213" i="7"/>
  <c r="BU213" i="7" s="1"/>
  <c r="BQ213" i="7"/>
  <c r="BM213" i="7"/>
  <c r="BN213" i="7" s="1"/>
  <c r="BI213" i="7"/>
  <c r="BF213" i="7"/>
  <c r="BE213" i="7" s="1"/>
  <c r="BB213" i="7"/>
  <c r="AY213" i="7"/>
  <c r="AZ213" i="7" s="1"/>
  <c r="AU213" i="7"/>
  <c r="AR213" i="7"/>
  <c r="AQ213" i="7" s="1"/>
  <c r="AN213" i="7"/>
  <c r="AK213" i="7"/>
  <c r="AJ213" i="7" s="1"/>
  <c r="AG213" i="7"/>
  <c r="AD213" i="7"/>
  <c r="AC213" i="7" s="1"/>
  <c r="Z213" i="7"/>
  <c r="W213" i="7"/>
  <c r="V213" i="7" s="1"/>
  <c r="S213" i="7"/>
  <c r="P213" i="7"/>
  <c r="O213" i="7" s="1"/>
  <c r="L213" i="7"/>
  <c r="I213" i="7"/>
  <c r="H213" i="7" s="1"/>
  <c r="E213" i="7"/>
  <c r="DU212" i="7"/>
  <c r="DQ212" i="7"/>
  <c r="DP212" i="7" s="1"/>
  <c r="DN212" i="7"/>
  <c r="DJ212" i="7"/>
  <c r="DK212" i="7" s="1"/>
  <c r="H72" i="3" s="1"/>
  <c r="DG212" i="7"/>
  <c r="DC212" i="7"/>
  <c r="DD212" i="7" s="1"/>
  <c r="G72" i="3" s="1"/>
  <c r="CZ212" i="7"/>
  <c r="CV212" i="7"/>
  <c r="CW212" i="7" s="1"/>
  <c r="F72" i="3" s="1"/>
  <c r="CS212" i="7"/>
  <c r="CO212" i="7"/>
  <c r="CP212" i="7" s="1"/>
  <c r="E72" i="3" s="1"/>
  <c r="CL212" i="7"/>
  <c r="CH212" i="7"/>
  <c r="CI212" i="7" s="1"/>
  <c r="D72" i="3" s="1"/>
  <c r="CE212" i="7"/>
  <c r="CA212" i="7"/>
  <c r="CB212" i="7" s="1"/>
  <c r="C72" i="3" s="1"/>
  <c r="BX212" i="7"/>
  <c r="BV212" i="7"/>
  <c r="BT212" i="7"/>
  <c r="BU212" i="7" s="1"/>
  <c r="BQ212" i="7"/>
  <c r="BM212" i="7"/>
  <c r="BN212" i="7" s="1"/>
  <c r="BI212" i="7"/>
  <c r="BF212" i="7"/>
  <c r="BE212" i="7" s="1"/>
  <c r="BB212" i="7"/>
  <c r="AY212" i="7"/>
  <c r="AZ212" i="7" s="1"/>
  <c r="AU212" i="7"/>
  <c r="AR212" i="7"/>
  <c r="AQ212" i="7" s="1"/>
  <c r="AN212" i="7"/>
  <c r="AK212" i="7"/>
  <c r="AJ212" i="7" s="1"/>
  <c r="AG212" i="7"/>
  <c r="AD212" i="7"/>
  <c r="AC212" i="7" s="1"/>
  <c r="Z212" i="7"/>
  <c r="W212" i="7"/>
  <c r="V212" i="7" s="1"/>
  <c r="S212" i="7"/>
  <c r="P212" i="7"/>
  <c r="O212" i="7" s="1"/>
  <c r="L212" i="7"/>
  <c r="I212" i="7"/>
  <c r="H212" i="7" s="1"/>
  <c r="E212" i="7"/>
  <c r="DU211" i="7"/>
  <c r="DQ211" i="7"/>
  <c r="DP211" i="7" s="1"/>
  <c r="DN211" i="7"/>
  <c r="DJ211" i="7"/>
  <c r="DG211" i="7"/>
  <c r="DC211" i="7"/>
  <c r="DD211" i="7" s="1"/>
  <c r="G71" i="3" s="1"/>
  <c r="CZ211" i="7"/>
  <c r="CV211" i="7"/>
  <c r="CW211" i="7" s="1"/>
  <c r="F71" i="3" s="1"/>
  <c r="CS211" i="7"/>
  <c r="CO211" i="7"/>
  <c r="CL211" i="7"/>
  <c r="CH211" i="7"/>
  <c r="CI211" i="7" s="1"/>
  <c r="D71" i="3" s="1"/>
  <c r="CE211" i="7"/>
  <c r="CA211" i="7"/>
  <c r="BX211" i="7"/>
  <c r="BV211" i="7"/>
  <c r="BT211" i="7"/>
  <c r="BQ211" i="7"/>
  <c r="BM211" i="7"/>
  <c r="BN211" i="7" s="1"/>
  <c r="BI211" i="7"/>
  <c r="BF211" i="7"/>
  <c r="BB211" i="7"/>
  <c r="AY211" i="7"/>
  <c r="AZ211" i="7" s="1"/>
  <c r="AU211" i="7"/>
  <c r="AR211" i="7"/>
  <c r="AQ211" i="7" s="1"/>
  <c r="AN211" i="7"/>
  <c r="AN295" i="7" s="1"/>
  <c r="AK211" i="7"/>
  <c r="AG211" i="7"/>
  <c r="AD211" i="7"/>
  <c r="AC211" i="7" s="1"/>
  <c r="Z211" i="7"/>
  <c r="W211" i="7"/>
  <c r="S211" i="7"/>
  <c r="P211" i="7"/>
  <c r="O211" i="7" s="1"/>
  <c r="L211" i="7"/>
  <c r="I211" i="7"/>
  <c r="H211" i="7" s="1"/>
  <c r="E211" i="7"/>
  <c r="CK207" i="7"/>
  <c r="CJ207" i="7"/>
  <c r="CG207" i="7"/>
  <c r="CF207" i="7"/>
  <c r="CD207" i="7"/>
  <c r="CC207" i="7"/>
  <c r="BZ207" i="7"/>
  <c r="BY207" i="7"/>
  <c r="BW207" i="7"/>
  <c r="BS207" i="7"/>
  <c r="BR207" i="7"/>
  <c r="BP207" i="7"/>
  <c r="BO207" i="7"/>
  <c r="BL207" i="7"/>
  <c r="BK207" i="7"/>
  <c r="BH207" i="7"/>
  <c r="BG207" i="7"/>
  <c r="BD207" i="7"/>
  <c r="BA207" i="7"/>
  <c r="AX207" i="7"/>
  <c r="AM207" i="7"/>
  <c r="AL207" i="7"/>
  <c r="AI207" i="7"/>
  <c r="AH207" i="7"/>
  <c r="AF207" i="7"/>
  <c r="AE207" i="7"/>
  <c r="AB207" i="7"/>
  <c r="AA207" i="7"/>
  <c r="Y207" i="7"/>
  <c r="X207" i="7"/>
  <c r="U207" i="7"/>
  <c r="T207" i="7"/>
  <c r="R207" i="7"/>
  <c r="Q207" i="7"/>
  <c r="N207" i="7"/>
  <c r="M207" i="7"/>
  <c r="K207" i="7"/>
  <c r="J207" i="7"/>
  <c r="G207" i="7"/>
  <c r="F207" i="7"/>
  <c r="D207" i="7"/>
  <c r="DT206" i="7"/>
  <c r="DU206" i="7" s="1"/>
  <c r="DS206" i="7"/>
  <c r="DR206" i="7"/>
  <c r="I67" i="3" s="1"/>
  <c r="DO206" i="7"/>
  <c r="DO207" i="7" s="1"/>
  <c r="DM206" i="7"/>
  <c r="DM207" i="7" s="1"/>
  <c r="DL206" i="7"/>
  <c r="DL207" i="7" s="1"/>
  <c r="DI206" i="7"/>
  <c r="DJ206" i="7" s="1"/>
  <c r="DK206" i="7" s="1"/>
  <c r="H67" i="3" s="1"/>
  <c r="DH206" i="7"/>
  <c r="DF206" i="7"/>
  <c r="DG206" i="7" s="1"/>
  <c r="DE206" i="7"/>
  <c r="DE207" i="7" s="1"/>
  <c r="DB206" i="7"/>
  <c r="DC206" i="7" s="1"/>
  <c r="DD206" i="7" s="1"/>
  <c r="G67" i="3" s="1"/>
  <c r="DA206" i="7"/>
  <c r="DA207" i="7" s="1"/>
  <c r="CY206" i="7"/>
  <c r="CZ206" i="7" s="1"/>
  <c r="CX206" i="7"/>
  <c r="CX207" i="7" s="1"/>
  <c r="CU206" i="7"/>
  <c r="CU207" i="7" s="1"/>
  <c r="CT206" i="7"/>
  <c r="CT207" i="7" s="1"/>
  <c r="CR206" i="7"/>
  <c r="CS206" i="7" s="1"/>
  <c r="CQ206" i="7"/>
  <c r="CQ207" i="7" s="1"/>
  <c r="CN206" i="7"/>
  <c r="CN207" i="7" s="1"/>
  <c r="CM206" i="7"/>
  <c r="CM207" i="7" s="1"/>
  <c r="CL206" i="7"/>
  <c r="CH206" i="7"/>
  <c r="CI206" i="7" s="1"/>
  <c r="D67" i="3" s="1"/>
  <c r="CE206" i="7"/>
  <c r="CA206" i="7"/>
  <c r="CB206" i="7" s="1"/>
  <c r="C67" i="3" s="1"/>
  <c r="BX206" i="7"/>
  <c r="BV206" i="7"/>
  <c r="BT206" i="7"/>
  <c r="BU206" i="7" s="1"/>
  <c r="BQ206" i="7"/>
  <c r="BM206" i="7"/>
  <c r="BN206" i="7" s="1"/>
  <c r="BI206" i="7"/>
  <c r="BF206" i="7"/>
  <c r="BE206" i="7" s="1"/>
  <c r="BB206" i="7"/>
  <c r="AY206" i="7"/>
  <c r="AZ206" i="7" s="1"/>
  <c r="AV206" i="7"/>
  <c r="AU206" i="7" s="1"/>
  <c r="AT206" i="7"/>
  <c r="AT207" i="7" s="1"/>
  <c r="AS206" i="7"/>
  <c r="AS207" i="7" s="1"/>
  <c r="AP206" i="7"/>
  <c r="AO206" i="7"/>
  <c r="AO207" i="7" s="1"/>
  <c r="AK206" i="7"/>
  <c r="AJ206" i="7" s="1"/>
  <c r="AG206" i="7"/>
  <c r="AD206" i="7"/>
  <c r="AC206" i="7" s="1"/>
  <c r="Z206" i="7"/>
  <c r="W206" i="7"/>
  <c r="V206" i="7" s="1"/>
  <c r="S206" i="7"/>
  <c r="P206" i="7"/>
  <c r="O206" i="7" s="1"/>
  <c r="L206" i="7"/>
  <c r="I206" i="7"/>
  <c r="H206" i="7" s="1"/>
  <c r="E206" i="7"/>
  <c r="DU205" i="7"/>
  <c r="DQ205" i="7"/>
  <c r="DP205" i="7" s="1"/>
  <c r="DN205" i="7"/>
  <c r="DJ205" i="7"/>
  <c r="DK205" i="7" s="1"/>
  <c r="H66" i="3" s="1"/>
  <c r="DG205" i="7"/>
  <c r="DC205" i="7"/>
  <c r="DD205" i="7" s="1"/>
  <c r="G66" i="3" s="1"/>
  <c r="CZ205" i="7"/>
  <c r="CV205" i="7"/>
  <c r="CW205" i="7" s="1"/>
  <c r="F66" i="3" s="1"/>
  <c r="CS205" i="7"/>
  <c r="CO205" i="7"/>
  <c r="CP205" i="7" s="1"/>
  <c r="E66" i="3" s="1"/>
  <c r="CL205" i="7"/>
  <c r="CH205" i="7"/>
  <c r="CI205" i="7" s="1"/>
  <c r="D66" i="3" s="1"/>
  <c r="CE205" i="7"/>
  <c r="CA205" i="7"/>
  <c r="CB205" i="7" s="1"/>
  <c r="C66" i="3" s="1"/>
  <c r="BX205" i="7"/>
  <c r="BV205" i="7"/>
  <c r="BT205" i="7"/>
  <c r="BU205" i="7" s="1"/>
  <c r="BQ205" i="7"/>
  <c r="BM205" i="7"/>
  <c r="BN205" i="7" s="1"/>
  <c r="BI205" i="7"/>
  <c r="BF205" i="7"/>
  <c r="BE205" i="7" s="1"/>
  <c r="BB205" i="7"/>
  <c r="AY205" i="7"/>
  <c r="AZ205" i="7" s="1"/>
  <c r="AU205" i="7"/>
  <c r="AR205" i="7"/>
  <c r="AQ205" i="7" s="1"/>
  <c r="AN205" i="7"/>
  <c r="AK205" i="7"/>
  <c r="AJ205" i="7" s="1"/>
  <c r="AG205" i="7"/>
  <c r="AD205" i="7"/>
  <c r="AC205" i="7" s="1"/>
  <c r="Z205" i="7"/>
  <c r="W205" i="7"/>
  <c r="V205" i="7" s="1"/>
  <c r="S205" i="7"/>
  <c r="P205" i="7"/>
  <c r="O205" i="7" s="1"/>
  <c r="L205" i="7"/>
  <c r="I205" i="7"/>
  <c r="H205" i="7" s="1"/>
  <c r="E205" i="7"/>
  <c r="DU204" i="7"/>
  <c r="DQ204" i="7"/>
  <c r="DP204" i="7" s="1"/>
  <c r="DN204" i="7"/>
  <c r="DJ204" i="7"/>
  <c r="DK204" i="7" s="1"/>
  <c r="H65" i="3" s="1"/>
  <c r="DG204" i="7"/>
  <c r="DC204" i="7"/>
  <c r="DD204" i="7" s="1"/>
  <c r="G65" i="3" s="1"/>
  <c r="CZ204" i="7"/>
  <c r="CV204" i="7"/>
  <c r="CW204" i="7" s="1"/>
  <c r="F65" i="3" s="1"/>
  <c r="CS204" i="7"/>
  <c r="CO204" i="7"/>
  <c r="CP204" i="7" s="1"/>
  <c r="E65" i="3" s="1"/>
  <c r="CL204" i="7"/>
  <c r="CH204" i="7"/>
  <c r="CI204" i="7" s="1"/>
  <c r="D65" i="3" s="1"/>
  <c r="CE204" i="7"/>
  <c r="CA204" i="7"/>
  <c r="CB204" i="7" s="1"/>
  <c r="C65" i="3" s="1"/>
  <c r="BX204" i="7"/>
  <c r="BV204" i="7"/>
  <c r="BT204" i="7"/>
  <c r="BU204" i="7" s="1"/>
  <c r="BQ204" i="7"/>
  <c r="BM204" i="7"/>
  <c r="BN204" i="7" s="1"/>
  <c r="BI204" i="7"/>
  <c r="BF204" i="7"/>
  <c r="BE204" i="7" s="1"/>
  <c r="BB204" i="7"/>
  <c r="AY204" i="7"/>
  <c r="AZ204" i="7" s="1"/>
  <c r="AU204" i="7"/>
  <c r="AR204" i="7"/>
  <c r="AQ204" i="7" s="1"/>
  <c r="AN204" i="7"/>
  <c r="AK204" i="7"/>
  <c r="AJ204" i="7" s="1"/>
  <c r="AG204" i="7"/>
  <c r="AD204" i="7"/>
  <c r="AC204" i="7" s="1"/>
  <c r="Z204" i="7"/>
  <c r="W204" i="7"/>
  <c r="V204" i="7" s="1"/>
  <c r="S204" i="7"/>
  <c r="P204" i="7"/>
  <c r="O204" i="7" s="1"/>
  <c r="L204" i="7"/>
  <c r="I204" i="7"/>
  <c r="H204" i="7" s="1"/>
  <c r="E204" i="7"/>
  <c r="DT203" i="7"/>
  <c r="DU203" i="7" s="1"/>
  <c r="DR203" i="7"/>
  <c r="DQ203" i="7" s="1"/>
  <c r="DP203" i="7" s="1"/>
  <c r="DN203" i="7"/>
  <c r="DJ203" i="7"/>
  <c r="DK203" i="7" s="1"/>
  <c r="H64" i="3" s="1"/>
  <c r="DH203" i="7"/>
  <c r="DF203" i="7"/>
  <c r="DB203" i="7"/>
  <c r="CZ203" i="7"/>
  <c r="CV203" i="7"/>
  <c r="CW203" i="7" s="1"/>
  <c r="F64" i="3" s="1"/>
  <c r="CS203" i="7"/>
  <c r="CO203" i="7"/>
  <c r="CP203" i="7" s="1"/>
  <c r="E64" i="3" s="1"/>
  <c r="CL203" i="7"/>
  <c r="CH203" i="7"/>
  <c r="CI203" i="7" s="1"/>
  <c r="D64" i="3" s="1"/>
  <c r="CE203" i="7"/>
  <c r="CA203" i="7"/>
  <c r="CB203" i="7" s="1"/>
  <c r="C64" i="3" s="1"/>
  <c r="BX203" i="7"/>
  <c r="BV203" i="7"/>
  <c r="BT203" i="7"/>
  <c r="BU203" i="7" s="1"/>
  <c r="BQ203" i="7"/>
  <c r="BM203" i="7"/>
  <c r="BN203" i="7" s="1"/>
  <c r="BI203" i="7"/>
  <c r="BF203" i="7"/>
  <c r="BE203" i="7" s="1"/>
  <c r="BB203" i="7"/>
  <c r="AY203" i="7"/>
  <c r="AZ203" i="7" s="1"/>
  <c r="AW203" i="7"/>
  <c r="AU203" i="7"/>
  <c r="AR203" i="7"/>
  <c r="AQ203" i="7" s="1"/>
  <c r="AN203" i="7"/>
  <c r="AK203" i="7"/>
  <c r="AJ203" i="7" s="1"/>
  <c r="AG203" i="7"/>
  <c r="AD203" i="7"/>
  <c r="AC203" i="7" s="1"/>
  <c r="Z203" i="7"/>
  <c r="W203" i="7"/>
  <c r="V203" i="7" s="1"/>
  <c r="S203" i="7"/>
  <c r="P203" i="7"/>
  <c r="O203" i="7" s="1"/>
  <c r="L203" i="7"/>
  <c r="I203" i="7"/>
  <c r="H203" i="7" s="1"/>
  <c r="E203" i="7"/>
  <c r="DU202" i="7"/>
  <c r="DQ202" i="7"/>
  <c r="DP202" i="7" s="1"/>
  <c r="DN202" i="7"/>
  <c r="DJ202" i="7"/>
  <c r="DK202" i="7" s="1"/>
  <c r="H63" i="3" s="1"/>
  <c r="DG202" i="7"/>
  <c r="DC202" i="7"/>
  <c r="DD202" i="7" s="1"/>
  <c r="G63" i="3" s="1"/>
  <c r="CZ202" i="7"/>
  <c r="CV202" i="7"/>
  <c r="CW202" i="7" s="1"/>
  <c r="F63" i="3" s="1"/>
  <c r="CS202" i="7"/>
  <c r="CO202" i="7"/>
  <c r="CP202" i="7" s="1"/>
  <c r="E63" i="3" s="1"/>
  <c r="CL202" i="7"/>
  <c r="CH202" i="7"/>
  <c r="CI202" i="7" s="1"/>
  <c r="D63" i="3" s="1"/>
  <c r="CE202" i="7"/>
  <c r="CA202" i="7"/>
  <c r="CB202" i="7" s="1"/>
  <c r="C63" i="3" s="1"/>
  <c r="BX202" i="7"/>
  <c r="BV202" i="7"/>
  <c r="BT202" i="7"/>
  <c r="BU202" i="7" s="1"/>
  <c r="BQ202" i="7"/>
  <c r="BM202" i="7"/>
  <c r="BN202" i="7" s="1"/>
  <c r="BI202" i="7"/>
  <c r="BF202" i="7"/>
  <c r="BE202" i="7" s="1"/>
  <c r="BB202" i="7"/>
  <c r="AY202" i="7"/>
  <c r="AZ202" i="7" s="1"/>
  <c r="AW202" i="7"/>
  <c r="AU202" i="7"/>
  <c r="AR202" i="7"/>
  <c r="AQ202" i="7" s="1"/>
  <c r="AN202" i="7"/>
  <c r="AK202" i="7"/>
  <c r="AJ202" i="7" s="1"/>
  <c r="AG202" i="7"/>
  <c r="AD202" i="7"/>
  <c r="AC202" i="7" s="1"/>
  <c r="Z202" i="7"/>
  <c r="W202" i="7"/>
  <c r="V202" i="7" s="1"/>
  <c r="S202" i="7"/>
  <c r="P202" i="7"/>
  <c r="O202" i="7" s="1"/>
  <c r="L202" i="7"/>
  <c r="I202" i="7"/>
  <c r="H202" i="7" s="1"/>
  <c r="E202" i="7"/>
  <c r="DU201" i="7"/>
  <c r="DQ201" i="7"/>
  <c r="DP201" i="7" s="1"/>
  <c r="DN201" i="7"/>
  <c r="DJ201" i="7"/>
  <c r="DK201" i="7" s="1"/>
  <c r="H62" i="3" s="1"/>
  <c r="DG201" i="7"/>
  <c r="DC201" i="7"/>
  <c r="DD201" i="7" s="1"/>
  <c r="CZ201" i="7"/>
  <c r="CV201" i="7"/>
  <c r="CS201" i="7"/>
  <c r="CO201" i="7"/>
  <c r="CL201" i="7"/>
  <c r="CH201" i="7"/>
  <c r="CI201" i="7" s="1"/>
  <c r="CE201" i="7"/>
  <c r="CA201" i="7"/>
  <c r="CB201" i="7" s="1"/>
  <c r="BX201" i="7"/>
  <c r="BV201" i="7"/>
  <c r="BT201" i="7"/>
  <c r="BU201" i="7" s="1"/>
  <c r="BQ201" i="7"/>
  <c r="BM201" i="7"/>
  <c r="BJ201" i="7"/>
  <c r="BJ132" i="7" s="1"/>
  <c r="BJ142" i="7" s="1"/>
  <c r="BF201" i="7"/>
  <c r="BE201" i="7"/>
  <c r="BC201" i="7"/>
  <c r="BC207" i="7" s="1"/>
  <c r="AY201" i="7"/>
  <c r="AR201" i="7"/>
  <c r="AN201" i="7"/>
  <c r="AK201" i="7"/>
  <c r="AG201" i="7"/>
  <c r="AD201" i="7"/>
  <c r="AC201" i="7" s="1"/>
  <c r="Z201" i="7"/>
  <c r="W201" i="7"/>
  <c r="V201" i="7" s="1"/>
  <c r="S201" i="7"/>
  <c r="P201" i="7"/>
  <c r="L201" i="7"/>
  <c r="I201" i="7"/>
  <c r="H201" i="7" s="1"/>
  <c r="E201" i="7"/>
  <c r="DT198" i="7"/>
  <c r="DU198" i="7" s="1"/>
  <c r="ER198" i="7" s="1"/>
  <c r="ES198" i="7" s="1"/>
  <c r="ET198" i="7" s="1"/>
  <c r="EU198" i="7" s="1"/>
  <c r="EV198" i="7" s="1"/>
  <c r="EW198" i="7" s="1"/>
  <c r="EX198" i="7" s="1"/>
  <c r="EY198" i="7" s="1"/>
  <c r="EZ198" i="7" s="1"/>
  <c r="FA198" i="7" s="1"/>
  <c r="FB198" i="7" s="1"/>
  <c r="FC198" i="7" s="1"/>
  <c r="FD198" i="7" s="1"/>
  <c r="FE198" i="7" s="1"/>
  <c r="FF198" i="7" s="1"/>
  <c r="FG198" i="7" s="1"/>
  <c r="FH198" i="7" s="1"/>
  <c r="FI198" i="7" s="1"/>
  <c r="FJ198" i="7" s="1"/>
  <c r="FK198" i="7" s="1"/>
  <c r="FL198" i="7" s="1"/>
  <c r="FM198" i="7" s="1"/>
  <c r="FN198" i="7" s="1"/>
  <c r="FO198" i="7" s="1"/>
  <c r="FP198" i="7" s="1"/>
  <c r="FQ198" i="7" s="1"/>
  <c r="FR198" i="7" s="1"/>
  <c r="FS198" i="7" s="1"/>
  <c r="FT198" i="7" s="1"/>
  <c r="FU198" i="7" s="1"/>
  <c r="FV198" i="7" s="1"/>
  <c r="DS198" i="7"/>
  <c r="DR198" i="7"/>
  <c r="DQ198" i="7" s="1"/>
  <c r="DP198" i="7" s="1"/>
  <c r="DO198" i="7"/>
  <c r="DO199" i="7" s="1"/>
  <c r="DM198" i="7"/>
  <c r="DM199" i="7" s="1"/>
  <c r="DL198" i="7"/>
  <c r="DI198" i="7"/>
  <c r="DI199" i="7" s="1"/>
  <c r="DH198" i="7"/>
  <c r="DH199" i="7" s="1"/>
  <c r="DF198" i="7"/>
  <c r="DF199" i="7" s="1"/>
  <c r="DE198" i="7"/>
  <c r="DE199" i="7" s="1"/>
  <c r="DB198" i="7"/>
  <c r="DB199" i="7" s="1"/>
  <c r="DA198" i="7"/>
  <c r="DA199" i="7" s="1"/>
  <c r="CY198" i="7"/>
  <c r="CZ198" i="7" s="1"/>
  <c r="CX198" i="7"/>
  <c r="CV198" i="7"/>
  <c r="CW198" i="7" s="1"/>
  <c r="CS198" i="7"/>
  <c r="CO198" i="7"/>
  <c r="CP198" i="7" s="1"/>
  <c r="CK198" i="7"/>
  <c r="CL198" i="7" s="1"/>
  <c r="CJ198" i="7"/>
  <c r="CH198" i="7"/>
  <c r="CI198" i="7" s="1"/>
  <c r="CE198" i="7"/>
  <c r="CA198" i="7"/>
  <c r="CB198" i="7" s="1"/>
  <c r="BX198" i="7"/>
  <c r="BV198" i="7"/>
  <c r="BT198" i="7"/>
  <c r="BU198" i="7" s="1"/>
  <c r="BQ198" i="7"/>
  <c r="BM198" i="7"/>
  <c r="BN198" i="7" s="1"/>
  <c r="BK198" i="7"/>
  <c r="BK199" i="7" s="1"/>
  <c r="BI198" i="7"/>
  <c r="BF198" i="7"/>
  <c r="BE198" i="7" s="1"/>
  <c r="BB198" i="7"/>
  <c r="AY198" i="7"/>
  <c r="AZ198" i="7" s="1"/>
  <c r="AU198" i="7"/>
  <c r="AR198" i="7"/>
  <c r="AQ198" i="7" s="1"/>
  <c r="AN198" i="7"/>
  <c r="AM198" i="7"/>
  <c r="AK198" i="7"/>
  <c r="AJ198" i="7" s="1"/>
  <c r="AG198" i="7"/>
  <c r="AD198" i="7"/>
  <c r="AC198" i="7" s="1"/>
  <c r="Z198" i="7"/>
  <c r="W198" i="7"/>
  <c r="V198" i="7" s="1"/>
  <c r="S198" i="7"/>
  <c r="P198" i="7"/>
  <c r="O198" i="7" s="1"/>
  <c r="L198" i="7"/>
  <c r="I198" i="7"/>
  <c r="H198" i="7" s="1"/>
  <c r="E198" i="7"/>
  <c r="D198" i="7"/>
  <c r="FT197" i="7"/>
  <c r="FU197" i="7" s="1"/>
  <c r="FV197" i="7" s="1"/>
  <c r="FM197" i="7"/>
  <c r="FN197" i="7" s="1"/>
  <c r="FO197" i="7" s="1"/>
  <c r="FF197" i="7"/>
  <c r="FG197" i="7" s="1"/>
  <c r="FH197" i="7" s="1"/>
  <c r="EY197" i="7"/>
  <c r="EZ197" i="7" s="1"/>
  <c r="FA197" i="7" s="1"/>
  <c r="ER197" i="7"/>
  <c r="ES197" i="7" s="1"/>
  <c r="ET197" i="7" s="1"/>
  <c r="DU197" i="7"/>
  <c r="DQ197" i="7"/>
  <c r="DP197" i="7" s="1"/>
  <c r="DN197" i="7"/>
  <c r="DJ197" i="7"/>
  <c r="DK197" i="7" s="1"/>
  <c r="DG197" i="7"/>
  <c r="DC197" i="7"/>
  <c r="DD197" i="7" s="1"/>
  <c r="CZ197" i="7"/>
  <c r="CV197" i="7"/>
  <c r="CW197" i="7" s="1"/>
  <c r="CS197" i="7"/>
  <c r="CO197" i="7"/>
  <c r="CP197" i="7" s="1"/>
  <c r="CJ197" i="7"/>
  <c r="CH197" i="7"/>
  <c r="CI197" i="7" s="1"/>
  <c r="CE197" i="7"/>
  <c r="CA197" i="7"/>
  <c r="CB197" i="7" s="1"/>
  <c r="BV197" i="7"/>
  <c r="BQ197" i="7"/>
  <c r="AG197" i="7"/>
  <c r="Z197" i="7"/>
  <c r="W197" i="7"/>
  <c r="V197" i="7" s="1"/>
  <c r="S197" i="7"/>
  <c r="P197" i="7"/>
  <c r="O197" i="7" s="1"/>
  <c r="L197" i="7"/>
  <c r="I197" i="7"/>
  <c r="H197" i="7" s="1"/>
  <c r="E197" i="7"/>
  <c r="DU196" i="7"/>
  <c r="ER196" i="7" s="1"/>
  <c r="ES196" i="7" s="1"/>
  <c r="ET196" i="7" s="1"/>
  <c r="EU196" i="7" s="1"/>
  <c r="EV196" i="7" s="1"/>
  <c r="EW196" i="7" s="1"/>
  <c r="EX196" i="7" s="1"/>
  <c r="EY196" i="7" s="1"/>
  <c r="EZ196" i="7" s="1"/>
  <c r="FA196" i="7" s="1"/>
  <c r="FB196" i="7" s="1"/>
  <c r="FC196" i="7" s="1"/>
  <c r="FD196" i="7" s="1"/>
  <c r="FE196" i="7" s="1"/>
  <c r="FF196" i="7" s="1"/>
  <c r="FG196" i="7" s="1"/>
  <c r="FH196" i="7" s="1"/>
  <c r="FI196" i="7" s="1"/>
  <c r="FJ196" i="7" s="1"/>
  <c r="FK196" i="7" s="1"/>
  <c r="FL196" i="7" s="1"/>
  <c r="FM196" i="7" s="1"/>
  <c r="FN196" i="7" s="1"/>
  <c r="FO196" i="7" s="1"/>
  <c r="FP196" i="7" s="1"/>
  <c r="FQ196" i="7" s="1"/>
  <c r="FR196" i="7" s="1"/>
  <c r="FS196" i="7" s="1"/>
  <c r="FT196" i="7" s="1"/>
  <c r="FU196" i="7" s="1"/>
  <c r="FV196" i="7" s="1"/>
  <c r="DQ196" i="7"/>
  <c r="DP196" i="7" s="1"/>
  <c r="DN196" i="7"/>
  <c r="DJ196" i="7"/>
  <c r="DK196" i="7" s="1"/>
  <c r="DG196" i="7"/>
  <c r="DC196" i="7"/>
  <c r="DD196" i="7" s="1"/>
  <c r="CZ196" i="7"/>
  <c r="CV196" i="7"/>
  <c r="CW196" i="7" s="1"/>
  <c r="CS196" i="7"/>
  <c r="CO196" i="7"/>
  <c r="CP196" i="7" s="1"/>
  <c r="CL196" i="7"/>
  <c r="CH196" i="7"/>
  <c r="CI196" i="7" s="1"/>
  <c r="CE196" i="7"/>
  <c r="CA196" i="7"/>
  <c r="CB196" i="7" s="1"/>
  <c r="BX196" i="7"/>
  <c r="BV196" i="7"/>
  <c r="BT196" i="7"/>
  <c r="BU196" i="7" s="1"/>
  <c r="BQ196" i="7"/>
  <c r="BM196" i="7"/>
  <c r="BN196" i="7" s="1"/>
  <c r="BI196" i="7"/>
  <c r="BF196" i="7"/>
  <c r="BE196" i="7" s="1"/>
  <c r="BB196" i="7"/>
  <c r="AY196" i="7"/>
  <c r="AZ196" i="7" s="1"/>
  <c r="AW196" i="7"/>
  <c r="AU196" i="7"/>
  <c r="AR196" i="7"/>
  <c r="AQ196" i="7" s="1"/>
  <c r="AN196" i="7"/>
  <c r="AK196" i="7"/>
  <c r="AJ196" i="7" s="1"/>
  <c r="AG196" i="7"/>
  <c r="AD196" i="7"/>
  <c r="AC196" i="7" s="1"/>
  <c r="Z196" i="7"/>
  <c r="W196" i="7"/>
  <c r="V196" i="7" s="1"/>
  <c r="S196" i="7"/>
  <c r="P196" i="7"/>
  <c r="O196" i="7" s="1"/>
  <c r="L196" i="7"/>
  <c r="I196" i="7"/>
  <c r="H196" i="7" s="1"/>
  <c r="E196" i="7"/>
  <c r="DU195" i="7"/>
  <c r="DQ195" i="7"/>
  <c r="DP195" i="7" s="1"/>
  <c r="DN195" i="7"/>
  <c r="DJ195" i="7"/>
  <c r="DK195" i="7" s="1"/>
  <c r="H59" i="3" s="1"/>
  <c r="DG195" i="7"/>
  <c r="DC195" i="7"/>
  <c r="DD195" i="7" s="1"/>
  <c r="G59" i="3" s="1"/>
  <c r="CZ195" i="7"/>
  <c r="CV195" i="7"/>
  <c r="CW195" i="7" s="1"/>
  <c r="F59" i="3" s="1"/>
  <c r="CS195" i="7"/>
  <c r="CO195" i="7"/>
  <c r="CP195" i="7" s="1"/>
  <c r="E59" i="3" s="1"/>
  <c r="CL195" i="7"/>
  <c r="CH195" i="7"/>
  <c r="CI195" i="7" s="1"/>
  <c r="D59" i="3" s="1"/>
  <c r="CE195" i="7"/>
  <c r="CA195" i="7"/>
  <c r="CB195" i="7" s="1"/>
  <c r="C59" i="3" s="1"/>
  <c r="BX195" i="7"/>
  <c r="BV195" i="7"/>
  <c r="BT195" i="7"/>
  <c r="BU195" i="7" s="1"/>
  <c r="BQ195" i="7"/>
  <c r="BM195" i="7"/>
  <c r="BN195" i="7" s="1"/>
  <c r="BI195" i="7"/>
  <c r="BF195" i="7"/>
  <c r="BE195" i="7" s="1"/>
  <c r="BB195" i="7"/>
  <c r="AY195" i="7"/>
  <c r="AZ195" i="7" s="1"/>
  <c r="AU195" i="7"/>
  <c r="AR195" i="7"/>
  <c r="AQ195" i="7" s="1"/>
  <c r="AN195" i="7"/>
  <c r="AK195" i="7"/>
  <c r="AJ195" i="7" s="1"/>
  <c r="AG195" i="7"/>
  <c r="AD195" i="7"/>
  <c r="AC195" i="7" s="1"/>
  <c r="Z195" i="7"/>
  <c r="W195" i="7"/>
  <c r="V195" i="7" s="1"/>
  <c r="S195" i="7"/>
  <c r="P195" i="7"/>
  <c r="O195" i="7" s="1"/>
  <c r="L195" i="7"/>
  <c r="I195" i="7"/>
  <c r="H195" i="7" s="1"/>
  <c r="E195" i="7"/>
  <c r="DU194" i="7"/>
  <c r="DQ194" i="7"/>
  <c r="DP194" i="7" s="1"/>
  <c r="DN194" i="7"/>
  <c r="DJ194" i="7"/>
  <c r="DK194" i="7" s="1"/>
  <c r="H58" i="3" s="1"/>
  <c r="DG194" i="7"/>
  <c r="DC194" i="7"/>
  <c r="DD194" i="7" s="1"/>
  <c r="G58" i="3" s="1"/>
  <c r="CZ194" i="7"/>
  <c r="CV194" i="7"/>
  <c r="CW194" i="7" s="1"/>
  <c r="F58" i="3" s="1"/>
  <c r="CS194" i="7"/>
  <c r="CO194" i="7"/>
  <c r="CP194" i="7" s="1"/>
  <c r="E58" i="3" s="1"/>
  <c r="CL194" i="7"/>
  <c r="CH194" i="7"/>
  <c r="CI194" i="7" s="1"/>
  <c r="D58" i="3" s="1"/>
  <c r="CE194" i="7"/>
  <c r="CA194" i="7"/>
  <c r="CB194" i="7" s="1"/>
  <c r="C58" i="3" s="1"/>
  <c r="BX194" i="7"/>
  <c r="BV194" i="7"/>
  <c r="BT194" i="7"/>
  <c r="BU194" i="7" s="1"/>
  <c r="BQ194" i="7"/>
  <c r="BM194" i="7"/>
  <c r="BN194" i="7" s="1"/>
  <c r="BI194" i="7"/>
  <c r="BF194" i="7"/>
  <c r="BE194" i="7" s="1"/>
  <c r="BB194" i="7"/>
  <c r="AY194" i="7"/>
  <c r="AZ194" i="7" s="1"/>
  <c r="AU194" i="7"/>
  <c r="AR194" i="7"/>
  <c r="AQ194" i="7" s="1"/>
  <c r="AN194" i="7"/>
  <c r="AK194" i="7"/>
  <c r="AJ194" i="7" s="1"/>
  <c r="AG194" i="7"/>
  <c r="AD194" i="7"/>
  <c r="AC194" i="7" s="1"/>
  <c r="Z194" i="7"/>
  <c r="W194" i="7"/>
  <c r="V194" i="7" s="1"/>
  <c r="S194" i="7"/>
  <c r="P194" i="7"/>
  <c r="O194" i="7" s="1"/>
  <c r="L194" i="7"/>
  <c r="I194" i="7"/>
  <c r="H194" i="7" s="1"/>
  <c r="E194" i="7"/>
  <c r="DT193" i="7"/>
  <c r="DS193" i="7"/>
  <c r="DR193" i="7"/>
  <c r="DN193" i="7"/>
  <c r="DL193" i="7"/>
  <c r="DJ193" i="7"/>
  <c r="DK193" i="7" s="1"/>
  <c r="H57" i="3" s="1"/>
  <c r="DG193" i="7"/>
  <c r="DC193" i="7"/>
  <c r="DD193" i="7" s="1"/>
  <c r="G57" i="3" s="1"/>
  <c r="CY193" i="7"/>
  <c r="CX193" i="7"/>
  <c r="CU193" i="7"/>
  <c r="CV193" i="7" s="1"/>
  <c r="CW193" i="7" s="1"/>
  <c r="F57" i="3" s="1"/>
  <c r="CT193" i="7"/>
  <c r="CR193" i="7"/>
  <c r="CR199" i="7" s="1"/>
  <c r="CQ193" i="7"/>
  <c r="CQ199" i="7" s="1"/>
  <c r="CN193" i="7"/>
  <c r="CN199" i="7" s="1"/>
  <c r="CM193" i="7"/>
  <c r="CL193" i="7"/>
  <c r="CJ193" i="7"/>
  <c r="CG193" i="7"/>
  <c r="CG199" i="7" s="1"/>
  <c r="CF193" i="7"/>
  <c r="CF199" i="7" s="1"/>
  <c r="CD193" i="7"/>
  <c r="CD199" i="7" s="1"/>
  <c r="CC193" i="7"/>
  <c r="CC199" i="7" s="1"/>
  <c r="BZ193" i="7"/>
  <c r="BZ199" i="7" s="1"/>
  <c r="BY193" i="7"/>
  <c r="BY199" i="7" s="1"/>
  <c r="BW193" i="7"/>
  <c r="BW199" i="7" s="1"/>
  <c r="BV193" i="7"/>
  <c r="BS193" i="7"/>
  <c r="BT193" i="7" s="1"/>
  <c r="BU193" i="7" s="1"/>
  <c r="BR193" i="7"/>
  <c r="BP193" i="7"/>
  <c r="BP199" i="7" s="1"/>
  <c r="BO193" i="7"/>
  <c r="BO199" i="7" s="1"/>
  <c r="BL193" i="7"/>
  <c r="BL199" i="7" s="1"/>
  <c r="BJ193" i="7"/>
  <c r="BJ199" i="7" s="1"/>
  <c r="BH193" i="7"/>
  <c r="BH199" i="7" s="1"/>
  <c r="BG193" i="7"/>
  <c r="BG199" i="7" s="1"/>
  <c r="BD193" i="7"/>
  <c r="BD199" i="7" s="1"/>
  <c r="BC193" i="7"/>
  <c r="BC199" i="7" s="1"/>
  <c r="BA193" i="7"/>
  <c r="BA199" i="7" s="1"/>
  <c r="AX193" i="7"/>
  <c r="AX199" i="7" s="1"/>
  <c r="AW193" i="7"/>
  <c r="AV193" i="7"/>
  <c r="AV199" i="7" s="1"/>
  <c r="AT193" i="7"/>
  <c r="AS193" i="7"/>
  <c r="AS199" i="7" s="1"/>
  <c r="AP193" i="7"/>
  <c r="AP199" i="7" s="1"/>
  <c r="AO193" i="7"/>
  <c r="AO199" i="7" s="1"/>
  <c r="AM193" i="7"/>
  <c r="AL193" i="7"/>
  <c r="AL199" i="7" s="1"/>
  <c r="AI193" i="7"/>
  <c r="AI199" i="7" s="1"/>
  <c r="AH193" i="7"/>
  <c r="AG193" i="7" s="1"/>
  <c r="AF193" i="7"/>
  <c r="AE193" i="7"/>
  <c r="AE199" i="7" s="1"/>
  <c r="AB193" i="7"/>
  <c r="AB199" i="7" s="1"/>
  <c r="AA193" i="7"/>
  <c r="AA199" i="7" s="1"/>
  <c r="Y193" i="7"/>
  <c r="Y199" i="7" s="1"/>
  <c r="X193" i="7"/>
  <c r="W193" i="7" s="1"/>
  <c r="V193" i="7" s="1"/>
  <c r="U193" i="7"/>
  <c r="U199" i="7" s="1"/>
  <c r="T193" i="7"/>
  <c r="T199" i="7" s="1"/>
  <c r="R193" i="7"/>
  <c r="R199" i="7" s="1"/>
  <c r="Q193" i="7"/>
  <c r="Q199" i="7" s="1"/>
  <c r="N193" i="7"/>
  <c r="N199" i="7" s="1"/>
  <c r="M193" i="7"/>
  <c r="M199" i="7" s="1"/>
  <c r="K193" i="7"/>
  <c r="K199" i="7" s="1"/>
  <c r="J193" i="7"/>
  <c r="I193" i="7" s="1"/>
  <c r="H193" i="7" s="1"/>
  <c r="G193" i="7"/>
  <c r="G199" i="7" s="1"/>
  <c r="F193" i="7"/>
  <c r="E193" i="7" s="1"/>
  <c r="D193" i="7"/>
  <c r="DU192" i="7"/>
  <c r="DQ192" i="7"/>
  <c r="DP192" i="7" s="1"/>
  <c r="DN192" i="7"/>
  <c r="DJ192" i="7"/>
  <c r="DK192" i="7" s="1"/>
  <c r="H56" i="3" s="1"/>
  <c r="DG192" i="7"/>
  <c r="DC192" i="7"/>
  <c r="DD192" i="7" s="1"/>
  <c r="CZ192" i="7"/>
  <c r="CS192" i="7"/>
  <c r="CO192" i="7"/>
  <c r="CP192" i="7" s="1"/>
  <c r="CL192" i="7"/>
  <c r="CH192" i="7"/>
  <c r="CI192" i="7" s="1"/>
  <c r="CE192" i="7"/>
  <c r="CA192" i="7"/>
  <c r="CB192" i="7" s="1"/>
  <c r="BX192" i="7"/>
  <c r="BV192" i="7"/>
  <c r="BT192" i="7"/>
  <c r="BU192" i="7" s="1"/>
  <c r="BR192" i="7"/>
  <c r="BR132" i="7" s="1"/>
  <c r="BR142" i="7" s="1"/>
  <c r="BQ192" i="7"/>
  <c r="BM192" i="7"/>
  <c r="BN192" i="7" s="1"/>
  <c r="BI192" i="7"/>
  <c r="BF192" i="7"/>
  <c r="BE192" i="7" s="1"/>
  <c r="BB192" i="7"/>
  <c r="AY192" i="7"/>
  <c r="AZ192" i="7" s="1"/>
  <c r="AU192" i="7"/>
  <c r="AT192" i="7"/>
  <c r="AR192" i="7"/>
  <c r="AQ192" i="7" s="1"/>
  <c r="AN192" i="7"/>
  <c r="AK192" i="7"/>
  <c r="AJ192" i="7" s="1"/>
  <c r="AH192" i="7"/>
  <c r="AH132" i="7" s="1"/>
  <c r="AH142" i="7" s="1"/>
  <c r="AF192" i="7"/>
  <c r="AF132" i="7" s="1"/>
  <c r="AF142" i="7" s="1"/>
  <c r="AD192" i="7"/>
  <c r="AC192" i="7" s="1"/>
  <c r="Z192" i="7"/>
  <c r="W192" i="7"/>
  <c r="S192" i="7"/>
  <c r="P192" i="7"/>
  <c r="O192" i="7" s="1"/>
  <c r="L192" i="7"/>
  <c r="J192" i="7"/>
  <c r="E192" i="7"/>
  <c r="DU191" i="7"/>
  <c r="DQ191" i="7"/>
  <c r="DP191" i="7" s="1"/>
  <c r="DN191" i="7"/>
  <c r="DJ191" i="7"/>
  <c r="DK191" i="7" s="1"/>
  <c r="H55" i="3" s="1"/>
  <c r="DG191" i="7"/>
  <c r="DC191" i="7"/>
  <c r="CZ191" i="7"/>
  <c r="CV191" i="7"/>
  <c r="CS191" i="7"/>
  <c r="CO191" i="7"/>
  <c r="CM191" i="7"/>
  <c r="CL191" i="7"/>
  <c r="CH191" i="7"/>
  <c r="CE191" i="7"/>
  <c r="CA191" i="7"/>
  <c r="CB191" i="7" s="1"/>
  <c r="C55" i="3" s="1"/>
  <c r="BX191" i="7"/>
  <c r="BV191" i="7"/>
  <c r="BT191" i="7"/>
  <c r="BU191" i="7" s="1"/>
  <c r="BQ191" i="7"/>
  <c r="BI191" i="7"/>
  <c r="BF191" i="7"/>
  <c r="BE191" i="7" s="1"/>
  <c r="BB191" i="7"/>
  <c r="AY191" i="7"/>
  <c r="AU191" i="7"/>
  <c r="AR191" i="7"/>
  <c r="AN191" i="7"/>
  <c r="AK191" i="7"/>
  <c r="AJ191" i="7" s="1"/>
  <c r="AG191" i="7"/>
  <c r="AD191" i="7"/>
  <c r="AC191" i="7" s="1"/>
  <c r="Z191" i="7"/>
  <c r="W191" i="7"/>
  <c r="V191" i="7" s="1"/>
  <c r="S191" i="7"/>
  <c r="P191" i="7"/>
  <c r="O191" i="7" s="1"/>
  <c r="L191" i="7"/>
  <c r="I191" i="7"/>
  <c r="E191" i="7"/>
  <c r="K188" i="7"/>
  <c r="J188" i="7"/>
  <c r="G188" i="7"/>
  <c r="F188" i="7"/>
  <c r="D188" i="7"/>
  <c r="DT187" i="7"/>
  <c r="DU187" i="7" s="1"/>
  <c r="DS187" i="7"/>
  <c r="DR187" i="7"/>
  <c r="DO187" i="7"/>
  <c r="DM187" i="7"/>
  <c r="DN187" i="7" s="1"/>
  <c r="DL187" i="7"/>
  <c r="DI187" i="7"/>
  <c r="DJ187" i="7" s="1"/>
  <c r="DK187" i="7" s="1"/>
  <c r="H52" i="3" s="1"/>
  <c r="DH187" i="7"/>
  <c r="DF187" i="7"/>
  <c r="DG187" i="7" s="1"/>
  <c r="DE187" i="7"/>
  <c r="DB187" i="7"/>
  <c r="DC187" i="7" s="1"/>
  <c r="DD187" i="7" s="1"/>
  <c r="G52" i="3" s="1"/>
  <c r="DA187" i="7"/>
  <c r="CU187" i="7"/>
  <c r="CV187" i="7" s="1"/>
  <c r="CW187" i="7" s="1"/>
  <c r="F52" i="3" s="1"/>
  <c r="CT187" i="7"/>
  <c r="CR187" i="7"/>
  <c r="CS187" i="7" s="1"/>
  <c r="CQ187" i="7"/>
  <c r="CO187" i="7"/>
  <c r="CP187" i="7" s="1"/>
  <c r="E52" i="3" s="1"/>
  <c r="CL187" i="7"/>
  <c r="CJ187" i="7"/>
  <c r="CH187" i="7"/>
  <c r="CI187" i="7" s="1"/>
  <c r="D52" i="3" s="1"/>
  <c r="CE187" i="7"/>
  <c r="CA187" i="7"/>
  <c r="CB187" i="7" s="1"/>
  <c r="C52" i="3" s="1"/>
  <c r="BX187" i="7"/>
  <c r="BV187" i="7"/>
  <c r="BT187" i="7"/>
  <c r="BU187" i="7" s="1"/>
  <c r="BQ187" i="7"/>
  <c r="BM187" i="7"/>
  <c r="BN187" i="7" s="1"/>
  <c r="BI187" i="7"/>
  <c r="BF187" i="7"/>
  <c r="BE187" i="7" s="1"/>
  <c r="BB187" i="7"/>
  <c r="AY187" i="7"/>
  <c r="AZ187" i="7" s="1"/>
  <c r="AU187" i="7"/>
  <c r="AR187" i="7"/>
  <c r="AQ187" i="7" s="1"/>
  <c r="AN187" i="7"/>
  <c r="AM187" i="7"/>
  <c r="AL187" i="7"/>
  <c r="AK187" i="7" s="1"/>
  <c r="AJ187" i="7" s="1"/>
  <c r="AI187" i="7"/>
  <c r="AH187" i="7"/>
  <c r="AG187" i="7" s="1"/>
  <c r="AF187" i="7"/>
  <c r="AE187" i="7"/>
  <c r="AD187" i="7" s="1"/>
  <c r="AC187" i="7" s="1"/>
  <c r="AB187" i="7"/>
  <c r="AA187" i="7"/>
  <c r="Z187" i="7" s="1"/>
  <c r="Y187" i="7"/>
  <c r="X187" i="7"/>
  <c r="W187" i="7" s="1"/>
  <c r="V187" i="7" s="1"/>
  <c r="U187" i="7"/>
  <c r="T187" i="7"/>
  <c r="S187" i="7" s="1"/>
  <c r="R187" i="7"/>
  <c r="Q187" i="7"/>
  <c r="P187" i="7" s="1"/>
  <c r="O187" i="7" s="1"/>
  <c r="N187" i="7"/>
  <c r="N188" i="7" s="1"/>
  <c r="M187" i="7"/>
  <c r="L187" i="7" s="1"/>
  <c r="I187" i="7"/>
  <c r="H187" i="7" s="1"/>
  <c r="E187" i="7"/>
  <c r="DU186" i="7"/>
  <c r="ER186" i="7" s="1"/>
  <c r="ES186" i="7" s="1"/>
  <c r="ET186" i="7" s="1"/>
  <c r="EU186" i="7" s="1"/>
  <c r="EV186" i="7" s="1"/>
  <c r="EW186" i="7" s="1"/>
  <c r="EX186" i="7" s="1"/>
  <c r="EY186" i="7" s="1"/>
  <c r="EZ186" i="7" s="1"/>
  <c r="FA186" i="7" s="1"/>
  <c r="FB186" i="7" s="1"/>
  <c r="FC186" i="7" s="1"/>
  <c r="FD186" i="7" s="1"/>
  <c r="FE186" i="7" s="1"/>
  <c r="FF186" i="7" s="1"/>
  <c r="FG186" i="7" s="1"/>
  <c r="FH186" i="7" s="1"/>
  <c r="FI186" i="7" s="1"/>
  <c r="FJ186" i="7" s="1"/>
  <c r="FK186" i="7" s="1"/>
  <c r="FL186" i="7" s="1"/>
  <c r="FM186" i="7" s="1"/>
  <c r="FN186" i="7" s="1"/>
  <c r="FO186" i="7" s="1"/>
  <c r="FP186" i="7" s="1"/>
  <c r="FQ186" i="7" s="1"/>
  <c r="FR186" i="7" s="1"/>
  <c r="FS186" i="7" s="1"/>
  <c r="FT186" i="7" s="1"/>
  <c r="FU186" i="7" s="1"/>
  <c r="FV186" i="7" s="1"/>
  <c r="DQ186" i="7"/>
  <c r="DP186" i="7" s="1"/>
  <c r="DN186" i="7"/>
  <c r="DJ186" i="7"/>
  <c r="DK186" i="7" s="1"/>
  <c r="DF186" i="7"/>
  <c r="DG186" i="7" s="1"/>
  <c r="DC186" i="7"/>
  <c r="DD186" i="7" s="1"/>
  <c r="CZ186" i="7"/>
  <c r="CV186" i="7"/>
  <c r="CW186" i="7" s="1"/>
  <c r="CO186" i="7"/>
  <c r="CP186" i="7" s="1"/>
  <c r="CQ186" i="7" s="1"/>
  <c r="CR186" i="7" s="1"/>
  <c r="CS186" i="7" s="1"/>
  <c r="CT186" i="7" s="1"/>
  <c r="CH186" i="7"/>
  <c r="CI186" i="7" s="1"/>
  <c r="CJ186" i="7" s="1"/>
  <c r="CK186" i="7" s="1"/>
  <c r="CL186" i="7" s="1"/>
  <c r="CM186" i="7" s="1"/>
  <c r="AK186" i="7"/>
  <c r="AJ186" i="7" s="1"/>
  <c r="AG186" i="7"/>
  <c r="AD186" i="7"/>
  <c r="AC186" i="7" s="1"/>
  <c r="Z186" i="7"/>
  <c r="W186" i="7"/>
  <c r="V186" i="7" s="1"/>
  <c r="S186" i="7"/>
  <c r="P186" i="7"/>
  <c r="O186" i="7" s="1"/>
  <c r="L186" i="7"/>
  <c r="I186" i="7"/>
  <c r="H186" i="7" s="1"/>
  <c r="E186" i="7"/>
  <c r="DT185" i="7"/>
  <c r="DS185" i="7"/>
  <c r="DS188" i="7" s="1"/>
  <c r="DR185" i="7"/>
  <c r="I51" i="3" s="1"/>
  <c r="DO185" i="7"/>
  <c r="DM185" i="7"/>
  <c r="DL185" i="7"/>
  <c r="DI185" i="7"/>
  <c r="DH185" i="7"/>
  <c r="DF185" i="7"/>
  <c r="DG185" i="7" s="1"/>
  <c r="DE185" i="7"/>
  <c r="DB185" i="7"/>
  <c r="DC185" i="7" s="1"/>
  <c r="DD185" i="7" s="1"/>
  <c r="G51" i="3" s="1"/>
  <c r="DA185" i="7"/>
  <c r="CY185" i="7"/>
  <c r="CY187" i="7" s="1"/>
  <c r="CZ187" i="7" s="1"/>
  <c r="CX185" i="7"/>
  <c r="CX187" i="7" s="1"/>
  <c r="CU185" i="7"/>
  <c r="CV185" i="7" s="1"/>
  <c r="CW185" i="7" s="1"/>
  <c r="F51" i="3" s="1"/>
  <c r="CT185" i="7"/>
  <c r="CR185" i="7"/>
  <c r="CS185" i="7" s="1"/>
  <c r="CQ185" i="7"/>
  <c r="CN185" i="7"/>
  <c r="CO185" i="7" s="1"/>
  <c r="CP185" i="7" s="1"/>
  <c r="E51" i="3" s="1"/>
  <c r="CM185" i="7"/>
  <c r="CK185" i="7"/>
  <c r="CL185" i="7" s="1"/>
  <c r="CJ185" i="7"/>
  <c r="CG185" i="7"/>
  <c r="CH185" i="7" s="1"/>
  <c r="CI185" i="7" s="1"/>
  <c r="D51" i="3" s="1"/>
  <c r="CF185" i="7"/>
  <c r="CF188" i="7" s="1"/>
  <c r="CD185" i="7"/>
  <c r="CC185" i="7"/>
  <c r="CC188" i="7" s="1"/>
  <c r="BZ185" i="7"/>
  <c r="BZ188" i="7" s="1"/>
  <c r="BY185" i="7"/>
  <c r="BY188" i="7" s="1"/>
  <c r="BW185" i="7"/>
  <c r="BX185" i="7" s="1"/>
  <c r="BV185" i="7"/>
  <c r="BS185" i="7"/>
  <c r="BT185" i="7" s="1"/>
  <c r="BU185" i="7" s="1"/>
  <c r="BR185" i="7"/>
  <c r="BR188" i="7" s="1"/>
  <c r="BP185" i="7"/>
  <c r="BP188" i="7" s="1"/>
  <c r="BO185" i="7"/>
  <c r="BO188" i="7" s="1"/>
  <c r="BL185" i="7"/>
  <c r="BM185" i="7" s="1"/>
  <c r="BN185" i="7" s="1"/>
  <c r="BK185" i="7"/>
  <c r="BK188" i="7" s="1"/>
  <c r="BJ185" i="7"/>
  <c r="BJ188" i="7" s="1"/>
  <c r="BH185" i="7"/>
  <c r="BH188" i="7" s="1"/>
  <c r="BG185" i="7"/>
  <c r="BG188" i="7" s="1"/>
  <c r="BD185" i="7"/>
  <c r="BD188" i="7" s="1"/>
  <c r="BC185" i="7"/>
  <c r="BA185" i="7"/>
  <c r="BA188" i="7" s="1"/>
  <c r="AX185" i="7"/>
  <c r="AW185" i="7"/>
  <c r="AW188" i="7" s="1"/>
  <c r="AV185" i="7"/>
  <c r="AT185" i="7"/>
  <c r="AT188" i="7" s="1"/>
  <c r="AS185" i="7"/>
  <c r="AP185" i="7"/>
  <c r="AP188" i="7" s="1"/>
  <c r="AO185" i="7"/>
  <c r="AO188" i="7" s="1"/>
  <c r="AM185" i="7"/>
  <c r="AL185" i="7"/>
  <c r="AI185" i="7"/>
  <c r="AH185" i="7"/>
  <c r="AF185" i="7"/>
  <c r="AE185" i="7"/>
  <c r="AD185" i="7" s="1"/>
  <c r="AC185" i="7" s="1"/>
  <c r="AB185" i="7"/>
  <c r="AA185" i="7"/>
  <c r="Y185" i="7"/>
  <c r="X185" i="7"/>
  <c r="U185" i="7"/>
  <c r="T185" i="7"/>
  <c r="S185" i="7" s="1"/>
  <c r="R185" i="7"/>
  <c r="Q185" i="7"/>
  <c r="P185" i="7" s="1"/>
  <c r="O185" i="7" s="1"/>
  <c r="L185" i="7"/>
  <c r="I185" i="7"/>
  <c r="H185" i="7" s="1"/>
  <c r="E185" i="7"/>
  <c r="DU184" i="7"/>
  <c r="DQ184" i="7"/>
  <c r="DP184" i="7" s="1"/>
  <c r="DP168" i="7" s="1"/>
  <c r="DN184" i="7"/>
  <c r="DJ184" i="7"/>
  <c r="DK184" i="7" s="1"/>
  <c r="H50" i="3" s="1"/>
  <c r="DG184" i="7"/>
  <c r="DB184" i="7"/>
  <c r="CZ184" i="7"/>
  <c r="CV184" i="7"/>
  <c r="CS184" i="7"/>
  <c r="CO184" i="7"/>
  <c r="CP184" i="7" s="1"/>
  <c r="E50" i="3" s="1"/>
  <c r="CM184" i="7"/>
  <c r="CM168" i="7" s="1"/>
  <c r="CL184" i="7"/>
  <c r="CJ184" i="7"/>
  <c r="CJ168" i="7" s="1"/>
  <c r="CH184" i="7"/>
  <c r="CH168" i="7" s="1"/>
  <c r="CE184" i="7"/>
  <c r="CE168" i="7" s="1"/>
  <c r="CA184" i="7"/>
  <c r="CB184" i="7" s="1"/>
  <c r="C50" i="3" s="1"/>
  <c r="BX184" i="7"/>
  <c r="BV184" i="7"/>
  <c r="BT184" i="7"/>
  <c r="BU184" i="7" s="1"/>
  <c r="BQ184" i="7"/>
  <c r="BM184" i="7"/>
  <c r="BN184" i="7" s="1"/>
  <c r="BI184" i="7"/>
  <c r="BF184" i="7"/>
  <c r="BE184" i="7" s="1"/>
  <c r="BB184" i="7"/>
  <c r="AY184" i="7"/>
  <c r="AZ184" i="7" s="1"/>
  <c r="AU184" i="7"/>
  <c r="AR184" i="7"/>
  <c r="AQ184" i="7" s="1"/>
  <c r="AN184" i="7"/>
  <c r="AK184" i="7"/>
  <c r="AJ184" i="7" s="1"/>
  <c r="AG184" i="7"/>
  <c r="AD184" i="7"/>
  <c r="AC184" i="7" s="1"/>
  <c r="Z184" i="7"/>
  <c r="W184" i="7"/>
  <c r="V184" i="7" s="1"/>
  <c r="S184" i="7"/>
  <c r="P184" i="7"/>
  <c r="O184" i="7" s="1"/>
  <c r="L184" i="7"/>
  <c r="I184" i="7"/>
  <c r="H184" i="7" s="1"/>
  <c r="E184" i="7"/>
  <c r="DU183" i="7"/>
  <c r="DQ183" i="7"/>
  <c r="DP183" i="7" s="1"/>
  <c r="DN183" i="7"/>
  <c r="DJ183" i="7"/>
  <c r="DK183" i="7" s="1"/>
  <c r="H49" i="3" s="1"/>
  <c r="DG183" i="7"/>
  <c r="DC183" i="7"/>
  <c r="DD183" i="7" s="1"/>
  <c r="G49" i="3" s="1"/>
  <c r="CZ183" i="7"/>
  <c r="CV183" i="7"/>
  <c r="CW183" i="7" s="1"/>
  <c r="F49" i="3" s="1"/>
  <c r="CS183" i="7"/>
  <c r="CO183" i="7"/>
  <c r="CP183" i="7" s="1"/>
  <c r="E49" i="3" s="1"/>
  <c r="CL183" i="7"/>
  <c r="CJ183" i="7"/>
  <c r="CH183" i="7"/>
  <c r="CI183" i="7" s="1"/>
  <c r="D49" i="3" s="1"/>
  <c r="CE183" i="7"/>
  <c r="CA183" i="7"/>
  <c r="CB183" i="7" s="1"/>
  <c r="C49" i="3" s="1"/>
  <c r="BX183" i="7"/>
  <c r="BV183" i="7"/>
  <c r="BT183" i="7"/>
  <c r="BU183" i="7" s="1"/>
  <c r="BQ183" i="7"/>
  <c r="BM183" i="7"/>
  <c r="BN183" i="7" s="1"/>
  <c r="BI183" i="7"/>
  <c r="BF183" i="7"/>
  <c r="BE183" i="7" s="1"/>
  <c r="BB183" i="7"/>
  <c r="AY183" i="7"/>
  <c r="AZ183" i="7" s="1"/>
  <c r="AU183" i="7"/>
  <c r="AR183" i="7"/>
  <c r="AQ183" i="7" s="1"/>
  <c r="AN183" i="7"/>
  <c r="AK183" i="7"/>
  <c r="AJ183" i="7" s="1"/>
  <c r="AG183" i="7"/>
  <c r="AD183" i="7"/>
  <c r="AC183" i="7" s="1"/>
  <c r="Z183" i="7"/>
  <c r="W183" i="7"/>
  <c r="V183" i="7" s="1"/>
  <c r="S183" i="7"/>
  <c r="P183" i="7"/>
  <c r="O183" i="7" s="1"/>
  <c r="L183" i="7"/>
  <c r="I183" i="7"/>
  <c r="H183" i="7" s="1"/>
  <c r="E183" i="7"/>
  <c r="DU182" i="7"/>
  <c r="DQ182" i="7"/>
  <c r="DP182" i="7" s="1"/>
  <c r="DN182" i="7"/>
  <c r="DJ182" i="7"/>
  <c r="DK182" i="7" s="1"/>
  <c r="H48" i="3" s="1"/>
  <c r="DG182" i="7"/>
  <c r="DC182" i="7"/>
  <c r="DD182" i="7" s="1"/>
  <c r="G48" i="3" s="1"/>
  <c r="CZ182" i="7"/>
  <c r="CV182" i="7"/>
  <c r="CW182" i="7" s="1"/>
  <c r="F48" i="3" s="1"/>
  <c r="CS182" i="7"/>
  <c r="CO182" i="7"/>
  <c r="CP182" i="7" s="1"/>
  <c r="E48" i="3" s="1"/>
  <c r="CM182" i="7"/>
  <c r="CL182" i="7"/>
  <c r="CJ182" i="7"/>
  <c r="CH182" i="7"/>
  <c r="CI182" i="7" s="1"/>
  <c r="D48" i="3" s="1"/>
  <c r="CE182" i="7"/>
  <c r="CA182" i="7"/>
  <c r="CB182" i="7" s="1"/>
  <c r="C48" i="3" s="1"/>
  <c r="BX182" i="7"/>
  <c r="BV182" i="7"/>
  <c r="BT182" i="7"/>
  <c r="BU182" i="7" s="1"/>
  <c r="BQ182" i="7"/>
  <c r="BM182" i="7"/>
  <c r="BN182" i="7" s="1"/>
  <c r="BI182" i="7"/>
  <c r="BF182" i="7"/>
  <c r="BE182" i="7" s="1"/>
  <c r="BB182" i="7"/>
  <c r="AY182" i="7"/>
  <c r="AZ182" i="7" s="1"/>
  <c r="AU182" i="7"/>
  <c r="AR182" i="7"/>
  <c r="AQ182" i="7" s="1"/>
  <c r="AN182" i="7"/>
  <c r="AK182" i="7"/>
  <c r="AJ182" i="7" s="1"/>
  <c r="AG182" i="7"/>
  <c r="AD182" i="7"/>
  <c r="AC182" i="7" s="1"/>
  <c r="Z182" i="7"/>
  <c r="W182" i="7"/>
  <c r="V182" i="7" s="1"/>
  <c r="S182" i="7"/>
  <c r="P182" i="7"/>
  <c r="O182" i="7" s="1"/>
  <c r="L182" i="7"/>
  <c r="I182" i="7"/>
  <c r="H182" i="7" s="1"/>
  <c r="E182" i="7"/>
  <c r="DU181" i="7"/>
  <c r="DQ181" i="7"/>
  <c r="DP181" i="7" s="1"/>
  <c r="DN181" i="7"/>
  <c r="DJ181" i="7"/>
  <c r="DF181" i="7"/>
  <c r="DC181" i="7"/>
  <c r="DD181" i="7" s="1"/>
  <c r="CK181" i="7"/>
  <c r="CL181" i="7" s="1"/>
  <c r="CG181" i="7"/>
  <c r="CE181" i="7"/>
  <c r="CA181" i="7"/>
  <c r="CB181" i="7" s="1"/>
  <c r="BW181" i="7"/>
  <c r="BV181" i="7"/>
  <c r="BS181" i="7"/>
  <c r="BQ181" i="7"/>
  <c r="BL181" i="7"/>
  <c r="BI181" i="7"/>
  <c r="BF181" i="7"/>
  <c r="BB181" i="7"/>
  <c r="AY181" i="7"/>
  <c r="AU181" i="7"/>
  <c r="AR181" i="7"/>
  <c r="AQ181" i="7" s="1"/>
  <c r="AN181" i="7"/>
  <c r="AK181" i="7"/>
  <c r="AD181" i="7"/>
  <c r="AC181" i="7" s="1"/>
  <c r="W181" i="7"/>
  <c r="P181" i="7"/>
  <c r="O181" i="7" s="1"/>
  <c r="I181" i="7"/>
  <c r="DT178" i="7"/>
  <c r="DU178" i="7" s="1"/>
  <c r="DS178" i="7"/>
  <c r="DR178" i="7"/>
  <c r="I46" i="3" s="1"/>
  <c r="DO178" i="7"/>
  <c r="DM178" i="7"/>
  <c r="DN178" i="7" s="1"/>
  <c r="DL178" i="7"/>
  <c r="DI178" i="7"/>
  <c r="DJ178" i="7" s="1"/>
  <c r="DK178" i="7" s="1"/>
  <c r="H46" i="3" s="1"/>
  <c r="DH178" i="7"/>
  <c r="DF178" i="7"/>
  <c r="DG178" i="7" s="1"/>
  <c r="DE178" i="7"/>
  <c r="DB178" i="7"/>
  <c r="DC178" i="7" s="1"/>
  <c r="DD178" i="7" s="1"/>
  <c r="G46" i="3" s="1"/>
  <c r="DA178" i="7"/>
  <c r="CY178" i="7"/>
  <c r="CZ178" i="7" s="1"/>
  <c r="CX178" i="7"/>
  <c r="CU178" i="7"/>
  <c r="CV178" i="7" s="1"/>
  <c r="CW178" i="7" s="1"/>
  <c r="F46" i="3" s="1"/>
  <c r="CT178" i="7"/>
  <c r="CR178" i="7"/>
  <c r="CS178" i="7" s="1"/>
  <c r="CQ178" i="7"/>
  <c r="CN178" i="7"/>
  <c r="CO178" i="7" s="1"/>
  <c r="CP178" i="7" s="1"/>
  <c r="E46" i="3" s="1"/>
  <c r="CM178" i="7"/>
  <c r="CK178" i="7"/>
  <c r="CL178" i="7" s="1"/>
  <c r="CJ178" i="7"/>
  <c r="CG178" i="7"/>
  <c r="CH178" i="7" s="1"/>
  <c r="CI178" i="7" s="1"/>
  <c r="D46" i="3" s="1"/>
  <c r="CF178" i="7"/>
  <c r="CD178" i="7"/>
  <c r="CE178" i="7" s="1"/>
  <c r="CC178" i="7"/>
  <c r="BZ178" i="7"/>
  <c r="CA178" i="7" s="1"/>
  <c r="CB178" i="7" s="1"/>
  <c r="C46" i="3" s="1"/>
  <c r="BY178" i="7"/>
  <c r="BW178" i="7"/>
  <c r="BX178" i="7" s="1"/>
  <c r="BV178" i="7"/>
  <c r="BS178" i="7"/>
  <c r="BT178" i="7" s="1"/>
  <c r="BU178" i="7" s="1"/>
  <c r="BR178" i="7"/>
  <c r="BP178" i="7"/>
  <c r="BQ178" i="7" s="1"/>
  <c r="BO178" i="7"/>
  <c r="BL178" i="7"/>
  <c r="BM178" i="7" s="1"/>
  <c r="BN178" i="7" s="1"/>
  <c r="BK178" i="7"/>
  <c r="BJ178" i="7"/>
  <c r="BI178" i="7" s="1"/>
  <c r="BH178" i="7"/>
  <c r="BG178" i="7"/>
  <c r="BF178" i="7" s="1"/>
  <c r="BE178" i="7" s="1"/>
  <c r="BD178" i="7"/>
  <c r="BC178" i="7"/>
  <c r="BB178" i="7" s="1"/>
  <c r="BA178" i="7"/>
  <c r="AX178" i="7"/>
  <c r="AY178" i="7" s="1"/>
  <c r="AZ178" i="7" s="1"/>
  <c r="AW178" i="7"/>
  <c r="AV178" i="7"/>
  <c r="AU178" i="7" s="1"/>
  <c r="AT178" i="7"/>
  <c r="AS178" i="7"/>
  <c r="AR178" i="7" s="1"/>
  <c r="AQ178" i="7" s="1"/>
  <c r="AP178" i="7"/>
  <c r="AO178" i="7"/>
  <c r="AN178" i="7" s="1"/>
  <c r="AM178" i="7"/>
  <c r="AL178" i="7"/>
  <c r="AK178" i="7" s="1"/>
  <c r="AJ178" i="7" s="1"/>
  <c r="AI178" i="7"/>
  <c r="AH178" i="7"/>
  <c r="AG178" i="7" s="1"/>
  <c r="AF178" i="7"/>
  <c r="AE178" i="7"/>
  <c r="AD178" i="7" s="1"/>
  <c r="AC178" i="7" s="1"/>
  <c r="AB178" i="7"/>
  <c r="AA178" i="7"/>
  <c r="Z178" i="7" s="1"/>
  <c r="Y178" i="7"/>
  <c r="X178" i="7"/>
  <c r="W178" i="7" s="1"/>
  <c r="V178" i="7" s="1"/>
  <c r="U178" i="7"/>
  <c r="T178" i="7"/>
  <c r="S178" i="7" s="1"/>
  <c r="R178" i="7"/>
  <c r="Q178" i="7"/>
  <c r="P178" i="7" s="1"/>
  <c r="O178" i="7" s="1"/>
  <c r="N178" i="7"/>
  <c r="M178" i="7"/>
  <c r="L178" i="7" s="1"/>
  <c r="K178" i="7"/>
  <c r="K179" i="7" s="1"/>
  <c r="J178" i="7"/>
  <c r="J179" i="7" s="1"/>
  <c r="G178" i="7"/>
  <c r="G179" i="7" s="1"/>
  <c r="F178" i="7"/>
  <c r="F179" i="7" s="1"/>
  <c r="D178" i="7"/>
  <c r="D179" i="7" s="1"/>
  <c r="DU177" i="7"/>
  <c r="DQ177" i="7"/>
  <c r="DP177" i="7" s="1"/>
  <c r="DN177" i="7"/>
  <c r="DJ177" i="7"/>
  <c r="DG177" i="7"/>
  <c r="DC177" i="7"/>
  <c r="DD177" i="7" s="1"/>
  <c r="G45" i="3" s="1"/>
  <c r="CZ177" i="7"/>
  <c r="CV177" i="7"/>
  <c r="CW177" i="7" s="1"/>
  <c r="F45" i="3" s="1"/>
  <c r="CS177" i="7"/>
  <c r="CO177" i="7"/>
  <c r="CM177" i="7"/>
  <c r="CL177" i="7"/>
  <c r="CH177" i="7"/>
  <c r="CE177" i="7"/>
  <c r="CA177" i="7"/>
  <c r="BX177" i="7"/>
  <c r="BV177" i="7"/>
  <c r="BT177" i="7"/>
  <c r="BU177" i="7" s="1"/>
  <c r="BQ177" i="7"/>
  <c r="BM177" i="7"/>
  <c r="BN177" i="7" s="1"/>
  <c r="BI177" i="7"/>
  <c r="BF177" i="7"/>
  <c r="BE177" i="7" s="1"/>
  <c r="BB177" i="7"/>
  <c r="AY177" i="7"/>
  <c r="AW177" i="7"/>
  <c r="AU177" i="7"/>
  <c r="AR177" i="7"/>
  <c r="AQ177" i="7" s="1"/>
  <c r="AN177" i="7"/>
  <c r="AK177" i="7"/>
  <c r="AG177" i="7"/>
  <c r="AD177" i="7"/>
  <c r="AC177" i="7" s="1"/>
  <c r="Z177" i="7"/>
  <c r="W177" i="7"/>
  <c r="V177" i="7" s="1"/>
  <c r="S177" i="7"/>
  <c r="P177" i="7"/>
  <c r="O177" i="7" s="1"/>
  <c r="L177" i="7"/>
  <c r="I177" i="7"/>
  <c r="H177" i="7" s="1"/>
  <c r="E177" i="7"/>
  <c r="DU176" i="7"/>
  <c r="DQ176" i="7"/>
  <c r="DP176" i="7" s="1"/>
  <c r="DN176" i="7"/>
  <c r="DJ176" i="7"/>
  <c r="DK176" i="7" s="1"/>
  <c r="H44" i="3" s="1"/>
  <c r="DG176" i="7"/>
  <c r="DC176" i="7"/>
  <c r="DD176" i="7" s="1"/>
  <c r="G44" i="3" s="1"/>
  <c r="CZ176" i="7"/>
  <c r="CV176" i="7"/>
  <c r="CS176" i="7"/>
  <c r="CO176" i="7"/>
  <c r="CM176" i="7"/>
  <c r="CL176" i="7"/>
  <c r="CH176" i="7"/>
  <c r="CE176" i="7"/>
  <c r="CA176" i="7"/>
  <c r="CB176" i="7" s="1"/>
  <c r="C44" i="3" s="1"/>
  <c r="BX176" i="7"/>
  <c r="BV176" i="7"/>
  <c r="BT176" i="7"/>
  <c r="BQ176" i="7"/>
  <c r="BM176" i="7"/>
  <c r="BN176" i="7" s="1"/>
  <c r="BK176" i="7"/>
  <c r="BI176" i="7"/>
  <c r="BF176" i="7"/>
  <c r="BE176" i="7" s="1"/>
  <c r="BB176" i="7"/>
  <c r="AY176" i="7"/>
  <c r="AW176" i="7"/>
  <c r="AU176" i="7"/>
  <c r="AR176" i="7"/>
  <c r="AQ176" i="7" s="1"/>
  <c r="AN176" i="7"/>
  <c r="AK176" i="7"/>
  <c r="AJ176" i="7" s="1"/>
  <c r="AG176" i="7"/>
  <c r="AD176" i="7"/>
  <c r="Z176" i="7"/>
  <c r="W176" i="7"/>
  <c r="V176" i="7" s="1"/>
  <c r="S176" i="7"/>
  <c r="P176" i="7"/>
  <c r="O176" i="7" s="1"/>
  <c r="L176" i="7"/>
  <c r="I176" i="7"/>
  <c r="H176" i="7" s="1"/>
  <c r="E176" i="7"/>
  <c r="AV175" i="7"/>
  <c r="AT175" i="7"/>
  <c r="AU152" i="7" s="1"/>
  <c r="AS175" i="7"/>
  <c r="AR175" i="7" s="1"/>
  <c r="AP175" i="7"/>
  <c r="AO175" i="7"/>
  <c r="AR152" i="7" s="1"/>
  <c r="AM175" i="7"/>
  <c r="AM153" i="7" s="1"/>
  <c r="AN152" i="7" s="1"/>
  <c r="AL175" i="7"/>
  <c r="AS152" i="7" s="1"/>
  <c r="AI175" i="7"/>
  <c r="AI153" i="7" s="1"/>
  <c r="AJ152" i="7" s="1"/>
  <c r="AH175" i="7"/>
  <c r="AG175" i="7" s="1"/>
  <c r="AF175" i="7"/>
  <c r="AF153" i="7" s="1"/>
  <c r="AG152" i="7" s="1"/>
  <c r="AE175" i="7"/>
  <c r="AB175" i="7"/>
  <c r="AA175" i="7"/>
  <c r="Y175" i="7"/>
  <c r="Y153" i="7" s="1"/>
  <c r="Z152" i="7" s="1"/>
  <c r="X175" i="7"/>
  <c r="W175" i="7" s="1"/>
  <c r="W153" i="7" s="1"/>
  <c r="X153" i="7" s="1"/>
  <c r="U175" i="7"/>
  <c r="U174" i="7" s="1"/>
  <c r="T175" i="7"/>
  <c r="T153" i="7" s="1"/>
  <c r="W152" i="7" s="1"/>
  <c r="R175" i="7"/>
  <c r="Q175" i="7"/>
  <c r="P175" i="7" s="1"/>
  <c r="O175" i="7" s="1"/>
  <c r="O153" i="7" s="1"/>
  <c r="N175" i="7"/>
  <c r="M175" i="7"/>
  <c r="I175" i="7"/>
  <c r="H175" i="7" s="1"/>
  <c r="H173" i="7" s="1"/>
  <c r="E175" i="7"/>
  <c r="E173" i="7" s="1"/>
  <c r="DT174" i="7"/>
  <c r="DT175" i="7" s="1"/>
  <c r="DU175" i="7" s="1"/>
  <c r="DX152" i="7" s="1"/>
  <c r="DX154" i="7" s="1"/>
  <c r="DS174" i="7"/>
  <c r="DS175" i="7" s="1"/>
  <c r="DR174" i="7"/>
  <c r="DR175" i="7" s="1"/>
  <c r="DO174" i="7"/>
  <c r="DO175" i="7" s="1"/>
  <c r="DM174" i="7"/>
  <c r="DM175" i="7" s="1"/>
  <c r="DM153" i="7" s="1"/>
  <c r="DL174" i="7"/>
  <c r="DL175" i="7" s="1"/>
  <c r="DI174" i="7"/>
  <c r="DH174" i="7"/>
  <c r="DH175" i="7" s="1"/>
  <c r="DF174" i="7"/>
  <c r="DG174" i="7" s="1"/>
  <c r="DE174" i="7"/>
  <c r="DE175" i="7" s="1"/>
  <c r="DF152" i="7" s="1"/>
  <c r="DB174" i="7"/>
  <c r="DB175" i="7" s="1"/>
  <c r="DB153" i="7" s="1"/>
  <c r="DA174" i="7"/>
  <c r="DA175" i="7" s="1"/>
  <c r="CY174" i="7"/>
  <c r="CY175" i="7" s="1"/>
  <c r="CY153" i="7" s="1"/>
  <c r="CX174" i="7"/>
  <c r="CX175" i="7" s="1"/>
  <c r="CX153" i="7" s="1"/>
  <c r="CU174" i="7"/>
  <c r="CU175" i="7" s="1"/>
  <c r="CU153" i="7" s="1"/>
  <c r="CT174" i="7"/>
  <c r="CT175" i="7" s="1"/>
  <c r="CT153" i="7" s="1"/>
  <c r="CR174" i="7"/>
  <c r="CR175" i="7" s="1"/>
  <c r="CR153" i="7" s="1"/>
  <c r="CQ174" i="7"/>
  <c r="CQ175" i="7" s="1"/>
  <c r="CN174" i="7"/>
  <c r="CN175" i="7" s="1"/>
  <c r="CM174" i="7"/>
  <c r="CM175" i="7" s="1"/>
  <c r="CM153" i="7" s="1"/>
  <c r="CK174" i="7"/>
  <c r="CJ174" i="7"/>
  <c r="CG174" i="7"/>
  <c r="CG175" i="7" s="1"/>
  <c r="CF174" i="7"/>
  <c r="CF175" i="7" s="1"/>
  <c r="CD174" i="7"/>
  <c r="CD175" i="7" s="1"/>
  <c r="CC174" i="7"/>
  <c r="CC175" i="7" s="1"/>
  <c r="CC153" i="7" s="1"/>
  <c r="BZ174" i="7"/>
  <c r="CA174" i="7" s="1"/>
  <c r="CB174" i="7" s="1"/>
  <c r="BY174" i="7"/>
  <c r="BY175" i="7" s="1"/>
  <c r="BY153" i="7" s="1"/>
  <c r="BW174" i="7"/>
  <c r="BW175" i="7" s="1"/>
  <c r="BV174" i="7"/>
  <c r="BS174" i="7"/>
  <c r="BT174" i="7" s="1"/>
  <c r="BU174" i="7" s="1"/>
  <c r="BR174" i="7"/>
  <c r="BR175" i="7" s="1"/>
  <c r="BP174" i="7"/>
  <c r="BP175" i="7" s="1"/>
  <c r="BO174" i="7"/>
  <c r="BO175" i="7" s="1"/>
  <c r="BP152" i="7" s="1"/>
  <c r="BL174" i="7"/>
  <c r="BL175" i="7" s="1"/>
  <c r="BK174" i="7"/>
  <c r="BK175" i="7" s="1"/>
  <c r="BL152" i="7" s="1"/>
  <c r="BJ174" i="7"/>
  <c r="BI174" i="7" s="1"/>
  <c r="BH174" i="7"/>
  <c r="BH175" i="7" s="1"/>
  <c r="BG174" i="7"/>
  <c r="BG175" i="7" s="1"/>
  <c r="BD174" i="7"/>
  <c r="BD175" i="7" s="1"/>
  <c r="BC174" i="7"/>
  <c r="BC175" i="7" s="1"/>
  <c r="BD152" i="7" s="1"/>
  <c r="BA174" i="7"/>
  <c r="BA175" i="7" s="1"/>
  <c r="AX174" i="7"/>
  <c r="AW174" i="7"/>
  <c r="AW175" i="7" s="1"/>
  <c r="AW153" i="7" s="1"/>
  <c r="DU173" i="7"/>
  <c r="DQ173" i="7"/>
  <c r="DP173" i="7" s="1"/>
  <c r="DP131" i="7" s="1"/>
  <c r="DN173" i="7"/>
  <c r="DN131" i="7" s="1"/>
  <c r="DJ173" i="7"/>
  <c r="DK173" i="7" s="1"/>
  <c r="DK131" i="7" s="1"/>
  <c r="DG173" i="7"/>
  <c r="DG131" i="7" s="1"/>
  <c r="DC173" i="7"/>
  <c r="DD173" i="7" s="1"/>
  <c r="DD131" i="7" s="1"/>
  <c r="CZ173" i="7"/>
  <c r="CZ131" i="7" s="1"/>
  <c r="CV173" i="7"/>
  <c r="CW173" i="7" s="1"/>
  <c r="CW131" i="7" s="1"/>
  <c r="CS173" i="7"/>
  <c r="CS131" i="7" s="1"/>
  <c r="CO173" i="7"/>
  <c r="CP173" i="7" s="1"/>
  <c r="CP131" i="7" s="1"/>
  <c r="CL173" i="7"/>
  <c r="CL131" i="7" s="1"/>
  <c r="CJ173" i="7"/>
  <c r="CJ131" i="7" s="1"/>
  <c r="CH173" i="7"/>
  <c r="CE173" i="7"/>
  <c r="CE131" i="7" s="1"/>
  <c r="CA173" i="7"/>
  <c r="CB173" i="7" s="1"/>
  <c r="CB131" i="7" s="1"/>
  <c r="BX173" i="7"/>
  <c r="BX131" i="7" s="1"/>
  <c r="BV173" i="7"/>
  <c r="BV131" i="7" s="1"/>
  <c r="BT173" i="7"/>
  <c r="BU173" i="7" s="1"/>
  <c r="BU131" i="7" s="1"/>
  <c r="BQ173" i="7"/>
  <c r="BQ131" i="7" s="1"/>
  <c r="BM173" i="7"/>
  <c r="BN173" i="7" s="1"/>
  <c r="BN131" i="7" s="1"/>
  <c r="BI173" i="7"/>
  <c r="BI131" i="7" s="1"/>
  <c r="BF173" i="7"/>
  <c r="BE173" i="7" s="1"/>
  <c r="BE131" i="7" s="1"/>
  <c r="BB173" i="7"/>
  <c r="BB131" i="7" s="1"/>
  <c r="AY173" i="7"/>
  <c r="AZ173" i="7" s="1"/>
  <c r="AZ131" i="7" s="1"/>
  <c r="AU173" i="7"/>
  <c r="AU131" i="7" s="1"/>
  <c r="AR173" i="7"/>
  <c r="AQ173" i="7" s="1"/>
  <c r="AQ131" i="7" s="1"/>
  <c r="AN173" i="7"/>
  <c r="AN131" i="7" s="1"/>
  <c r="AK173" i="7"/>
  <c r="AJ173" i="7" s="1"/>
  <c r="AJ131" i="7" s="1"/>
  <c r="AG173" i="7"/>
  <c r="AG131" i="7" s="1"/>
  <c r="AD173" i="7"/>
  <c r="AC173" i="7" s="1"/>
  <c r="AC131" i="7" s="1"/>
  <c r="Z173" i="7"/>
  <c r="Z131" i="7" s="1"/>
  <c r="W173" i="7"/>
  <c r="V173" i="7" s="1"/>
  <c r="V131" i="7" s="1"/>
  <c r="S173" i="7"/>
  <c r="S131" i="7" s="1"/>
  <c r="P173" i="7"/>
  <c r="O173" i="7" s="1"/>
  <c r="O131" i="7" s="1"/>
  <c r="L173" i="7"/>
  <c r="L131" i="7" s="1"/>
  <c r="K173" i="7"/>
  <c r="K131" i="7" s="1"/>
  <c r="J173" i="7"/>
  <c r="J131" i="7" s="1"/>
  <c r="G173" i="7"/>
  <c r="F173" i="7"/>
  <c r="D173" i="7"/>
  <c r="DT168" i="7"/>
  <c r="DU168" i="7" s="1"/>
  <c r="DS168" i="7"/>
  <c r="DR168" i="7"/>
  <c r="DO168" i="7"/>
  <c r="DM168" i="7"/>
  <c r="DN168" i="7" s="1"/>
  <c r="DL168" i="7"/>
  <c r="DI168" i="7"/>
  <c r="DH168" i="7"/>
  <c r="DF168" i="7"/>
  <c r="DG168" i="7" s="1"/>
  <c r="DE168" i="7"/>
  <c r="DA168" i="7"/>
  <c r="CY168" i="7"/>
  <c r="CZ168" i="7" s="1"/>
  <c r="CX168" i="7"/>
  <c r="CU168" i="7"/>
  <c r="CT168" i="7"/>
  <c r="CR168" i="7"/>
  <c r="CS168" i="7" s="1"/>
  <c r="CQ168" i="7"/>
  <c r="CN168" i="7"/>
  <c r="CK168" i="7"/>
  <c r="CL168" i="7" s="1"/>
  <c r="CG168" i="7"/>
  <c r="CF168" i="7"/>
  <c r="CD168" i="7"/>
  <c r="CC168" i="7"/>
  <c r="AS168" i="7"/>
  <c r="AL168" i="7"/>
  <c r="AF168" i="7"/>
  <c r="AE168" i="7"/>
  <c r="Y168" i="7"/>
  <c r="X168" i="7"/>
  <c r="R168" i="7"/>
  <c r="Q168" i="7"/>
  <c r="K168" i="7"/>
  <c r="J168" i="7"/>
  <c r="D168" i="7"/>
  <c r="AT167" i="7"/>
  <c r="FT165" i="7"/>
  <c r="FS165" i="7"/>
  <c r="FQ165" i="7"/>
  <c r="FP165" i="7"/>
  <c r="FM165" i="7"/>
  <c r="FL165" i="7"/>
  <c r="FJ165" i="7"/>
  <c r="FI165" i="7"/>
  <c r="FF165" i="7"/>
  <c r="FE165" i="7"/>
  <c r="FC165" i="7"/>
  <c r="FB165" i="7"/>
  <c r="EY165" i="7"/>
  <c r="EX165" i="7"/>
  <c r="EV165" i="7"/>
  <c r="EU165" i="7"/>
  <c r="ER165" i="7"/>
  <c r="DU165" i="7"/>
  <c r="DS165" i="7"/>
  <c r="DR165" i="7"/>
  <c r="DO165" i="7"/>
  <c r="DN165" i="7"/>
  <c r="DL165" i="7"/>
  <c r="DK165" i="7"/>
  <c r="DF165" i="7"/>
  <c r="DE165" i="7"/>
  <c r="DB165" i="7"/>
  <c r="DA165" i="7"/>
  <c r="CX165" i="7"/>
  <c r="CU165" i="7"/>
  <c r="CT165" i="7"/>
  <c r="CR165" i="7"/>
  <c r="CQ165" i="7"/>
  <c r="CN165" i="7"/>
  <c r="CM165" i="7"/>
  <c r="CK165" i="7"/>
  <c r="CG165" i="7"/>
  <c r="CF165" i="7"/>
  <c r="CD165" i="7"/>
  <c r="CC165" i="7"/>
  <c r="BS165" i="7"/>
  <c r="BR165" i="7"/>
  <c r="BP165" i="7"/>
  <c r="BO165" i="7"/>
  <c r="BJ165" i="7"/>
  <c r="BH165" i="7"/>
  <c r="BB165" i="7"/>
  <c r="BA165" i="7"/>
  <c r="AZ165" i="7"/>
  <c r="AW165" i="7"/>
  <c r="AV165" i="7"/>
  <c r="AT165" i="7"/>
  <c r="AS165" i="7"/>
  <c r="AP165" i="7"/>
  <c r="AO165" i="7"/>
  <c r="AM165" i="7"/>
  <c r="AL165" i="7"/>
  <c r="AI165" i="7"/>
  <c r="AH165" i="7"/>
  <c r="AF165" i="7"/>
  <c r="AE165" i="7"/>
  <c r="AB165" i="7"/>
  <c r="AA165" i="7"/>
  <c r="Y165" i="7"/>
  <c r="X165" i="7"/>
  <c r="U165" i="7"/>
  <c r="T165" i="7"/>
  <c r="R165" i="7"/>
  <c r="Q165" i="7"/>
  <c r="N165" i="7"/>
  <c r="M165" i="7"/>
  <c r="K165" i="7"/>
  <c r="J165" i="7"/>
  <c r="G165" i="7"/>
  <c r="F165" i="7"/>
  <c r="D165" i="7"/>
  <c r="DU164" i="7"/>
  <c r="DS164" i="7"/>
  <c r="DR164" i="7"/>
  <c r="DN164" i="7"/>
  <c r="DL164" i="7"/>
  <c r="DK164" i="7"/>
  <c r="DE164" i="7"/>
  <c r="AM164" i="7"/>
  <c r="AL164" i="7"/>
  <c r="AH164" i="7"/>
  <c r="AF164" i="7"/>
  <c r="AE164" i="7"/>
  <c r="AA164" i="7"/>
  <c r="Y164" i="7"/>
  <c r="X164" i="7"/>
  <c r="T164" i="7"/>
  <c r="R164" i="7"/>
  <c r="Q164" i="7"/>
  <c r="M164" i="7"/>
  <c r="K164" i="7"/>
  <c r="J164" i="7"/>
  <c r="F164" i="7"/>
  <c r="D164" i="7"/>
  <c r="DS156" i="7"/>
  <c r="DS158" i="7" s="1"/>
  <c r="DL156" i="7"/>
  <c r="DE156" i="7"/>
  <c r="DB156" i="7"/>
  <c r="CX156" i="7"/>
  <c r="CU156" i="7"/>
  <c r="CU158" i="7" s="1"/>
  <c r="CT156" i="7"/>
  <c r="CN156" i="7"/>
  <c r="CN158" i="7" s="1"/>
  <c r="CM156" i="7"/>
  <c r="CK156" i="7"/>
  <c r="CK158" i="7" s="1"/>
  <c r="CJ156" i="7"/>
  <c r="CJ158" i="7" s="1"/>
  <c r="CG156" i="7"/>
  <c r="CG158" i="7" s="1"/>
  <c r="CF156" i="7"/>
  <c r="CD156" i="7"/>
  <c r="CC156" i="7"/>
  <c r="CC158" i="7" s="1"/>
  <c r="BZ156" i="7"/>
  <c r="BZ158" i="7" s="1"/>
  <c r="BY156" i="7"/>
  <c r="BY158" i="7" s="1"/>
  <c r="BW156" i="7"/>
  <c r="BW158" i="7" s="1"/>
  <c r="BS156" i="7"/>
  <c r="BS158" i="7" s="1"/>
  <c r="BR156" i="7"/>
  <c r="BR158" i="7" s="1"/>
  <c r="BP156" i="7"/>
  <c r="BP158" i="7" s="1"/>
  <c r="BO156" i="7"/>
  <c r="BO158" i="7" s="1"/>
  <c r="BK156" i="7"/>
  <c r="BK158" i="7" s="1"/>
  <c r="BI156" i="7"/>
  <c r="BI158" i="7" s="1"/>
  <c r="BH156" i="7"/>
  <c r="BH158" i="7" s="1"/>
  <c r="BD156" i="7"/>
  <c r="BD158" i="7" s="1"/>
  <c r="BB156" i="7"/>
  <c r="BB158" i="7" s="1"/>
  <c r="BA156" i="7"/>
  <c r="BA158" i="7" s="1"/>
  <c r="AW156" i="7"/>
  <c r="AW158" i="7" s="1"/>
  <c r="AU156" i="7"/>
  <c r="AU158" i="7" s="1"/>
  <c r="AT156" i="7"/>
  <c r="AT158" i="7" s="1"/>
  <c r="AP156" i="7"/>
  <c r="AN156" i="7"/>
  <c r="AN158" i="7" s="1"/>
  <c r="AM156" i="7"/>
  <c r="AM158" i="7" s="1"/>
  <c r="AI156" i="7"/>
  <c r="AI158" i="7" s="1"/>
  <c r="AG156" i="7"/>
  <c r="AG158" i="7" s="1"/>
  <c r="AF156" i="7"/>
  <c r="AF158" i="7" s="1"/>
  <c r="AB156" i="7"/>
  <c r="AB158" i="7" s="1"/>
  <c r="Z156" i="7"/>
  <c r="Y156" i="7"/>
  <c r="Y158" i="7" s="1"/>
  <c r="U156" i="7"/>
  <c r="U158" i="7" s="1"/>
  <c r="S156" i="7"/>
  <c r="S158" i="7" s="1"/>
  <c r="R156" i="7"/>
  <c r="N156" i="7"/>
  <c r="N158" i="7" s="1"/>
  <c r="L156" i="7"/>
  <c r="L158" i="7" s="1"/>
  <c r="K156" i="7"/>
  <c r="K158" i="7" s="1"/>
  <c r="G156" i="7"/>
  <c r="G158" i="7" s="1"/>
  <c r="E156" i="7"/>
  <c r="E158" i="7" s="1"/>
  <c r="D156" i="7"/>
  <c r="D158" i="7" s="1"/>
  <c r="K153" i="7"/>
  <c r="L152" i="7" s="1"/>
  <c r="G153" i="7"/>
  <c r="F153" i="7"/>
  <c r="D153" i="7"/>
  <c r="AP148" i="7"/>
  <c r="DT146" i="7"/>
  <c r="DT148" i="7" s="1"/>
  <c r="DS146" i="7"/>
  <c r="DO146" i="7"/>
  <c r="DM146" i="7"/>
  <c r="DM148" i="7" s="1"/>
  <c r="DL146" i="7"/>
  <c r="DH146" i="7"/>
  <c r="DH148" i="7" s="1"/>
  <c r="DB146" i="7"/>
  <c r="DB148" i="7" s="1"/>
  <c r="CN146" i="7"/>
  <c r="CN148" i="7" s="1"/>
  <c r="CJ146" i="7"/>
  <c r="CJ148" i="7" s="1"/>
  <c r="CG146" i="7"/>
  <c r="CG148" i="7" s="1"/>
  <c r="CF146" i="7"/>
  <c r="CD146" i="7"/>
  <c r="CD148" i="7" s="1"/>
  <c r="CC146" i="7"/>
  <c r="CC148" i="7" s="1"/>
  <c r="BY146" i="7"/>
  <c r="BY148" i="7" s="1"/>
  <c r="BV146" i="7"/>
  <c r="BV148" i="7" s="1"/>
  <c r="BO146" i="7"/>
  <c r="BO148" i="7" s="1"/>
  <c r="BN146" i="7"/>
  <c r="BN148" i="7" s="1"/>
  <c r="BK146" i="7"/>
  <c r="BH146" i="7"/>
  <c r="BH148" i="7" s="1"/>
  <c r="AW146" i="7"/>
  <c r="AW148" i="7" s="1"/>
  <c r="AU146" i="7"/>
  <c r="AT146" i="7"/>
  <c r="AT148" i="7" s="1"/>
  <c r="AS146" i="7"/>
  <c r="AS148" i="7" s="1"/>
  <c r="AN146" i="7"/>
  <c r="AN148" i="7" s="1"/>
  <c r="AM146" i="7"/>
  <c r="AL146" i="7"/>
  <c r="AI146" i="7"/>
  <c r="AI148" i="7" s="1"/>
  <c r="AG146" i="7"/>
  <c r="AG148" i="7" s="1"/>
  <c r="AF146" i="7"/>
  <c r="AF148" i="7" s="1"/>
  <c r="AE146" i="7"/>
  <c r="AE148" i="7" s="1"/>
  <c r="AB146" i="7"/>
  <c r="AB148" i="7" s="1"/>
  <c r="Z146" i="7"/>
  <c r="Z148" i="7" s="1"/>
  <c r="Y146" i="7"/>
  <c r="Y148" i="7" s="1"/>
  <c r="X146" i="7"/>
  <c r="X148" i="7" s="1"/>
  <c r="U146" i="7"/>
  <c r="U148" i="7" s="1"/>
  <c r="S146" i="7"/>
  <c r="S148" i="7" s="1"/>
  <c r="R146" i="7"/>
  <c r="R148" i="7" s="1"/>
  <c r="Q146" i="7"/>
  <c r="Q148" i="7" s="1"/>
  <c r="N146" i="7"/>
  <c r="L146" i="7"/>
  <c r="L148" i="7" s="1"/>
  <c r="K146" i="7"/>
  <c r="K148" i="7" s="1"/>
  <c r="J146" i="7"/>
  <c r="J148" i="7" s="1"/>
  <c r="G146" i="7"/>
  <c r="G148" i="7" s="1"/>
  <c r="E146" i="7"/>
  <c r="E148" i="7" s="1"/>
  <c r="D146" i="7"/>
  <c r="D148" i="7" s="1"/>
  <c r="BE145" i="7"/>
  <c r="BF145" i="7" s="1"/>
  <c r="BL142" i="7"/>
  <c r="M141" i="7"/>
  <c r="K141" i="7"/>
  <c r="DT132" i="7"/>
  <c r="DT142" i="7" s="1"/>
  <c r="DS132" i="7"/>
  <c r="DS142" i="7" s="1"/>
  <c r="DR132" i="7"/>
  <c r="DR142" i="7" s="1"/>
  <c r="DO132" i="7"/>
  <c r="DO142" i="7" s="1"/>
  <c r="DP141" i="7" s="1"/>
  <c r="DM132" i="7"/>
  <c r="DM142" i="7" s="1"/>
  <c r="DL132" i="7"/>
  <c r="DL142" i="7" s="1"/>
  <c r="DI132" i="7"/>
  <c r="DI142" i="7" s="1"/>
  <c r="DH132" i="7"/>
  <c r="DH142" i="7" s="1"/>
  <c r="DF132" i="7"/>
  <c r="DF142" i="7" s="1"/>
  <c r="DE132" i="7"/>
  <c r="DE142" i="7" s="1"/>
  <c r="DB132" i="7"/>
  <c r="DB142" i="7" s="1"/>
  <c r="DA132" i="7"/>
  <c r="DA142" i="7" s="1"/>
  <c r="CY132" i="7"/>
  <c r="CY142" i="7" s="1"/>
  <c r="CX132" i="7"/>
  <c r="CX142" i="7" s="1"/>
  <c r="CR132" i="7"/>
  <c r="CR142" i="7" s="1"/>
  <c r="CQ132" i="7"/>
  <c r="CQ142" i="7" s="1"/>
  <c r="CN132" i="7"/>
  <c r="CN142" i="7" s="1"/>
  <c r="CM132" i="7"/>
  <c r="CM142" i="7" s="1"/>
  <c r="CK132" i="7"/>
  <c r="CK142" i="7" s="1"/>
  <c r="CJ132" i="7"/>
  <c r="CJ142" i="7" s="1"/>
  <c r="CG132" i="7"/>
  <c r="CG142" i="7" s="1"/>
  <c r="CF132" i="7"/>
  <c r="CF142" i="7" s="1"/>
  <c r="CD132" i="7"/>
  <c r="CD142" i="7" s="1"/>
  <c r="CC132" i="7"/>
  <c r="CC142" i="7" s="1"/>
  <c r="BZ132" i="7"/>
  <c r="BZ142" i="7" s="1"/>
  <c r="BY132" i="7"/>
  <c r="BY142" i="7" s="1"/>
  <c r="BW132" i="7"/>
  <c r="BS132" i="7"/>
  <c r="BS142" i="7" s="1"/>
  <c r="BP132" i="7"/>
  <c r="BP142" i="7" s="1"/>
  <c r="BO132" i="7"/>
  <c r="BK132" i="7"/>
  <c r="BK142" i="7" s="1"/>
  <c r="BH132" i="7"/>
  <c r="BH142" i="7" s="1"/>
  <c r="BG132" i="7"/>
  <c r="BD132" i="7"/>
  <c r="BD142" i="7" s="1"/>
  <c r="BA132" i="7"/>
  <c r="BA142" i="7" s="1"/>
  <c r="AX132" i="7"/>
  <c r="AX142" i="7" s="1"/>
  <c r="AS132" i="7"/>
  <c r="AS142" i="7" s="1"/>
  <c r="AZ141" i="7" s="1"/>
  <c r="AO132" i="7"/>
  <c r="AO142" i="7" s="1"/>
  <c r="AM132" i="7"/>
  <c r="AL132" i="7"/>
  <c r="AL142" i="7" s="1"/>
  <c r="AI132" i="7"/>
  <c r="AI142" i="7" s="1"/>
  <c r="AE132" i="7"/>
  <c r="AE142" i="7" s="1"/>
  <c r="AB132" i="7"/>
  <c r="AB142" i="7" s="1"/>
  <c r="AA132" i="7"/>
  <c r="Y132" i="7"/>
  <c r="Y142" i="7" s="1"/>
  <c r="X132" i="7"/>
  <c r="X142" i="7" s="1"/>
  <c r="U132" i="7"/>
  <c r="U142" i="7" s="1"/>
  <c r="T132" i="7"/>
  <c r="T142" i="7" s="1"/>
  <c r="R132" i="7"/>
  <c r="R142" i="7" s="1"/>
  <c r="S141" i="7" s="1"/>
  <c r="Q132" i="7"/>
  <c r="Q142" i="7" s="1"/>
  <c r="X141" i="7" s="1"/>
  <c r="N132" i="7"/>
  <c r="N142" i="7" s="1"/>
  <c r="M132" i="7"/>
  <c r="M142" i="7" s="1"/>
  <c r="P141" i="7" s="1"/>
  <c r="K132" i="7"/>
  <c r="G132" i="7"/>
  <c r="F132" i="7"/>
  <c r="D132" i="7"/>
  <c r="DT131" i="7"/>
  <c r="DS131" i="7"/>
  <c r="DR131" i="7"/>
  <c r="DO131" i="7"/>
  <c r="DM131" i="7"/>
  <c r="DL131" i="7"/>
  <c r="DI131" i="7"/>
  <c r="DH131" i="7"/>
  <c r="DF131" i="7"/>
  <c r="DE131" i="7"/>
  <c r="DB131" i="7"/>
  <c r="DA131" i="7"/>
  <c r="CY131" i="7"/>
  <c r="CX131" i="7"/>
  <c r="CU131" i="7"/>
  <c r="CT131" i="7"/>
  <c r="CR131" i="7"/>
  <c r="CQ131" i="7"/>
  <c r="CN131" i="7"/>
  <c r="CM131" i="7"/>
  <c r="CK131" i="7"/>
  <c r="CG131" i="7"/>
  <c r="CF131" i="7"/>
  <c r="CD131" i="7"/>
  <c r="CC131" i="7"/>
  <c r="BZ131" i="7"/>
  <c r="BY131" i="7"/>
  <c r="BW131" i="7"/>
  <c r="BS131" i="7"/>
  <c r="BR131" i="7"/>
  <c r="BP131" i="7"/>
  <c r="BO131" i="7"/>
  <c r="BK131" i="7"/>
  <c r="BJ131" i="7"/>
  <c r="BH131" i="7"/>
  <c r="BG131" i="7"/>
  <c r="BD131" i="7"/>
  <c r="BC131" i="7"/>
  <c r="BA131" i="7"/>
  <c r="AX131" i="7"/>
  <c r="AW131" i="7"/>
  <c r="AV131" i="7"/>
  <c r="AT131" i="7"/>
  <c r="AS131" i="7"/>
  <c r="AP131" i="7"/>
  <c r="AO131" i="7"/>
  <c r="AM131" i="7"/>
  <c r="AL131" i="7"/>
  <c r="AI131" i="7"/>
  <c r="AH131" i="7"/>
  <c r="AF131" i="7"/>
  <c r="AE131" i="7"/>
  <c r="AB131" i="7"/>
  <c r="AA131" i="7"/>
  <c r="Y131" i="7"/>
  <c r="X131" i="7"/>
  <c r="U131" i="7"/>
  <c r="T131" i="7"/>
  <c r="R131" i="7"/>
  <c r="Q131" i="7"/>
  <c r="N131" i="7"/>
  <c r="M131" i="7"/>
  <c r="G131" i="7"/>
  <c r="F131" i="7"/>
  <c r="D131" i="7"/>
  <c r="CX128" i="7"/>
  <c r="CC128" i="7"/>
  <c r="BO128" i="7"/>
  <c r="BN127" i="7"/>
  <c r="DN126" i="7"/>
  <c r="FU125" i="7"/>
  <c r="FR125" i="7"/>
  <c r="FN125" i="7"/>
  <c r="FK125" i="7"/>
  <c r="FG125" i="7"/>
  <c r="Z39" i="3" s="1"/>
  <c r="FD125" i="7"/>
  <c r="W39" i="3" s="1"/>
  <c r="EZ125" i="7"/>
  <c r="S39" i="3" s="1"/>
  <c r="EW125" i="7"/>
  <c r="P39" i="3" s="1"/>
  <c r="ES125" i="7"/>
  <c r="DT125" i="7"/>
  <c r="DQ125" i="7"/>
  <c r="DO125" i="7"/>
  <c r="DM125" i="7"/>
  <c r="DF125" i="7"/>
  <c r="DG125" i="7" s="1"/>
  <c r="CY125" i="7"/>
  <c r="CZ125" i="7" s="1"/>
  <c r="DB125" i="7" s="1"/>
  <c r="CR125" i="7"/>
  <c r="CP125" i="7"/>
  <c r="E39" i="3" s="1"/>
  <c r="CL125" i="7"/>
  <c r="CM125" i="7" s="1"/>
  <c r="CJ125" i="7"/>
  <c r="CD125" i="7"/>
  <c r="BV125" i="7"/>
  <c r="BW125" i="7" s="1"/>
  <c r="BX125" i="7" s="1"/>
  <c r="BP125" i="7"/>
  <c r="BQ125" i="7" s="1"/>
  <c r="BK125" i="7"/>
  <c r="BL125" i="7" s="1"/>
  <c r="BI125" i="7"/>
  <c r="BF125" i="7"/>
  <c r="BD125" i="7"/>
  <c r="BB125" i="7"/>
  <c r="AY125" i="7"/>
  <c r="AW125" i="7"/>
  <c r="AU125" i="7"/>
  <c r="AR125" i="7"/>
  <c r="AP125" i="7"/>
  <c r="AN125" i="7"/>
  <c r="AK125" i="7"/>
  <c r="AG125" i="7"/>
  <c r="AI125" i="7" s="1"/>
  <c r="AD125" i="7"/>
  <c r="Z125" i="7"/>
  <c r="AB125" i="7" s="1"/>
  <c r="W125" i="7"/>
  <c r="S125" i="7"/>
  <c r="U125" i="7" s="1"/>
  <c r="P125" i="7"/>
  <c r="L125" i="7"/>
  <c r="N125" i="7" s="1"/>
  <c r="I125" i="7"/>
  <c r="E125" i="7"/>
  <c r="G125" i="7" s="1"/>
  <c r="DE124" i="7"/>
  <c r="BH124" i="7"/>
  <c r="BG124" i="7"/>
  <c r="BA124" i="7"/>
  <c r="FU123" i="7"/>
  <c r="FR123" i="7"/>
  <c r="FN123" i="7"/>
  <c r="FK123" i="7"/>
  <c r="FG123" i="7"/>
  <c r="Z37" i="3" s="1"/>
  <c r="FD123" i="7"/>
  <c r="W37" i="3" s="1"/>
  <c r="EZ123" i="7"/>
  <c r="S37" i="3" s="1"/>
  <c r="EW123" i="7"/>
  <c r="P37" i="3" s="1"/>
  <c r="ES123" i="7"/>
  <c r="DU123" i="7"/>
  <c r="DS123" i="7"/>
  <c r="DR123" i="7"/>
  <c r="DN123" i="7"/>
  <c r="DM123" i="7" s="1"/>
  <c r="DK123" i="7"/>
  <c r="H37" i="3" s="1"/>
  <c r="DF123" i="7"/>
  <c r="DG123" i="7" s="1"/>
  <c r="DC123" i="7"/>
  <c r="CZ123" i="7"/>
  <c r="CS123" i="7"/>
  <c r="CT123" i="7" s="1"/>
  <c r="CV123" i="7" s="1"/>
  <c r="CW123" i="7" s="1"/>
  <c r="F37" i="3" s="1"/>
  <c r="CP123" i="7"/>
  <c r="E37" i="3" s="1"/>
  <c r="CL123" i="7"/>
  <c r="CM123" i="7" s="1"/>
  <c r="CI123" i="7"/>
  <c r="CD123" i="7"/>
  <c r="CE123" i="7" s="1"/>
  <c r="CF123" i="7" s="1"/>
  <c r="CB123" i="7"/>
  <c r="C37" i="3" s="1"/>
  <c r="BV123" i="7"/>
  <c r="BW123" i="7" s="1"/>
  <c r="BX123" i="7" s="1"/>
  <c r="BY123" i="7" s="1"/>
  <c r="BP123" i="7"/>
  <c r="BQ123" i="7" s="1"/>
  <c r="BR123" i="7" s="1"/>
  <c r="BS123" i="7" s="1"/>
  <c r="BT123" i="7" s="1"/>
  <c r="BJ123" i="7"/>
  <c r="BC123" i="7"/>
  <c r="BD123" i="7" s="1"/>
  <c r="AY123" i="7"/>
  <c r="AX123" i="7" s="1"/>
  <c r="AU123" i="7"/>
  <c r="AR123" i="7"/>
  <c r="AQ123" i="7" s="1"/>
  <c r="AN123" i="7"/>
  <c r="AK123" i="7"/>
  <c r="AG123" i="7"/>
  <c r="AD123" i="7"/>
  <c r="Z123" i="7"/>
  <c r="T123" i="7"/>
  <c r="Q123" i="7"/>
  <c r="M123" i="7"/>
  <c r="J123" i="7"/>
  <c r="F123" i="7"/>
  <c r="D123" i="7"/>
  <c r="D124" i="7" s="1"/>
  <c r="DU122" i="7"/>
  <c r="DS122" i="7"/>
  <c r="DR122" i="7"/>
  <c r="I36" i="3" s="1"/>
  <c r="DO122" i="7"/>
  <c r="DL122" i="7"/>
  <c r="DL124" i="7" s="1"/>
  <c r="DK122" i="7"/>
  <c r="H36" i="3" s="1"/>
  <c r="DF122" i="7"/>
  <c r="DG122" i="7" s="1"/>
  <c r="DH122" i="7" s="1"/>
  <c r="CY122" i="7"/>
  <c r="CZ122" i="7" s="1"/>
  <c r="DA122" i="7" s="1"/>
  <c r="DB122" i="7" s="1"/>
  <c r="DC122" i="7" s="1"/>
  <c r="DD122" i="7" s="1"/>
  <c r="G36" i="3" s="1"/>
  <c r="CQ122" i="7"/>
  <c r="CQ124" i="7" s="1"/>
  <c r="CP122" i="7"/>
  <c r="E36" i="3" s="1"/>
  <c r="CJ122" i="7"/>
  <c r="CJ124" i="7" s="1"/>
  <c r="CI122" i="7"/>
  <c r="D36" i="3" s="1"/>
  <c r="CC122" i="7"/>
  <c r="CB122" i="7"/>
  <c r="C36" i="3" s="1"/>
  <c r="BV122" i="7"/>
  <c r="BW122" i="7" s="1"/>
  <c r="BX122" i="7" s="1"/>
  <c r="BY122" i="7" s="1"/>
  <c r="BU122" i="7"/>
  <c r="BP122" i="7"/>
  <c r="BQ122" i="7" s="1"/>
  <c r="BR122" i="7" s="1"/>
  <c r="BI122" i="7"/>
  <c r="BF122" i="7"/>
  <c r="BD122" i="7"/>
  <c r="BB122" i="7"/>
  <c r="AZ122" i="7"/>
  <c r="AV122" i="7"/>
  <c r="AV201" i="7" s="1"/>
  <c r="AT122" i="7"/>
  <c r="AT124" i="7" s="1"/>
  <c r="AS122" i="7"/>
  <c r="AO122" i="7"/>
  <c r="AP122" i="7" s="1"/>
  <c r="AP201" i="7" s="1"/>
  <c r="AM122" i="7"/>
  <c r="AM124" i="7" s="1"/>
  <c r="AL122" i="7"/>
  <c r="AL124" i="7" s="1"/>
  <c r="AH122" i="7"/>
  <c r="AH124" i="7" s="1"/>
  <c r="AF122" i="7"/>
  <c r="AF124" i="7" s="1"/>
  <c r="AE122" i="7"/>
  <c r="AE124" i="7" s="1"/>
  <c r="AA122" i="7"/>
  <c r="AA124" i="7" s="1"/>
  <c r="Y122" i="7"/>
  <c r="X122" i="7"/>
  <c r="X124" i="7" s="1"/>
  <c r="T122" i="7"/>
  <c r="R122" i="7"/>
  <c r="R124" i="7" s="1"/>
  <c r="Q122" i="7"/>
  <c r="M122" i="7"/>
  <c r="K122" i="7"/>
  <c r="K124" i="7" s="1"/>
  <c r="J122" i="7"/>
  <c r="I122" i="7" s="1"/>
  <c r="E122" i="7"/>
  <c r="G122" i="7" s="1"/>
  <c r="DT121" i="7"/>
  <c r="DQ121" i="7"/>
  <c r="DO121" i="7"/>
  <c r="DM121" i="7"/>
  <c r="CI121" i="7"/>
  <c r="D35" i="3" s="1"/>
  <c r="CD121" i="7"/>
  <c r="CD255" i="7" s="1"/>
  <c r="CB121" i="7"/>
  <c r="C35" i="3" s="1"/>
  <c r="BV121" i="7"/>
  <c r="BW121" i="7" s="1"/>
  <c r="BX121" i="7" s="1"/>
  <c r="BY121" i="7" s="1"/>
  <c r="BU121" i="7"/>
  <c r="BO121" i="7"/>
  <c r="BO124" i="7" s="1"/>
  <c r="BN121" i="7"/>
  <c r="BK121" i="7"/>
  <c r="BI121" i="7"/>
  <c r="BF121" i="7"/>
  <c r="BD121" i="7"/>
  <c r="BB121" i="7"/>
  <c r="AZ121" i="7"/>
  <c r="AY121" i="7" s="1"/>
  <c r="AW121" i="7"/>
  <c r="AU121" i="7"/>
  <c r="AO121" i="7"/>
  <c r="AR121" i="7" s="1"/>
  <c r="AK121" i="7"/>
  <c r="AG121" i="7"/>
  <c r="AI121" i="7" s="1"/>
  <c r="AD121" i="7"/>
  <c r="Z121" i="7"/>
  <c r="AB121" i="7" s="1"/>
  <c r="W121" i="7"/>
  <c r="S121" i="7"/>
  <c r="U121" i="7" s="1"/>
  <c r="P121" i="7"/>
  <c r="L121" i="7"/>
  <c r="N121" i="7" s="1"/>
  <c r="I121" i="7"/>
  <c r="E121" i="7"/>
  <c r="G121" i="7" s="1"/>
  <c r="DT120" i="7"/>
  <c r="DQ120" i="7"/>
  <c r="DO120" i="7"/>
  <c r="DM120" i="7"/>
  <c r="DG120" i="7"/>
  <c r="DJ120" i="7" s="1"/>
  <c r="DI120" i="7" s="1"/>
  <c r="DI297" i="7" s="1"/>
  <c r="CZ120" i="7"/>
  <c r="CS120" i="7"/>
  <c r="CP120" i="7"/>
  <c r="CK120" i="7"/>
  <c r="CL120" i="7" s="1"/>
  <c r="CD120" i="7"/>
  <c r="CD297" i="7" s="1"/>
  <c r="BV120" i="7"/>
  <c r="BV297" i="7" s="1"/>
  <c r="BP120" i="7"/>
  <c r="BQ120" i="7" s="1"/>
  <c r="BR120" i="7" s="1"/>
  <c r="BR297" i="7" s="1"/>
  <c r="BK120" i="7"/>
  <c r="BL120" i="7" s="1"/>
  <c r="BI120" i="7"/>
  <c r="BI297" i="7" s="1"/>
  <c r="AY120" i="7"/>
  <c r="AX120" i="7" s="1"/>
  <c r="AU120" i="7"/>
  <c r="AK120" i="7"/>
  <c r="AK285" i="7" s="1"/>
  <c r="AG120" i="7"/>
  <c r="AD120" i="7"/>
  <c r="AC120" i="7" s="1"/>
  <c r="Z120" i="7"/>
  <c r="W120" i="7"/>
  <c r="S120" i="7"/>
  <c r="U120" i="7" s="1"/>
  <c r="P120" i="7"/>
  <c r="O120" i="7" s="1"/>
  <c r="L120" i="7"/>
  <c r="I120" i="7"/>
  <c r="I285" i="7" s="1"/>
  <c r="G120" i="7"/>
  <c r="G285" i="7" s="1"/>
  <c r="E120" i="7"/>
  <c r="E285" i="7" s="1"/>
  <c r="CC118" i="7"/>
  <c r="BO118" i="7"/>
  <c r="AT118" i="7"/>
  <c r="AO118" i="7"/>
  <c r="AM118" i="7"/>
  <c r="AL118" i="7"/>
  <c r="AH118" i="7"/>
  <c r="AF118" i="7"/>
  <c r="AE118" i="7"/>
  <c r="AA118" i="7"/>
  <c r="Y118" i="7"/>
  <c r="X118" i="7"/>
  <c r="T118" i="7"/>
  <c r="R118" i="7"/>
  <c r="Q118" i="7"/>
  <c r="M118" i="7"/>
  <c r="K118" i="7"/>
  <c r="J118" i="7"/>
  <c r="F118" i="7"/>
  <c r="D118" i="7"/>
  <c r="FU117" i="7"/>
  <c r="FR117" i="7"/>
  <c r="FN117" i="7"/>
  <c r="FK117" i="7"/>
  <c r="FG117" i="7"/>
  <c r="FD117" i="7"/>
  <c r="EZ117" i="7"/>
  <c r="EW117" i="7"/>
  <c r="ES117" i="7"/>
  <c r="DU117" i="7"/>
  <c r="DX117" i="7" s="1"/>
  <c r="DR117" i="7"/>
  <c r="DN117" i="7"/>
  <c r="DO117" i="7" s="1"/>
  <c r="DK117" i="7"/>
  <c r="DE117" i="7"/>
  <c r="DF117" i="7" s="1"/>
  <c r="DG117" i="7" s="1"/>
  <c r="CX117" i="7"/>
  <c r="CX118" i="7" s="1"/>
  <c r="CQ117" i="7"/>
  <c r="CS117" i="7" s="1"/>
  <c r="CK117" i="7"/>
  <c r="CL117" i="7" s="1"/>
  <c r="CD117" i="7"/>
  <c r="CF117" i="7" s="1"/>
  <c r="BV117" i="7"/>
  <c r="BW117" i="7" s="1"/>
  <c r="BX117" i="7" s="1"/>
  <c r="BY117" i="7" s="1"/>
  <c r="BZ117" i="7" s="1"/>
  <c r="CA117" i="7" s="1"/>
  <c r="CB117" i="7" s="1"/>
  <c r="BP117" i="7"/>
  <c r="BQ117" i="7" s="1"/>
  <c r="BR117" i="7" s="1"/>
  <c r="BS117" i="7" s="1"/>
  <c r="BT117" i="7" s="1"/>
  <c r="BU117" i="7" s="1"/>
  <c r="BJ117" i="7"/>
  <c r="BJ118" i="7" s="1"/>
  <c r="BF117" i="7"/>
  <c r="BC117" i="7"/>
  <c r="AV117" i="7"/>
  <c r="AY117" i="7" s="1"/>
  <c r="AX117" i="7" s="1"/>
  <c r="AR117" i="7"/>
  <c r="AQ117" i="7" s="1"/>
  <c r="AN117" i="7"/>
  <c r="FU116" i="7"/>
  <c r="FU165" i="7" s="1"/>
  <c r="FR116" i="7"/>
  <c r="FR165" i="7" s="1"/>
  <c r="FN116" i="7"/>
  <c r="FN165" i="7" s="1"/>
  <c r="FK116" i="7"/>
  <c r="FK165" i="7" s="1"/>
  <c r="FG116" i="7"/>
  <c r="FG165" i="7" s="1"/>
  <c r="FD116" i="7"/>
  <c r="FD165" i="7" s="1"/>
  <c r="EZ116" i="7"/>
  <c r="EZ165" i="7" s="1"/>
  <c r="EW116" i="7"/>
  <c r="EW165" i="7" s="1"/>
  <c r="ES116" i="7"/>
  <c r="ES165" i="7" s="1"/>
  <c r="DT116" i="7"/>
  <c r="DT165" i="7" s="1"/>
  <c r="DQ116" i="7"/>
  <c r="DM116" i="7"/>
  <c r="DM165" i="7" s="1"/>
  <c r="DG116" i="7"/>
  <c r="DG165" i="7" s="1"/>
  <c r="DC116" i="7"/>
  <c r="DC165" i="7" s="1"/>
  <c r="CY116" i="7"/>
  <c r="CY165" i="7" s="1"/>
  <c r="CV116" i="7"/>
  <c r="CV165" i="7" s="1"/>
  <c r="CS116" i="7"/>
  <c r="CS165" i="7" s="1"/>
  <c r="CO116" i="7"/>
  <c r="CO165" i="7" s="1"/>
  <c r="CJ116" i="7"/>
  <c r="CJ165" i="7" s="1"/>
  <c r="CH116" i="7"/>
  <c r="CH165" i="7" s="1"/>
  <c r="CE116" i="7"/>
  <c r="CE165" i="7" s="1"/>
  <c r="BV116" i="7"/>
  <c r="BV165" i="7" s="1"/>
  <c r="BT116" i="7"/>
  <c r="BT165" i="7" s="1"/>
  <c r="BQ116" i="7"/>
  <c r="BQ165" i="7" s="1"/>
  <c r="BK116" i="7"/>
  <c r="BK165" i="7" s="1"/>
  <c r="BI116" i="7"/>
  <c r="BI165" i="7" s="1"/>
  <c r="BC116" i="7"/>
  <c r="BC165" i="7" s="1"/>
  <c r="AY116" i="7"/>
  <c r="AU116" i="7"/>
  <c r="AU165" i="7" s="1"/>
  <c r="AR116" i="7"/>
  <c r="AR165" i="7" s="1"/>
  <c r="AN116" i="7"/>
  <c r="AN165" i="7" s="1"/>
  <c r="AK116" i="7"/>
  <c r="AK165" i="7" s="1"/>
  <c r="AG116" i="7"/>
  <c r="AG165" i="7" s="1"/>
  <c r="AD116" i="7"/>
  <c r="AD165" i="7" s="1"/>
  <c r="Z116" i="7"/>
  <c r="Z165" i="7" s="1"/>
  <c r="W116" i="7"/>
  <c r="W165" i="7" s="1"/>
  <c r="S116" i="7"/>
  <c r="S165" i="7" s="1"/>
  <c r="P116" i="7"/>
  <c r="P165" i="7" s="1"/>
  <c r="L116" i="7"/>
  <c r="L165" i="7" s="1"/>
  <c r="I116" i="7"/>
  <c r="I165" i="7" s="1"/>
  <c r="E116" i="7"/>
  <c r="E165" i="7" s="1"/>
  <c r="DT115" i="7"/>
  <c r="DQ115" i="7"/>
  <c r="DP115" i="7" s="1"/>
  <c r="DM115" i="7"/>
  <c r="DH115" i="7"/>
  <c r="DD115" i="7"/>
  <c r="CQ115" i="7"/>
  <c r="CS115" i="7" s="1"/>
  <c r="CW115" i="7" s="1"/>
  <c r="CL115" i="7"/>
  <c r="CN115" i="7" s="1"/>
  <c r="CO115" i="7" s="1"/>
  <c r="CP115" i="7" s="1"/>
  <c r="CE115" i="7"/>
  <c r="CG115" i="7" s="1"/>
  <c r="CH115" i="7" s="1"/>
  <c r="CI115" i="7" s="1"/>
  <c r="BW115" i="7"/>
  <c r="BV115" i="7"/>
  <c r="BN115" i="7"/>
  <c r="BL115" i="7" s="1"/>
  <c r="BH118" i="7"/>
  <c r="AS164" i="7"/>
  <c r="AN115" i="7"/>
  <c r="AK115" i="7"/>
  <c r="AJ115" i="7" s="1"/>
  <c r="AG115" i="7"/>
  <c r="AD115" i="7"/>
  <c r="Z115" i="7"/>
  <c r="W115" i="7"/>
  <c r="V115" i="7" s="1"/>
  <c r="S115" i="7"/>
  <c r="P115" i="7"/>
  <c r="O115" i="7" s="1"/>
  <c r="L115" i="7"/>
  <c r="I115" i="7"/>
  <c r="H115" i="7" s="1"/>
  <c r="E115" i="7"/>
  <c r="DU114" i="7"/>
  <c r="DX114" i="7" s="1"/>
  <c r="DS114" i="7"/>
  <c r="DS128" i="7" s="1"/>
  <c r="DR114" i="7"/>
  <c r="DR128" i="7" s="1"/>
  <c r="DN114" i="7"/>
  <c r="DN128" i="7" s="1"/>
  <c r="DL114" i="7"/>
  <c r="DL128" i="7" s="1"/>
  <c r="DK114" i="7"/>
  <c r="DK128" i="7" s="1"/>
  <c r="DE114" i="7"/>
  <c r="DE128" i="7" s="1"/>
  <c r="CY114" i="7"/>
  <c r="CY113" i="7" s="1"/>
  <c r="CY164" i="7" s="1"/>
  <c r="CQ114" i="7"/>
  <c r="CR114" i="7" s="1"/>
  <c r="CJ114" i="7"/>
  <c r="CD114" i="7"/>
  <c r="CD112" i="7" s="1"/>
  <c r="CD164" i="7" s="1"/>
  <c r="BV114" i="7"/>
  <c r="BW114" i="7" s="1"/>
  <c r="BP114" i="7"/>
  <c r="BK114" i="7"/>
  <c r="BI114" i="7"/>
  <c r="AR114" i="7"/>
  <c r="AP114" i="7"/>
  <c r="AN114" i="7"/>
  <c r="AK114" i="7"/>
  <c r="AG114" i="7"/>
  <c r="AI114" i="7" s="1"/>
  <c r="AI164" i="7" s="1"/>
  <c r="AD114" i="7"/>
  <c r="Z114" i="7"/>
  <c r="AB114" i="7" s="1"/>
  <c r="AB164" i="7" s="1"/>
  <c r="W114" i="7"/>
  <c r="S114" i="7"/>
  <c r="U114" i="7" s="1"/>
  <c r="U164" i="7" s="1"/>
  <c r="P114" i="7"/>
  <c r="L114" i="7"/>
  <c r="N114" i="7" s="1"/>
  <c r="N164" i="7" s="1"/>
  <c r="I114" i="7"/>
  <c r="E114" i="7"/>
  <c r="G114" i="7" s="1"/>
  <c r="G164" i="7" s="1"/>
  <c r="EX113" i="7"/>
  <c r="Q31" i="3" s="1"/>
  <c r="DT113" i="7"/>
  <c r="DQ113" i="7"/>
  <c r="DM113" i="7"/>
  <c r="CX113" i="7"/>
  <c r="CX164" i="7" s="1"/>
  <c r="CU113" i="7"/>
  <c r="CU164" i="7" s="1"/>
  <c r="CM113" i="7"/>
  <c r="CK113" i="7"/>
  <c r="CE113" i="7"/>
  <c r="DT112" i="7"/>
  <c r="DQ112" i="7"/>
  <c r="DM112" i="7"/>
  <c r="DF112" i="7"/>
  <c r="DG112" i="7" s="1"/>
  <c r="CZ112" i="7"/>
  <c r="DB112" i="7" s="1"/>
  <c r="DC112" i="7" s="1"/>
  <c r="CV112" i="7"/>
  <c r="CQ112" i="7"/>
  <c r="CN112" i="7"/>
  <c r="CC112" i="7"/>
  <c r="CC164" i="7" s="1"/>
  <c r="DT110" i="7"/>
  <c r="DQ110" i="7"/>
  <c r="DO110" i="7"/>
  <c r="DM110" i="7"/>
  <c r="DF110" i="7"/>
  <c r="CY110" i="7"/>
  <c r="CR110" i="7"/>
  <c r="CK110" i="7"/>
  <c r="CD110" i="7"/>
  <c r="BV110" i="7"/>
  <c r="BP110" i="7"/>
  <c r="BM110" i="7"/>
  <c r="BK110" i="7"/>
  <c r="BI110" i="7"/>
  <c r="BF110" i="7"/>
  <c r="BD110" i="7"/>
  <c r="BB110" i="7"/>
  <c r="AY110" i="7"/>
  <c r="AW110" i="7"/>
  <c r="AU110" i="7"/>
  <c r="AR110" i="7"/>
  <c r="AP110" i="7"/>
  <c r="AN110" i="7"/>
  <c r="AK110" i="7"/>
  <c r="AG110" i="7"/>
  <c r="AI110" i="7" s="1"/>
  <c r="AD110" i="7"/>
  <c r="Z110" i="7"/>
  <c r="AB110" i="7" s="1"/>
  <c r="W110" i="7"/>
  <c r="S110" i="7"/>
  <c r="U110" i="7" s="1"/>
  <c r="P110" i="7"/>
  <c r="L110" i="7"/>
  <c r="N110" i="7" s="1"/>
  <c r="I110" i="7"/>
  <c r="E110" i="7"/>
  <c r="G110" i="7" s="1"/>
  <c r="Z28" i="3"/>
  <c r="S28" i="3"/>
  <c r="DT108" i="7"/>
  <c r="DQ108" i="7"/>
  <c r="DO108" i="7"/>
  <c r="DM108" i="7"/>
  <c r="DG108" i="7"/>
  <c r="DJ108" i="7" s="1"/>
  <c r="DI108" i="7" s="1"/>
  <c r="DC108" i="7"/>
  <c r="CZ108" i="7"/>
  <c r="CV108" i="7"/>
  <c r="CS108" i="7"/>
  <c r="CO108" i="7"/>
  <c r="CL108" i="7"/>
  <c r="DJ107" i="7"/>
  <c r="DI107" i="7" s="1"/>
  <c r="J106" i="7"/>
  <c r="I106" i="7"/>
  <c r="H106" i="7"/>
  <c r="G106" i="7"/>
  <c r="F106" i="7"/>
  <c r="E106" i="7"/>
  <c r="D106" i="7"/>
  <c r="CU105" i="7"/>
  <c r="CT105" i="7"/>
  <c r="CR105" i="7"/>
  <c r="CN105" i="7"/>
  <c r="CG105" i="7"/>
  <c r="CF105" i="7"/>
  <c r="CD105" i="7"/>
  <c r="CC105" i="7"/>
  <c r="BZ105" i="7"/>
  <c r="BY105" i="7"/>
  <c r="BW105" i="7"/>
  <c r="BS105" i="7"/>
  <c r="BR105" i="7"/>
  <c r="BP105" i="7"/>
  <c r="BO105" i="7"/>
  <c r="BK105" i="7"/>
  <c r="BI105" i="7"/>
  <c r="BH105" i="7"/>
  <c r="BE105" i="7"/>
  <c r="BD105" i="7"/>
  <c r="BB105" i="7"/>
  <c r="BA105" i="7"/>
  <c r="AX105" i="7"/>
  <c r="AW105" i="7"/>
  <c r="AU105" i="7"/>
  <c r="AT105" i="7"/>
  <c r="AQ105" i="7"/>
  <c r="AP105" i="7"/>
  <c r="AN105" i="7"/>
  <c r="AM105" i="7"/>
  <c r="AJ105" i="7"/>
  <c r="AI105" i="7"/>
  <c r="AG105" i="7"/>
  <c r="AF105" i="7"/>
  <c r="AC105" i="7"/>
  <c r="AB105" i="7"/>
  <c r="Z105" i="7"/>
  <c r="Y105" i="7"/>
  <c r="V105" i="7"/>
  <c r="S105" i="7"/>
  <c r="R105" i="7"/>
  <c r="O105" i="7"/>
  <c r="N105" i="7"/>
  <c r="L105" i="7"/>
  <c r="K105" i="7"/>
  <c r="J105" i="7"/>
  <c r="H105" i="7"/>
  <c r="G105" i="7"/>
  <c r="E105" i="7"/>
  <c r="D105" i="7"/>
  <c r="BL104" i="7"/>
  <c r="DS98" i="7"/>
  <c r="DR98" i="7"/>
  <c r="DL98" i="7"/>
  <c r="DK98" i="7"/>
  <c r="DB98" i="7"/>
  <c r="CX98" i="7"/>
  <c r="CT98" i="7"/>
  <c r="CR98" i="7"/>
  <c r="CG98" i="7"/>
  <c r="CF98" i="7"/>
  <c r="CD98" i="7"/>
  <c r="CC98" i="7"/>
  <c r="BZ98" i="7"/>
  <c r="BY98" i="7"/>
  <c r="BW98" i="7"/>
  <c r="BS98" i="7"/>
  <c r="BR98" i="7"/>
  <c r="BP98" i="7"/>
  <c r="BO98" i="7"/>
  <c r="BL98" i="7"/>
  <c r="BK98" i="7"/>
  <c r="BI98" i="7"/>
  <c r="BH98" i="7"/>
  <c r="BD98" i="7"/>
  <c r="BB98" i="7"/>
  <c r="BA98" i="7"/>
  <c r="AU98" i="7"/>
  <c r="AT98" i="7"/>
  <c r="AP98" i="7"/>
  <c r="AM98" i="7"/>
  <c r="AJ98" i="7"/>
  <c r="AI98" i="7"/>
  <c r="AG98" i="7"/>
  <c r="AF98" i="7"/>
  <c r="AC98" i="7"/>
  <c r="AB98" i="7"/>
  <c r="Z98" i="7"/>
  <c r="Y98" i="7"/>
  <c r="V98" i="7"/>
  <c r="S98" i="7"/>
  <c r="R98" i="7"/>
  <c r="O98" i="7"/>
  <c r="N98" i="7"/>
  <c r="L98" i="7"/>
  <c r="K98" i="7"/>
  <c r="J98" i="7"/>
  <c r="H98" i="7"/>
  <c r="G98" i="7"/>
  <c r="E98" i="7"/>
  <c r="D98" i="7"/>
  <c r="AX96" i="7"/>
  <c r="Q84" i="7"/>
  <c r="N84" i="7"/>
  <c r="L84" i="7"/>
  <c r="K84" i="7"/>
  <c r="FU78" i="7"/>
  <c r="FR78" i="7"/>
  <c r="FN78" i="7"/>
  <c r="FK78" i="7"/>
  <c r="FG78" i="7"/>
  <c r="FD78" i="7"/>
  <c r="EZ78" i="7"/>
  <c r="EW78" i="7"/>
  <c r="ES78" i="7"/>
  <c r="DT78" i="7"/>
  <c r="DS78" i="7"/>
  <c r="DM78" i="7"/>
  <c r="DL78" i="7"/>
  <c r="DB78" i="7"/>
  <c r="DC78" i="7" s="1"/>
  <c r="CX78" i="7"/>
  <c r="CT78" i="7"/>
  <c r="CV78" i="7" s="1"/>
  <c r="CR78" i="7"/>
  <c r="CQ78" i="7"/>
  <c r="CM78" i="7"/>
  <c r="CK78" i="7"/>
  <c r="CJ78" i="7"/>
  <c r="CG78" i="7"/>
  <c r="CF78" i="7"/>
  <c r="CD78" i="7"/>
  <c r="CC78" i="7"/>
  <c r="BZ78" i="7"/>
  <c r="BW78" i="7"/>
  <c r="BV78" i="7"/>
  <c r="BP78" i="7"/>
  <c r="BO78" i="7"/>
  <c r="BL78" i="7"/>
  <c r="BK78" i="7"/>
  <c r="BI78" i="7"/>
  <c r="BH78" i="7"/>
  <c r="BD78" i="7"/>
  <c r="BB78" i="7"/>
  <c r="AU78" i="7"/>
  <c r="AT78" i="7"/>
  <c r="AP78" i="7"/>
  <c r="AJ78" i="7"/>
  <c r="AI78" i="7"/>
  <c r="AG78" i="7"/>
  <c r="AF78" i="7"/>
  <c r="Z78" i="7"/>
  <c r="Y78" i="7"/>
  <c r="S78" i="7"/>
  <c r="R78" i="7"/>
  <c r="O78" i="7"/>
  <c r="N78" i="7"/>
  <c r="L78" i="7"/>
  <c r="K78" i="7"/>
  <c r="J78" i="7"/>
  <c r="D78" i="7"/>
  <c r="FU77" i="7"/>
  <c r="FR77" i="7"/>
  <c r="FN77" i="7"/>
  <c r="FK77" i="7"/>
  <c r="FG77" i="7"/>
  <c r="FD77" i="7"/>
  <c r="EZ77" i="7"/>
  <c r="EW77" i="7"/>
  <c r="ES77" i="7"/>
  <c r="DT77" i="7"/>
  <c r="DS77" i="7"/>
  <c r="DO77" i="7"/>
  <c r="DM77" i="7"/>
  <c r="DL77" i="7"/>
  <c r="DH77" i="7"/>
  <c r="DF77" i="7"/>
  <c r="DE77" i="7"/>
  <c r="CY77" i="7"/>
  <c r="CX77" i="7"/>
  <c r="CT77" i="7"/>
  <c r="CV77" i="7" s="1"/>
  <c r="CR77" i="7"/>
  <c r="CQ77" i="7"/>
  <c r="CK77" i="7"/>
  <c r="CG77" i="7"/>
  <c r="CF77" i="7"/>
  <c r="CD77" i="7"/>
  <c r="CC77" i="7"/>
  <c r="BZ77" i="7"/>
  <c r="BY77" i="7"/>
  <c r="BW77" i="7"/>
  <c r="BS77" i="7"/>
  <c r="BR77" i="7"/>
  <c r="BP77" i="7"/>
  <c r="BO77" i="7"/>
  <c r="BL77" i="7"/>
  <c r="BK77" i="7"/>
  <c r="BI77" i="7"/>
  <c r="BH77" i="7"/>
  <c r="BE77" i="7"/>
  <c r="BB77" i="7"/>
  <c r="BA77" i="7"/>
  <c r="AX77" i="7"/>
  <c r="AQ77" i="7"/>
  <c r="AP77" i="7"/>
  <c r="AN77" i="7"/>
  <c r="AM77" i="7"/>
  <c r="AI77" i="7"/>
  <c r="AG77" i="7"/>
  <c r="AB77" i="7"/>
  <c r="Z77" i="7"/>
  <c r="Y77" i="7"/>
  <c r="V77" i="7"/>
  <c r="U77" i="7"/>
  <c r="S77" i="7"/>
  <c r="R77" i="7"/>
  <c r="Q77" i="7"/>
  <c r="O77" i="7"/>
  <c r="N77" i="7"/>
  <c r="L77" i="7"/>
  <c r="K77" i="7"/>
  <c r="J77" i="7"/>
  <c r="H77" i="7"/>
  <c r="G77" i="7"/>
  <c r="E77" i="7"/>
  <c r="D77" i="7"/>
  <c r="DS70" i="7"/>
  <c r="DR70" i="7"/>
  <c r="DL70" i="7"/>
  <c r="DK70" i="7"/>
  <c r="H13" i="3" s="1"/>
  <c r="DB70" i="7"/>
  <c r="CX70" i="7"/>
  <c r="CT70" i="7"/>
  <c r="CR70" i="7"/>
  <c r="CG70" i="7"/>
  <c r="CF70" i="7"/>
  <c r="CD70" i="7"/>
  <c r="CC70" i="7"/>
  <c r="BZ70" i="7"/>
  <c r="BW70" i="7"/>
  <c r="BP70" i="7"/>
  <c r="BO70" i="7"/>
  <c r="BL70" i="7"/>
  <c r="BK70" i="7"/>
  <c r="BI70" i="7"/>
  <c r="BH70" i="7"/>
  <c r="BD70" i="7"/>
  <c r="BB70" i="7"/>
  <c r="AU70" i="7"/>
  <c r="AT70" i="7"/>
  <c r="AP70" i="7"/>
  <c r="AJ70" i="7"/>
  <c r="AI70" i="7"/>
  <c r="AG70" i="7"/>
  <c r="AF70" i="7"/>
  <c r="Z70" i="7"/>
  <c r="Y70" i="7"/>
  <c r="S70" i="7"/>
  <c r="R70" i="7"/>
  <c r="O70" i="7"/>
  <c r="N70" i="7"/>
  <c r="L70" i="7"/>
  <c r="K70" i="7"/>
  <c r="J70" i="7"/>
  <c r="DU69" i="7"/>
  <c r="DX69" i="7" s="1"/>
  <c r="DW69" i="7" s="1"/>
  <c r="DW78" i="7" s="1"/>
  <c r="DX78" i="7" s="1"/>
  <c r="DO69" i="7"/>
  <c r="DO70" i="7" s="1"/>
  <c r="DN69" i="7"/>
  <c r="DQ69" i="7" s="1"/>
  <c r="DH69" i="7"/>
  <c r="DF69" i="7"/>
  <c r="DF78" i="7" s="1"/>
  <c r="DE69" i="7"/>
  <c r="DE98" i="7" s="1"/>
  <c r="DA69" i="7"/>
  <c r="DA98" i="7" s="1"/>
  <c r="CY69" i="7"/>
  <c r="CU69" i="7"/>
  <c r="CU98" i="7" s="1"/>
  <c r="CS69" i="7"/>
  <c r="CN69" i="7"/>
  <c r="CL69" i="7"/>
  <c r="CH69" i="7"/>
  <c r="CE69" i="7"/>
  <c r="BY69" i="7"/>
  <c r="BY78" i="7" s="1"/>
  <c r="BX69" i="7"/>
  <c r="BS69" i="7"/>
  <c r="BS78" i="7" s="1"/>
  <c r="BR69" i="7"/>
  <c r="BR78" i="7" s="1"/>
  <c r="BQ69" i="7"/>
  <c r="BM69" i="7"/>
  <c r="BJ69" i="7"/>
  <c r="BE69" i="7"/>
  <c r="BE78" i="7" s="1"/>
  <c r="BA69" i="7"/>
  <c r="BA78" i="7" s="1"/>
  <c r="AX69" i="7"/>
  <c r="AX78" i="7" s="1"/>
  <c r="AW69" i="7"/>
  <c r="AW78" i="7" s="1"/>
  <c r="AV69" i="7"/>
  <c r="AQ69" i="7"/>
  <c r="AR69" i="7" s="1"/>
  <c r="AN69" i="7"/>
  <c r="AN78" i="7" s="1"/>
  <c r="AM69" i="7"/>
  <c r="AM78" i="7" s="1"/>
  <c r="AK69" i="7"/>
  <c r="AK78" i="7" s="1"/>
  <c r="AH69" i="7"/>
  <c r="AH78" i="7" s="1"/>
  <c r="AC69" i="7"/>
  <c r="AC78" i="7" s="1"/>
  <c r="AB69" i="7"/>
  <c r="AB78" i="7" s="1"/>
  <c r="AA69" i="7"/>
  <c r="AA78" i="7" s="1"/>
  <c r="V69" i="7"/>
  <c r="V78" i="7" s="1"/>
  <c r="U69" i="7"/>
  <c r="U78" i="7" s="1"/>
  <c r="T69" i="7"/>
  <c r="T78" i="7" s="1"/>
  <c r="P69" i="7"/>
  <c r="P78" i="7" s="1"/>
  <c r="M69" i="7"/>
  <c r="M78" i="7" s="1"/>
  <c r="H69" i="7"/>
  <c r="H70" i="7" s="1"/>
  <c r="H78" i="7" s="1"/>
  <c r="G69" i="7"/>
  <c r="G70" i="7" s="1"/>
  <c r="E69" i="7"/>
  <c r="E78" i="7" s="1"/>
  <c r="D69" i="7"/>
  <c r="D70" i="7" s="1"/>
  <c r="DT68" i="7"/>
  <c r="DM68" i="7"/>
  <c r="DM98" i="7" s="1"/>
  <c r="DF68" i="7"/>
  <c r="DC68" i="7"/>
  <c r="CZ68" i="7"/>
  <c r="CV68" i="7"/>
  <c r="CQ68" i="7"/>
  <c r="CQ70" i="7" s="1"/>
  <c r="CM68" i="7"/>
  <c r="CM70" i="7" s="1"/>
  <c r="CK68" i="7"/>
  <c r="CJ68" i="7"/>
  <c r="CH68" i="7"/>
  <c r="CE68" i="7"/>
  <c r="CA68" i="7"/>
  <c r="BV68" i="7"/>
  <c r="BT68" i="7"/>
  <c r="BQ68" i="7"/>
  <c r="BM68" i="7"/>
  <c r="BJ68" i="7"/>
  <c r="BF68" i="7"/>
  <c r="BF105" i="7" s="1"/>
  <c r="BC68" i="7"/>
  <c r="BC105" i="7" s="1"/>
  <c r="AY68" i="7"/>
  <c r="AY105" i="7" s="1"/>
  <c r="AV68" i="7"/>
  <c r="AV105" i="7" s="1"/>
  <c r="AR68" i="7"/>
  <c r="AR105" i="7" s="1"/>
  <c r="AO68" i="7"/>
  <c r="AO105" i="7" s="1"/>
  <c r="AK68" i="7"/>
  <c r="AH68" i="7"/>
  <c r="AD68" i="7"/>
  <c r="AA68" i="7"/>
  <c r="U68" i="7"/>
  <c r="T68" i="7"/>
  <c r="P68" i="7"/>
  <c r="M68" i="7"/>
  <c r="I68" i="7"/>
  <c r="F68" i="7"/>
  <c r="DU66" i="7"/>
  <c r="DN66" i="7"/>
  <c r="DQ66" i="7" s="1"/>
  <c r="DG66" i="7"/>
  <c r="DJ66" i="7" s="1"/>
  <c r="DI66" i="7" s="1"/>
  <c r="DC66" i="7"/>
  <c r="CZ66" i="7"/>
  <c r="CV66" i="7"/>
  <c r="CS66" i="7"/>
  <c r="CO66" i="7"/>
  <c r="CL66" i="7"/>
  <c r="CH66" i="7"/>
  <c r="CE66" i="7"/>
  <c r="BX66" i="7"/>
  <c r="BR66" i="7"/>
  <c r="BT66" i="7" s="1"/>
  <c r="BQ66" i="7"/>
  <c r="BM66" i="7"/>
  <c r="BJ66" i="7"/>
  <c r="BF66" i="7"/>
  <c r="BC66" i="7"/>
  <c r="AW66" i="7"/>
  <c r="AY66" i="7" s="1"/>
  <c r="AV66" i="7"/>
  <c r="AR66" i="7"/>
  <c r="AO66" i="7"/>
  <c r="AJ66" i="7"/>
  <c r="AI66" i="7"/>
  <c r="AG66" i="7"/>
  <c r="AF66" i="7"/>
  <c r="AC66" i="7"/>
  <c r="K66" i="7"/>
  <c r="M66" i="7" s="1"/>
  <c r="Q66" i="7" s="1"/>
  <c r="DS65" i="7"/>
  <c r="DR65" i="7"/>
  <c r="DL65" i="7"/>
  <c r="CK65" i="7"/>
  <c r="CK60" i="7" s="1"/>
  <c r="CK146" i="7" s="1"/>
  <c r="DU64" i="7"/>
  <c r="DN64" i="7"/>
  <c r="DQ64" i="7" s="1"/>
  <c r="DH64" i="7"/>
  <c r="DG64" i="7"/>
  <c r="DJ64" i="7" s="1"/>
  <c r="DB64" i="7"/>
  <c r="DB77" i="7" s="1"/>
  <c r="DC77" i="7" s="1"/>
  <c r="CZ64" i="7"/>
  <c r="CV64" i="7"/>
  <c r="CS64" i="7"/>
  <c r="CN64" i="7"/>
  <c r="CO64" i="7" s="1"/>
  <c r="CJ64" i="7"/>
  <c r="CH64" i="7"/>
  <c r="CE64" i="7"/>
  <c r="CA64" i="7"/>
  <c r="BV64" i="7"/>
  <c r="BX64" i="7" s="1"/>
  <c r="BT64" i="7"/>
  <c r="BQ64" i="7"/>
  <c r="BM64" i="7"/>
  <c r="BJ64" i="7"/>
  <c r="BF64" i="7"/>
  <c r="BC64" i="7"/>
  <c r="AY64" i="7"/>
  <c r="AV64" i="7"/>
  <c r="AR64" i="7"/>
  <c r="AO64" i="7"/>
  <c r="AJ64" i="7"/>
  <c r="AJ77" i="7" s="1"/>
  <c r="AF64" i="7"/>
  <c r="AF77" i="7" s="1"/>
  <c r="AD64" i="7"/>
  <c r="AA64" i="7"/>
  <c r="W64" i="7"/>
  <c r="T64" i="7"/>
  <c r="DO61" i="7"/>
  <c r="DO65" i="7" s="1"/>
  <c r="DK61" i="7"/>
  <c r="DH61" i="7"/>
  <c r="DE61" i="7"/>
  <c r="DB61" i="7"/>
  <c r="DA61" i="7"/>
  <c r="CX61" i="7"/>
  <c r="CU61" i="7"/>
  <c r="CT61" i="7"/>
  <c r="CN61" i="7"/>
  <c r="CM61" i="7"/>
  <c r="CJ61" i="7"/>
  <c r="CL61" i="7" s="1"/>
  <c r="CG61" i="7"/>
  <c r="CF61" i="7"/>
  <c r="CF65" i="7" s="1"/>
  <c r="CD61" i="7"/>
  <c r="CD65" i="7" s="1"/>
  <c r="CC61" i="7"/>
  <c r="CC65" i="7" s="1"/>
  <c r="BZ61" i="7"/>
  <c r="BY61" i="7"/>
  <c r="BY65" i="7" s="1"/>
  <c r="BW61" i="7"/>
  <c r="BS61" i="7"/>
  <c r="BR61" i="7"/>
  <c r="BP61" i="7"/>
  <c r="BO61" i="7"/>
  <c r="BO65" i="7" s="1"/>
  <c r="BK61" i="7"/>
  <c r="BK65" i="7" s="1"/>
  <c r="BI61" i="7"/>
  <c r="BH61" i="7"/>
  <c r="BH65" i="7" s="1"/>
  <c r="BD61" i="7"/>
  <c r="BB61" i="7"/>
  <c r="BA61" i="7"/>
  <c r="BA65" i="7" s="1"/>
  <c r="AZ61" i="7"/>
  <c r="AW61" i="7"/>
  <c r="AW65" i="7" s="1"/>
  <c r="AU61" i="7"/>
  <c r="AU65" i="7" s="1"/>
  <c r="AT61" i="7"/>
  <c r="AT65" i="7" s="1"/>
  <c r="AP61" i="7"/>
  <c r="AP65" i="7" s="1"/>
  <c r="AP104" i="7" s="1"/>
  <c r="AN61" i="7"/>
  <c r="AN65" i="7" s="1"/>
  <c r="AN104" i="7" s="1"/>
  <c r="AM61" i="7"/>
  <c r="AM65" i="7" s="1"/>
  <c r="AM104" i="7" s="1"/>
  <c r="AL61" i="7"/>
  <c r="AI61" i="7"/>
  <c r="AI65" i="7" s="1"/>
  <c r="AI104" i="7" s="1"/>
  <c r="AG61" i="7"/>
  <c r="AG65" i="7" s="1"/>
  <c r="AG104" i="7" s="1"/>
  <c r="AF61" i="7"/>
  <c r="AE61" i="7"/>
  <c r="AB61" i="7"/>
  <c r="AB65" i="7" s="1"/>
  <c r="AB104" i="7" s="1"/>
  <c r="Z61" i="7"/>
  <c r="Z65" i="7" s="1"/>
  <c r="Z104" i="7" s="1"/>
  <c r="Y61" i="7"/>
  <c r="Y65" i="7" s="1"/>
  <c r="Y104" i="7" s="1"/>
  <c r="X61" i="7"/>
  <c r="U61" i="7"/>
  <c r="U65" i="7" s="1"/>
  <c r="U104" i="7" s="1"/>
  <c r="S61" i="7"/>
  <c r="S65" i="7" s="1"/>
  <c r="S104" i="7" s="1"/>
  <c r="R61" i="7"/>
  <c r="R65" i="7" s="1"/>
  <c r="R104" i="7" s="1"/>
  <c r="Q61" i="7"/>
  <c r="Q65" i="7" s="1"/>
  <c r="Q104" i="7" s="1"/>
  <c r="N61" i="7"/>
  <c r="N65" i="7" s="1"/>
  <c r="N104" i="7" s="1"/>
  <c r="L61" i="7"/>
  <c r="L65" i="7" s="1"/>
  <c r="L104" i="7" s="1"/>
  <c r="K61" i="7"/>
  <c r="K65" i="7" s="1"/>
  <c r="K104" i="7" s="1"/>
  <c r="J61" i="7"/>
  <c r="J65" i="7" s="1"/>
  <c r="J104" i="7" s="1"/>
  <c r="G61" i="7"/>
  <c r="G65" i="7" s="1"/>
  <c r="G104" i="7" s="1"/>
  <c r="E61" i="7"/>
  <c r="E65" i="7" s="1"/>
  <c r="E104" i="7" s="1"/>
  <c r="D61" i="7"/>
  <c r="D65" i="7" s="1"/>
  <c r="D104" i="7" s="1"/>
  <c r="DU60" i="7"/>
  <c r="DX60" i="7" s="1"/>
  <c r="DN60" i="7"/>
  <c r="DQ60" i="7" s="1"/>
  <c r="DK60" i="7"/>
  <c r="DF60" i="7"/>
  <c r="DF146" i="7" s="1"/>
  <c r="DE60" i="7"/>
  <c r="DE146" i="7" s="1"/>
  <c r="DA60" i="7"/>
  <c r="DA146" i="7" s="1"/>
  <c r="CY60" i="7"/>
  <c r="CY146" i="7" s="1"/>
  <c r="CX60" i="7"/>
  <c r="CX146" i="7" s="1"/>
  <c r="CU60" i="7"/>
  <c r="CU146" i="7" s="1"/>
  <c r="CT60" i="7"/>
  <c r="CT146" i="7" s="1"/>
  <c r="CR60" i="7"/>
  <c r="CR146" i="7" s="1"/>
  <c r="CQ60" i="7"/>
  <c r="CQ146" i="7" s="1"/>
  <c r="CM60" i="7"/>
  <c r="CM146" i="7" s="1"/>
  <c r="CH60" i="7"/>
  <c r="CE60" i="7"/>
  <c r="BZ60" i="7"/>
  <c r="BZ146" i="7" s="1"/>
  <c r="BW60" i="7"/>
  <c r="BW146" i="7" s="1"/>
  <c r="BS60" i="7"/>
  <c r="BS146" i="7" s="1"/>
  <c r="BR60" i="7"/>
  <c r="BR146" i="7" s="1"/>
  <c r="BP60" i="7"/>
  <c r="BP146" i="7" s="1"/>
  <c r="BI60" i="7"/>
  <c r="BI146" i="7" s="1"/>
  <c r="BI148" i="7" s="1"/>
  <c r="BC60" i="7"/>
  <c r="BE60" i="7" s="1"/>
  <c r="AV60" i="7"/>
  <c r="AV146" i="7" s="1"/>
  <c r="AH60" i="7"/>
  <c r="AH146" i="7" s="1"/>
  <c r="AA60" i="7"/>
  <c r="AA146" i="7" s="1"/>
  <c r="T60" i="7"/>
  <c r="T146" i="7" s="1"/>
  <c r="M60" i="7"/>
  <c r="M146" i="7" s="1"/>
  <c r="F60" i="7"/>
  <c r="F146" i="7" s="1"/>
  <c r="F148" i="7" s="1"/>
  <c r="DU56" i="7"/>
  <c r="DX56" i="7" s="1"/>
  <c r="DW56" i="7" s="1"/>
  <c r="DN56" i="7"/>
  <c r="DQ56" i="7" s="1"/>
  <c r="DP56" i="7" s="1"/>
  <c r="DG56" i="7"/>
  <c r="DJ56" i="7" s="1"/>
  <c r="DI56" i="7" s="1"/>
  <c r="DC56" i="7"/>
  <c r="CZ56" i="7"/>
  <c r="CV56" i="7"/>
  <c r="CW56" i="7" s="1"/>
  <c r="CN56" i="7"/>
  <c r="CO56" i="7" s="1"/>
  <c r="CP56" i="7" s="1"/>
  <c r="CI56" i="7"/>
  <c r="CA56" i="7"/>
  <c r="CB56" i="7" s="1"/>
  <c r="BT56" i="7"/>
  <c r="BQ56" i="7"/>
  <c r="BM56" i="7"/>
  <c r="BJ56" i="7"/>
  <c r="BF56" i="7"/>
  <c r="BC56" i="7" s="1"/>
  <c r="AW56" i="7"/>
  <c r="AW77" i="7" s="1"/>
  <c r="DU55" i="7"/>
  <c r="DX55" i="7" s="1"/>
  <c r="DW55" i="7" s="1"/>
  <c r="DN55" i="7"/>
  <c r="DG55" i="7"/>
  <c r="DJ55" i="7" s="1"/>
  <c r="DI55" i="7" s="1"/>
  <c r="DC55" i="7"/>
  <c r="CZ55" i="7"/>
  <c r="CV55" i="7"/>
  <c r="CS55" i="7"/>
  <c r="CP55" i="7"/>
  <c r="CI55" i="7"/>
  <c r="CA55" i="7"/>
  <c r="CB55" i="7" s="1"/>
  <c r="BT55" i="7"/>
  <c r="BQ55" i="7"/>
  <c r="BM55" i="7"/>
  <c r="BJ55" i="7"/>
  <c r="BD55" i="7"/>
  <c r="BD77" i="7" s="1"/>
  <c r="BC55" i="7"/>
  <c r="AY55" i="7"/>
  <c r="AZ55" i="7" s="1"/>
  <c r="DU54" i="7"/>
  <c r="DX54" i="7" s="1"/>
  <c r="DW54" i="7" s="1"/>
  <c r="DN54" i="7"/>
  <c r="DQ54" i="7" s="1"/>
  <c r="DP54" i="7" s="1"/>
  <c r="DG54" i="7"/>
  <c r="DJ54" i="7" s="1"/>
  <c r="DI54" i="7" s="1"/>
  <c r="DC54" i="7"/>
  <c r="CZ54" i="7"/>
  <c r="CV54" i="7"/>
  <c r="CS54" i="7"/>
  <c r="CO54" i="7"/>
  <c r="CL54" i="7"/>
  <c r="CH54" i="7"/>
  <c r="CE54" i="7"/>
  <c r="CA54" i="7"/>
  <c r="BX54" i="7"/>
  <c r="BT54" i="7"/>
  <c r="BQ54" i="7"/>
  <c r="BM54" i="7"/>
  <c r="BJ54" i="7"/>
  <c r="BF54" i="7"/>
  <c r="BC54" i="7"/>
  <c r="AY54" i="7"/>
  <c r="AV54" i="7"/>
  <c r="AR54" i="7"/>
  <c r="AO54" i="7"/>
  <c r="AK54" i="7"/>
  <c r="AH54" i="7"/>
  <c r="AD54" i="7"/>
  <c r="AA54" i="7"/>
  <c r="W54" i="7"/>
  <c r="T54" i="7"/>
  <c r="P54" i="7"/>
  <c r="M54" i="7"/>
  <c r="I54" i="7"/>
  <c r="F54" i="7"/>
  <c r="DU53" i="7"/>
  <c r="DX53" i="7" s="1"/>
  <c r="DW53" i="7" s="1"/>
  <c r="DN53" i="7"/>
  <c r="DQ53" i="7" s="1"/>
  <c r="DP53" i="7" s="1"/>
  <c r="DK53" i="7"/>
  <c r="DG53" i="7"/>
  <c r="DC53" i="7"/>
  <c r="CZ53" i="7"/>
  <c r="CV53" i="7"/>
  <c r="CS53" i="7"/>
  <c r="CN53" i="7"/>
  <c r="CM53" i="7"/>
  <c r="CM77" i="7" s="1"/>
  <c r="CL53" i="7"/>
  <c r="CH53" i="7"/>
  <c r="CE53" i="7"/>
  <c r="CA53" i="7"/>
  <c r="BV53" i="7"/>
  <c r="BX53" i="7" s="1"/>
  <c r="BT53" i="7"/>
  <c r="BQ53" i="7"/>
  <c r="BM53" i="7"/>
  <c r="BJ53" i="7"/>
  <c r="BF53" i="7"/>
  <c r="BC53" i="7"/>
  <c r="AY53" i="7"/>
  <c r="AV53" i="7"/>
  <c r="AR53" i="7"/>
  <c r="AO53" i="7"/>
  <c r="AK53" i="7"/>
  <c r="AH53" i="7"/>
  <c r="AC53" i="7"/>
  <c r="AC77" i="7" s="1"/>
  <c r="AA53" i="7"/>
  <c r="W53" i="7"/>
  <c r="T53" i="7"/>
  <c r="P53" i="7"/>
  <c r="M53" i="7"/>
  <c r="I53" i="7"/>
  <c r="F53" i="7"/>
  <c r="DU52" i="7"/>
  <c r="DX52" i="7" s="1"/>
  <c r="DW52" i="7" s="1"/>
  <c r="DN52" i="7"/>
  <c r="DQ52" i="7" s="1"/>
  <c r="DP52" i="7" s="1"/>
  <c r="DJ52" i="7"/>
  <c r="DG52" i="7"/>
  <c r="DC52" i="7"/>
  <c r="CZ52" i="7"/>
  <c r="CV52" i="7"/>
  <c r="CS52" i="7"/>
  <c r="CN52" i="7"/>
  <c r="CO52" i="7" s="1"/>
  <c r="CK52" i="7"/>
  <c r="CJ52" i="7"/>
  <c r="CH52" i="7"/>
  <c r="CE52" i="7"/>
  <c r="CA52" i="7"/>
  <c r="BX52" i="7"/>
  <c r="BT52" i="7"/>
  <c r="BQ52" i="7"/>
  <c r="BM52" i="7"/>
  <c r="BJ52" i="7"/>
  <c r="BF52" i="7"/>
  <c r="BC52" i="7"/>
  <c r="AY52" i="7"/>
  <c r="AV52" i="7"/>
  <c r="AR52" i="7"/>
  <c r="AO52" i="7"/>
  <c r="AK52" i="7"/>
  <c r="AH52" i="7"/>
  <c r="AD52" i="7"/>
  <c r="AA52" i="7"/>
  <c r="W52" i="7"/>
  <c r="T52" i="7"/>
  <c r="P52" i="7"/>
  <c r="M52" i="7"/>
  <c r="I52" i="7"/>
  <c r="F52" i="7"/>
  <c r="ES46" i="7"/>
  <c r="DU46" i="7"/>
  <c r="DN46" i="7"/>
  <c r="DG46" i="7"/>
  <c r="DJ46" i="7" s="1"/>
  <c r="DI46" i="7" s="1"/>
  <c r="DC46" i="7"/>
  <c r="CZ46" i="7"/>
  <c r="CV46" i="7"/>
  <c r="CQ46" i="7"/>
  <c r="CS46" i="7" s="1"/>
  <c r="CM46" i="7"/>
  <c r="CO46" i="7" s="1"/>
  <c r="CK46" i="7"/>
  <c r="CL46" i="7" s="1"/>
  <c r="CH46" i="7"/>
  <c r="CE46" i="7"/>
  <c r="CA46" i="7"/>
  <c r="BX46" i="7"/>
  <c r="BT46" i="7"/>
  <c r="BQ46" i="7"/>
  <c r="BM46" i="7"/>
  <c r="BJ46" i="7"/>
  <c r="BF46" i="7"/>
  <c r="BC46" i="7"/>
  <c r="AY46" i="7"/>
  <c r="AV46" i="7"/>
  <c r="DU44" i="7"/>
  <c r="DN44" i="7"/>
  <c r="DG44" i="7"/>
  <c r="DJ44" i="7" s="1"/>
  <c r="DI44" i="7" s="1"/>
  <c r="DC44" i="7"/>
  <c r="CZ44" i="7"/>
  <c r="CV44" i="7"/>
  <c r="CQ44" i="7"/>
  <c r="CS44" i="7" s="1"/>
  <c r="CM44" i="7"/>
  <c r="CO44" i="7" s="1"/>
  <c r="CK44" i="7"/>
  <c r="CJ44" i="7"/>
  <c r="CH44" i="7"/>
  <c r="CE44" i="7"/>
  <c r="CA44" i="7"/>
  <c r="BV44" i="7"/>
  <c r="BX44" i="7" s="1"/>
  <c r="BT44" i="7"/>
  <c r="BQ44" i="7"/>
  <c r="BM44" i="7"/>
  <c r="BJ44" i="7"/>
  <c r="BF44" i="7"/>
  <c r="BC44" i="7"/>
  <c r="AY44" i="7"/>
  <c r="AU44" i="7"/>
  <c r="AT44" i="7"/>
  <c r="AS44" i="7"/>
  <c r="AQ44" i="7"/>
  <c r="AR44" i="7" s="1"/>
  <c r="AM44" i="7"/>
  <c r="AO44" i="7" s="1"/>
  <c r="AK44" i="7"/>
  <c r="AH44" i="7"/>
  <c r="AD44" i="7"/>
  <c r="AA44" i="7"/>
  <c r="W44" i="7"/>
  <c r="R44" i="7"/>
  <c r="T44" i="7" s="1"/>
  <c r="Q44" i="7"/>
  <c r="O44" i="7"/>
  <c r="N44" i="7"/>
  <c r="L44" i="7"/>
  <c r="K44" i="7"/>
  <c r="J44" i="7"/>
  <c r="H44" i="7"/>
  <c r="G44" i="7"/>
  <c r="E44" i="7"/>
  <c r="D44" i="7"/>
  <c r="DU43" i="7"/>
  <c r="DN43" i="7"/>
  <c r="DG43" i="7"/>
  <c r="DJ43" i="7" s="1"/>
  <c r="DI43" i="7" s="1"/>
  <c r="DC43" i="7"/>
  <c r="CZ43" i="7"/>
  <c r="CV43" i="7"/>
  <c r="CQ43" i="7"/>
  <c r="CS43" i="7" s="1"/>
  <c r="CN43" i="7"/>
  <c r="CM43" i="7"/>
  <c r="CK43" i="7"/>
  <c r="CL43" i="7" s="1"/>
  <c r="CH43" i="7"/>
  <c r="CE43" i="7"/>
  <c r="CA43" i="7"/>
  <c r="BV43" i="7"/>
  <c r="BX43" i="7" s="1"/>
  <c r="BT43" i="7"/>
  <c r="BQ43" i="7"/>
  <c r="BL43" i="7"/>
  <c r="BM43" i="7" s="1"/>
  <c r="BJ43" i="7"/>
  <c r="BF43" i="7"/>
  <c r="BC43" i="7"/>
  <c r="AY43" i="7"/>
  <c r="AV43" i="7"/>
  <c r="AR43" i="7"/>
  <c r="AO43" i="7"/>
  <c r="AK43" i="7"/>
  <c r="AH43" i="7"/>
  <c r="AD43" i="7"/>
  <c r="AA43" i="7"/>
  <c r="W43" i="7"/>
  <c r="T43" i="7"/>
  <c r="P43" i="7"/>
  <c r="M43" i="7"/>
  <c r="I43" i="7"/>
  <c r="F43" i="7"/>
  <c r="DT29" i="7"/>
  <c r="DT30" i="7" s="1"/>
  <c r="DS29" i="7"/>
  <c r="DR29" i="7"/>
  <c r="DO29" i="7"/>
  <c r="DO30" i="7" s="1"/>
  <c r="DM29" i="7"/>
  <c r="DL29" i="7"/>
  <c r="DL30" i="7" s="1"/>
  <c r="DI29" i="7"/>
  <c r="DH29" i="7"/>
  <c r="DH30" i="7" s="1"/>
  <c r="DF29" i="7"/>
  <c r="DF30" i="7" s="1"/>
  <c r="DE29" i="7"/>
  <c r="DB29" i="7"/>
  <c r="DB30" i="7" s="1"/>
  <c r="DA29" i="7"/>
  <c r="CY29" i="7"/>
  <c r="CY30" i="7" s="1"/>
  <c r="CX29" i="7"/>
  <c r="CX30" i="7" s="1"/>
  <c r="CU29" i="7"/>
  <c r="CT29" i="7"/>
  <c r="CT30" i="7" s="1"/>
  <c r="CR29" i="7"/>
  <c r="CQ29" i="7"/>
  <c r="CQ30" i="7" s="1"/>
  <c r="CN29" i="7"/>
  <c r="CN30" i="7" s="1"/>
  <c r="CM29" i="7"/>
  <c r="CM30" i="7" s="1"/>
  <c r="CK29" i="7"/>
  <c r="CK30" i="7" s="1"/>
  <c r="CJ29" i="7"/>
  <c r="CG29" i="7"/>
  <c r="CG30" i="7" s="1"/>
  <c r="CF29" i="7"/>
  <c r="CF30" i="7" s="1"/>
  <c r="CD29" i="7"/>
  <c r="CD30" i="7" s="1"/>
  <c r="CC29" i="7"/>
  <c r="CC30" i="7" s="1"/>
  <c r="BW29" i="7"/>
  <c r="BV29" i="7" s="1"/>
  <c r="BX29" i="7" s="1"/>
  <c r="CB29" i="7" s="1"/>
  <c r="CB30" i="7" s="1"/>
  <c r="P29" i="7"/>
  <c r="M29" i="7"/>
  <c r="I29" i="7"/>
  <c r="F29" i="7"/>
  <c r="BY30" i="7"/>
  <c r="BU30" i="7"/>
  <c r="BR30" i="7"/>
  <c r="BP30" i="7"/>
  <c r="BO30" i="7"/>
  <c r="BK30" i="7"/>
  <c r="BJ30" i="7"/>
  <c r="BH30" i="7"/>
  <c r="BE30" i="7"/>
  <c r="BD30" i="7"/>
  <c r="BB30" i="7"/>
  <c r="BA30" i="7"/>
  <c r="AX30" i="7"/>
  <c r="AW30" i="7"/>
  <c r="AU30" i="7"/>
  <c r="AQ30" i="7"/>
  <c r="AP30" i="7"/>
  <c r="AN30" i="7"/>
  <c r="AM30" i="7"/>
  <c r="AL30" i="7"/>
  <c r="AJ30" i="7"/>
  <c r="AI30" i="7"/>
  <c r="AG30" i="7"/>
  <c r="AF30" i="7"/>
  <c r="AE30" i="7"/>
  <c r="AC30" i="7"/>
  <c r="AB30" i="7"/>
  <c r="Z30" i="7"/>
  <c r="Y30" i="7"/>
  <c r="X30" i="7"/>
  <c r="V30" i="7"/>
  <c r="U30" i="7"/>
  <c r="S30" i="7"/>
  <c r="R30" i="7"/>
  <c r="Q30" i="7"/>
  <c r="O30" i="7"/>
  <c r="N30" i="7"/>
  <c r="L30" i="7"/>
  <c r="K30" i="7"/>
  <c r="J30" i="7"/>
  <c r="H30" i="7"/>
  <c r="G30" i="7"/>
  <c r="E30" i="7"/>
  <c r="D30" i="7"/>
  <c r="DT22" i="7"/>
  <c r="DS22" i="7"/>
  <c r="DR22" i="7"/>
  <c r="DO22" i="7"/>
  <c r="DM22" i="7"/>
  <c r="DL22" i="7"/>
  <c r="DK22" i="7"/>
  <c r="DH22" i="7"/>
  <c r="DF22" i="7"/>
  <c r="DE22" i="7"/>
  <c r="DD22" i="7"/>
  <c r="DA22" i="7"/>
  <c r="CY22" i="7"/>
  <c r="CX22" i="7"/>
  <c r="CW22" i="7"/>
  <c r="CT22" i="7"/>
  <c r="CR22" i="7"/>
  <c r="CQ22" i="7"/>
  <c r="CP22" i="7"/>
  <c r="CM22" i="7"/>
  <c r="CK22" i="7"/>
  <c r="CJ22" i="7"/>
  <c r="CI22" i="7"/>
  <c r="CF22" i="7"/>
  <c r="CD22" i="7"/>
  <c r="CC22" i="7"/>
  <c r="CB22" i="7"/>
  <c r="BY22" i="7"/>
  <c r="BW22" i="7"/>
  <c r="BV22" i="7"/>
  <c r="BU22" i="7"/>
  <c r="BR22" i="7"/>
  <c r="BP22" i="7"/>
  <c r="BO22" i="7"/>
  <c r="BN22" i="7"/>
  <c r="BK22" i="7"/>
  <c r="BI22" i="7"/>
  <c r="BH22" i="7"/>
  <c r="BG22" i="7"/>
  <c r="BD22" i="7"/>
  <c r="BB22" i="7"/>
  <c r="BA22" i="7"/>
  <c r="AZ22" i="7"/>
  <c r="AW22" i="7"/>
  <c r="AU22" i="7"/>
  <c r="AT22" i="7"/>
  <c r="AS22" i="7"/>
  <c r="AP22" i="7"/>
  <c r="AN22" i="7"/>
  <c r="AM22" i="7"/>
  <c r="AL22" i="7"/>
  <c r="AI22" i="7"/>
  <c r="AG22" i="7"/>
  <c r="AF22" i="7"/>
  <c r="AE22" i="7"/>
  <c r="AB22" i="7"/>
  <c r="Z22" i="7"/>
  <c r="Y22" i="7"/>
  <c r="AT21" i="7"/>
  <c r="W21" i="7"/>
  <c r="T21" i="7"/>
  <c r="P21" i="7"/>
  <c r="M21" i="7"/>
  <c r="I21" i="7"/>
  <c r="F21" i="7"/>
  <c r="EX20" i="7"/>
  <c r="FE20" i="7" s="1"/>
  <c r="FL20" i="7" s="1"/>
  <c r="FS20" i="7" s="1"/>
  <c r="EU20" i="7"/>
  <c r="FB20" i="7" s="1"/>
  <c r="FI20" i="7" s="1"/>
  <c r="FP20" i="7" s="1"/>
  <c r="DU20" i="7"/>
  <c r="DX20" i="7" s="1"/>
  <c r="DW20" i="7" s="1"/>
  <c r="DN20" i="7"/>
  <c r="DQ20" i="7" s="1"/>
  <c r="DP20" i="7" s="1"/>
  <c r="DG20" i="7"/>
  <c r="DJ20" i="7" s="1"/>
  <c r="DI20" i="7" s="1"/>
  <c r="DC20" i="7"/>
  <c r="CZ20" i="7"/>
  <c r="CV20" i="7"/>
  <c r="CS20" i="7"/>
  <c r="CO20" i="7"/>
  <c r="CJ20" i="7"/>
  <c r="CL20" i="7" s="1"/>
  <c r="CH20" i="7"/>
  <c r="CE20" i="7"/>
  <c r="CA20" i="7"/>
  <c r="BX20" i="7"/>
  <c r="BQ20" i="7"/>
  <c r="BJ20" i="7"/>
  <c r="BC20" i="7"/>
  <c r="AV20" i="7"/>
  <c r="AY20" i="7" s="1"/>
  <c r="AX20" i="7" s="1"/>
  <c r="BE20" i="7" s="1"/>
  <c r="AR20" i="7"/>
  <c r="AO20" i="7"/>
  <c r="AH20" i="7"/>
  <c r="AK20" i="7" s="1"/>
  <c r="AJ20" i="7" s="1"/>
  <c r="AA20" i="7"/>
  <c r="AD20" i="7" s="1"/>
  <c r="AC20" i="7" s="1"/>
  <c r="T20" i="7"/>
  <c r="W20" i="7" s="1"/>
  <c r="V20" i="7" s="1"/>
  <c r="M20" i="7"/>
  <c r="P20" i="7" s="1"/>
  <c r="O20" i="7" s="1"/>
  <c r="F20" i="7"/>
  <c r="I20" i="7" s="1"/>
  <c r="H20" i="7" s="1"/>
  <c r="FT19" i="7"/>
  <c r="FT61" i="7" s="1"/>
  <c r="FS19" i="7"/>
  <c r="FS61" i="7" s="1"/>
  <c r="FQ19" i="7"/>
  <c r="FQ61" i="7" s="1"/>
  <c r="FP19" i="7"/>
  <c r="FP61" i="7" s="1"/>
  <c r="FM19" i="7"/>
  <c r="FM61" i="7" s="1"/>
  <c r="FL19" i="7"/>
  <c r="FL61" i="7" s="1"/>
  <c r="FJ19" i="7"/>
  <c r="FJ61" i="7" s="1"/>
  <c r="FI19" i="7"/>
  <c r="FI61" i="7" s="1"/>
  <c r="FF19" i="7"/>
  <c r="FF61" i="7" s="1"/>
  <c r="FE19" i="7"/>
  <c r="FE61" i="7" s="1"/>
  <c r="FC19" i="7"/>
  <c r="FC61" i="7" s="1"/>
  <c r="FB19" i="7"/>
  <c r="FB61" i="7" s="1"/>
  <c r="EY19" i="7"/>
  <c r="EY61" i="7" s="1"/>
  <c r="EX19" i="7"/>
  <c r="EX61" i="7" s="1"/>
  <c r="EV19" i="7"/>
  <c r="EV61" i="7" s="1"/>
  <c r="EU19" i="7"/>
  <c r="EU61" i="7" s="1"/>
  <c r="ER19" i="7"/>
  <c r="ER61" i="7" s="1"/>
  <c r="DU19" i="7"/>
  <c r="DX19" i="7" s="1"/>
  <c r="DW19" i="7" s="1"/>
  <c r="DW156" i="7" s="1"/>
  <c r="DM19" i="7"/>
  <c r="DF19" i="7"/>
  <c r="DG19" i="7" s="1"/>
  <c r="DJ19" i="7" s="1"/>
  <c r="DI19" i="7" s="1"/>
  <c r="DI156" i="7" s="1"/>
  <c r="DC19" i="7"/>
  <c r="CY19" i="7"/>
  <c r="CZ19" i="7" s="1"/>
  <c r="CV19" i="7"/>
  <c r="CR19" i="7"/>
  <c r="CQ19" i="7"/>
  <c r="CO19" i="7"/>
  <c r="CO61" i="7" s="1"/>
  <c r="CL19" i="7"/>
  <c r="CH19" i="7"/>
  <c r="CE19" i="7"/>
  <c r="CA19" i="7"/>
  <c r="CA156" i="7" s="1"/>
  <c r="BV19" i="7"/>
  <c r="BT19" i="7"/>
  <c r="BT156" i="7" s="1"/>
  <c r="BQ19" i="7"/>
  <c r="BJ19" i="7"/>
  <c r="BJ156" i="7" s="1"/>
  <c r="BC19" i="7"/>
  <c r="BC156" i="7" s="1"/>
  <c r="AV19" i="7"/>
  <c r="AY19" i="7" s="1"/>
  <c r="AO19" i="7"/>
  <c r="AH19" i="7"/>
  <c r="AK19" i="7" s="1"/>
  <c r="AJ19" i="7" s="1"/>
  <c r="AA19" i="7"/>
  <c r="AD19" i="7" s="1"/>
  <c r="T19" i="7"/>
  <c r="M19" i="7"/>
  <c r="P19" i="7" s="1"/>
  <c r="O19" i="7" s="1"/>
  <c r="F19" i="7"/>
  <c r="I19" i="7" s="1"/>
  <c r="H19" i="7" s="1"/>
  <c r="DU15" i="7"/>
  <c r="DX15" i="7" s="1"/>
  <c r="DW15" i="7" s="1"/>
  <c r="DN15" i="7"/>
  <c r="DQ15" i="7" s="1"/>
  <c r="DP15" i="7" s="1"/>
  <c r="DG15" i="7"/>
  <c r="DJ15" i="7" s="1"/>
  <c r="DI15" i="7" s="1"/>
  <c r="DC15" i="7"/>
  <c r="CZ15" i="7"/>
  <c r="CV15" i="7"/>
  <c r="CS15" i="7"/>
  <c r="CO15" i="7"/>
  <c r="CJ15" i="7"/>
  <c r="CL15" i="7" s="1"/>
  <c r="CH15" i="7"/>
  <c r="CE15" i="7"/>
  <c r="CA15" i="7"/>
  <c r="BX15" i="7"/>
  <c r="BT15" i="7"/>
  <c r="BQ15" i="7"/>
  <c r="BM15" i="7"/>
  <c r="BJ15" i="7"/>
  <c r="BF15" i="7"/>
  <c r="BC15" i="7"/>
  <c r="AY15" i="7"/>
  <c r="AV15" i="7"/>
  <c r="M15" i="7"/>
  <c r="P15" i="7" s="1"/>
  <c r="F15" i="7"/>
  <c r="I15" i="7" s="1"/>
  <c r="H15" i="7" s="1"/>
  <c r="DM83" i="7"/>
  <c r="DH83" i="7"/>
  <c r="DE83" i="7"/>
  <c r="DA83" i="7"/>
  <c r="CR83" i="7"/>
  <c r="FV6" i="7"/>
  <c r="FU6" i="7"/>
  <c r="FT6" i="7"/>
  <c r="FS6" i="7"/>
  <c r="FR6" i="7"/>
  <c r="FQ6" i="7"/>
  <c r="FP6" i="7"/>
  <c r="FO6" i="7"/>
  <c r="FN6" i="7"/>
  <c r="FM6" i="7"/>
  <c r="FL6" i="7"/>
  <c r="FK6" i="7"/>
  <c r="FJ6" i="7"/>
  <c r="FI6" i="7"/>
  <c r="FH6" i="7"/>
  <c r="FG6" i="7"/>
  <c r="FF6" i="7"/>
  <c r="FE6" i="7"/>
  <c r="FD6" i="7"/>
  <c r="FC6" i="7"/>
  <c r="FB6" i="7"/>
  <c r="FA6" i="7"/>
  <c r="EZ6" i="7"/>
  <c r="EY6" i="7"/>
  <c r="EX6" i="7"/>
  <c r="EW6" i="7"/>
  <c r="EV6" i="7"/>
  <c r="EU6" i="7"/>
  <c r="ET6" i="7"/>
  <c r="ES6" i="7"/>
  <c r="ER6" i="7"/>
  <c r="DU6" i="7"/>
  <c r="DT6" i="7"/>
  <c r="DS6" i="7"/>
  <c r="DR6" i="7"/>
  <c r="DQ6" i="7"/>
  <c r="DP6" i="7"/>
  <c r="DO6" i="7"/>
  <c r="DN6" i="7"/>
  <c r="DM6" i="7"/>
  <c r="DL6" i="7"/>
  <c r="DK6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CV6" i="7"/>
  <c r="CU6" i="7"/>
  <c r="CT6" i="7"/>
  <c r="CS6" i="7"/>
  <c r="CR6" i="7"/>
  <c r="CQ6" i="7"/>
  <c r="CP6" i="7"/>
  <c r="CO6" i="7"/>
  <c r="CN6" i="7"/>
  <c r="CM6" i="7"/>
  <c r="CL6" i="7"/>
  <c r="CK6" i="7"/>
  <c r="CJ6" i="7"/>
  <c r="CI6" i="7"/>
  <c r="CH6" i="7"/>
  <c r="CG6" i="7"/>
  <c r="CF6" i="7"/>
  <c r="CE6" i="7"/>
  <c r="CD6" i="7"/>
  <c r="CC6" i="7"/>
  <c r="CB6" i="7"/>
  <c r="CA6" i="7"/>
  <c r="BZ6" i="7"/>
  <c r="BY6" i="7"/>
  <c r="BX6" i="7"/>
  <c r="BW6" i="7"/>
  <c r="BV6" i="7"/>
  <c r="BU6" i="7"/>
  <c r="BT6" i="7"/>
  <c r="BS6" i="7"/>
  <c r="BR6" i="7"/>
  <c r="BQ6" i="7"/>
  <c r="BP6" i="7"/>
  <c r="BO6" i="7"/>
  <c r="BN6" i="7"/>
  <c r="BM6" i="7"/>
  <c r="BL6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2" i="7"/>
  <c r="BD11" i="3" s="1"/>
  <c r="D100" i="4"/>
  <c r="L24" i="4"/>
  <c r="C8" i="4"/>
  <c r="I75" i="3"/>
  <c r="L23" i="3"/>
  <c r="L42" i="3" s="1"/>
  <c r="K23" i="3"/>
  <c r="K42" i="3" s="1"/>
  <c r="J23" i="3"/>
  <c r="J42" i="3" s="1"/>
  <c r="I23" i="3"/>
  <c r="I42" i="3" s="1"/>
  <c r="G23" i="3"/>
  <c r="G42" i="3" s="1"/>
  <c r="F23" i="3"/>
  <c r="F42" i="3" s="1"/>
  <c r="E23" i="3"/>
  <c r="E42" i="3" s="1"/>
  <c r="D23" i="3"/>
  <c r="D42" i="3" s="1"/>
  <c r="C23" i="3"/>
  <c r="C42" i="3" s="1"/>
  <c r="AM21" i="3"/>
  <c r="AM43" i="3" s="1"/>
  <c r="AL21" i="3"/>
  <c r="AL46" i="3" s="1"/>
  <c r="AL60" i="3" s="1"/>
  <c r="AK21" i="3"/>
  <c r="AK46" i="3" s="1"/>
  <c r="AJ21" i="3"/>
  <c r="AJ37" i="3" s="1"/>
  <c r="AI21" i="3"/>
  <c r="AI37" i="3" s="1"/>
  <c r="AH21" i="3"/>
  <c r="AH37" i="3" s="1"/>
  <c r="AG21" i="3"/>
  <c r="AG27" i="3" s="1"/>
  <c r="AF21" i="3"/>
  <c r="AF27" i="3" s="1"/>
  <c r="AF37" i="3" s="1"/>
  <c r="AF43" i="3" s="1"/>
  <c r="AF46" i="3" s="1"/>
  <c r="AE21" i="3"/>
  <c r="AE27" i="3" s="1"/>
  <c r="AE37" i="3" s="1"/>
  <c r="AE43" i="3" s="1"/>
  <c r="AE46" i="3" s="1"/>
  <c r="AD21" i="3"/>
  <c r="AD27" i="3" s="1"/>
  <c r="AD37" i="3" s="1"/>
  <c r="AD43" i="3" s="1"/>
  <c r="AD46" i="3" s="1"/>
  <c r="BB14" i="3"/>
  <c r="BE5" i="3"/>
  <c r="DO188" i="7" l="1"/>
  <c r="R6" i="3"/>
  <c r="R23" i="3" s="1"/>
  <c r="R42" i="3" s="1"/>
  <c r="S6" i="3"/>
  <c r="AT21" i="3" s="1"/>
  <c r="T6" i="3"/>
  <c r="T23" i="3" s="1"/>
  <c r="T42" i="3" s="1"/>
  <c r="AA6" i="3"/>
  <c r="U6" i="3"/>
  <c r="AV21" i="3" s="1"/>
  <c r="V6" i="3"/>
  <c r="AW21" i="3" s="1"/>
  <c r="Z6" i="3"/>
  <c r="BA21" i="3" s="1"/>
  <c r="N6" i="3"/>
  <c r="AO21" i="3" s="1"/>
  <c r="O6" i="3"/>
  <c r="O23" i="3" s="1"/>
  <c r="O42" i="3" s="1"/>
  <c r="W6" i="3"/>
  <c r="AX21" i="3" s="1"/>
  <c r="P6" i="3"/>
  <c r="P23" i="3" s="1"/>
  <c r="P42" i="3" s="1"/>
  <c r="X6" i="3"/>
  <c r="AY21" i="3" s="1"/>
  <c r="Q6" i="3"/>
  <c r="Y6" i="3"/>
  <c r="Y23" i="3" s="1"/>
  <c r="Y42" i="3" s="1"/>
  <c r="EW254" i="7"/>
  <c r="EW253" i="7" s="1"/>
  <c r="FE254" i="7"/>
  <c r="FM254" i="7"/>
  <c r="FU254" i="7"/>
  <c r="FU253" i="7" s="1"/>
  <c r="FI254" i="7"/>
  <c r="ET254" i="7"/>
  <c r="ET253" i="7" s="1"/>
  <c r="FB254" i="7"/>
  <c r="FJ254" i="7"/>
  <c r="EX254" i="7"/>
  <c r="FF254" i="7"/>
  <c r="FN254" i="7"/>
  <c r="FN253" i="7" s="1"/>
  <c r="FV254" i="7"/>
  <c r="FV253" i="7" s="1"/>
  <c r="ES254" i="7"/>
  <c r="ES253" i="7" s="1"/>
  <c r="FA254" i="7"/>
  <c r="FA253" i="7" s="1"/>
  <c r="FQ254" i="7"/>
  <c r="FR254" i="7"/>
  <c r="FR253" i="7" s="1"/>
  <c r="EU254" i="7"/>
  <c r="FK254" i="7"/>
  <c r="FK253" i="7" s="1"/>
  <c r="FS254" i="7"/>
  <c r="EV254" i="7"/>
  <c r="FD254" i="7"/>
  <c r="FD253" i="7" s="1"/>
  <c r="FL254" i="7"/>
  <c r="FT254" i="7"/>
  <c r="EY254" i="7"/>
  <c r="FG254" i="7"/>
  <c r="FG253" i="7" s="1"/>
  <c r="FO254" i="7"/>
  <c r="FO253" i="7" s="1"/>
  <c r="ER254" i="7"/>
  <c r="ER253" i="7" s="1"/>
  <c r="ER247" i="7" s="1"/>
  <c r="EZ254" i="7"/>
  <c r="EZ253" i="7" s="1"/>
  <c r="FH254" i="7"/>
  <c r="FH253" i="7" s="1"/>
  <c r="FP254" i="7"/>
  <c r="FC254" i="7"/>
  <c r="DT98" i="7"/>
  <c r="DM267" i="7"/>
  <c r="DX64" i="7"/>
  <c r="M6" i="3"/>
  <c r="M23" i="3" s="1"/>
  <c r="M42" i="3" s="1"/>
  <c r="DJ267" i="7"/>
  <c r="DL188" i="7"/>
  <c r="BA253" i="7"/>
  <c r="BA255" i="7" s="1"/>
  <c r="W17" i="3"/>
  <c r="Z17" i="3"/>
  <c r="AH174" i="7"/>
  <c r="AF174" i="7"/>
  <c r="AI174" i="7"/>
  <c r="DE188" i="7"/>
  <c r="S17" i="3"/>
  <c r="P17" i="3"/>
  <c r="BC30" i="7"/>
  <c r="BC21" i="7" s="1"/>
  <c r="AK30" i="7"/>
  <c r="AK167" i="7" s="1"/>
  <c r="N231" i="7"/>
  <c r="AI231" i="7"/>
  <c r="AL231" i="7"/>
  <c r="R231" i="7"/>
  <c r="AM231" i="7"/>
  <c r="K231" i="7"/>
  <c r="AF231" i="7"/>
  <c r="F231" i="7"/>
  <c r="J231" i="7"/>
  <c r="AE231" i="7"/>
  <c r="T231" i="7"/>
  <c r="DX66" i="7"/>
  <c r="DV268" i="7"/>
  <c r="U231" i="7"/>
  <c r="D231" i="7"/>
  <c r="Y231" i="7"/>
  <c r="DB65" i="7"/>
  <c r="DB104" i="7" s="1"/>
  <c r="G231" i="7"/>
  <c r="AB231" i="7"/>
  <c r="BC78" i="7"/>
  <c r="BE22" i="7"/>
  <c r="BK83" i="7"/>
  <c r="DU132" i="7"/>
  <c r="DU142" i="7" s="1"/>
  <c r="DX141" i="7" s="1"/>
  <c r="DX144" i="7" s="1"/>
  <c r="Y48" i="7"/>
  <c r="Y315" i="7" s="1"/>
  <c r="AG48" i="7"/>
  <c r="AG36" i="7" s="1"/>
  <c r="CU152" i="7"/>
  <c r="CU154" i="7" s="1"/>
  <c r="CU155" i="7" s="1"/>
  <c r="DZ268" i="7"/>
  <c r="AT132" i="7"/>
  <c r="AT142" i="7" s="1"/>
  <c r="AU141" i="7" s="1"/>
  <c r="CS22" i="7"/>
  <c r="AZ152" i="7"/>
  <c r="CU22" i="7"/>
  <c r="BC22" i="7"/>
  <c r="Q231" i="7"/>
  <c r="H38" i="3"/>
  <c r="BF78" i="7"/>
  <c r="AK77" i="7"/>
  <c r="CQ113" i="7"/>
  <c r="CQ164" i="7" s="1"/>
  <c r="BS231" i="7"/>
  <c r="CF231" i="7"/>
  <c r="CT231" i="7"/>
  <c r="DE231" i="7"/>
  <c r="DO231" i="7"/>
  <c r="AI83" i="7"/>
  <c r="DX44" i="7"/>
  <c r="DW77" i="7"/>
  <c r="DY141" i="7"/>
  <c r="EB141" i="7" s="1"/>
  <c r="DU22" i="7"/>
  <c r="DW313" i="7"/>
  <c r="DW158" i="7"/>
  <c r="DW155" i="7"/>
  <c r="DV122" i="7"/>
  <c r="DX122" i="7"/>
  <c r="DU285" i="7"/>
  <c r="DW283" i="7"/>
  <c r="DX46" i="7"/>
  <c r="DS152" i="7"/>
  <c r="DY152" i="7"/>
  <c r="DY154" i="7" s="1"/>
  <c r="DV123" i="7"/>
  <c r="DX123" i="7"/>
  <c r="DX312" i="7"/>
  <c r="DX43" i="7"/>
  <c r="DW60" i="7"/>
  <c r="DW146" i="7" s="1"/>
  <c r="DW268" i="7"/>
  <c r="BS22" i="7"/>
  <c r="CY199" i="7"/>
  <c r="DV242" i="7"/>
  <c r="W132" i="7"/>
  <c r="W142" i="7" s="1"/>
  <c r="P89" i="7"/>
  <c r="BM132" i="7"/>
  <c r="BM142" i="7" s="1"/>
  <c r="CE132" i="7"/>
  <c r="CE134" i="7" s="1"/>
  <c r="CE236" i="7" s="1"/>
  <c r="H68" i="3"/>
  <c r="CZ132" i="7"/>
  <c r="CZ142" i="7" s="1"/>
  <c r="DC141" i="7" s="1"/>
  <c r="DQ267" i="7"/>
  <c r="DR265" i="7"/>
  <c r="DT117" i="7"/>
  <c r="DV117" i="7"/>
  <c r="DW117" i="7" s="1"/>
  <c r="DU128" i="7"/>
  <c r="DX128" i="7" s="1"/>
  <c r="DV114" i="7"/>
  <c r="DW114" i="7" s="1"/>
  <c r="DV152" i="7"/>
  <c r="DV154" i="7" s="1"/>
  <c r="DQ43" i="7"/>
  <c r="BS83" i="7"/>
  <c r="AN132" i="7"/>
  <c r="AN142" i="7" s="1"/>
  <c r="BJ22" i="7"/>
  <c r="BN152" i="7"/>
  <c r="AA188" i="7"/>
  <c r="AL188" i="7"/>
  <c r="AK132" i="7"/>
  <c r="AK142" i="7" s="1"/>
  <c r="DM231" i="7"/>
  <c r="S207" i="7"/>
  <c r="DH207" i="7"/>
  <c r="DH208" i="7" s="1"/>
  <c r="CJ82" i="7"/>
  <c r="BT131" i="7"/>
  <c r="CN65" i="7"/>
  <c r="CN104" i="7" s="1"/>
  <c r="DL231" i="7"/>
  <c r="AB82" i="7"/>
  <c r="CY128" i="7"/>
  <c r="AO134" i="7"/>
  <c r="AO238" i="7" s="1"/>
  <c r="EU120" i="7"/>
  <c r="FR197" i="7"/>
  <c r="FS120" i="7"/>
  <c r="FS297" i="7" s="1"/>
  <c r="FP120" i="7"/>
  <c r="FP297" i="7" s="1"/>
  <c r="DK168" i="7"/>
  <c r="CJ89" i="7"/>
  <c r="BQ247" i="7"/>
  <c r="BQ253" i="7" s="1"/>
  <c r="BQ255" i="7" s="1"/>
  <c r="CS255" i="7"/>
  <c r="CS121" i="7" s="1"/>
  <c r="BR246" i="7"/>
  <c r="CS83" i="7"/>
  <c r="DF16" i="7"/>
  <c r="E131" i="7"/>
  <c r="AS153" i="7"/>
  <c r="AS154" i="7" s="1"/>
  <c r="CP168" i="7"/>
  <c r="DJ168" i="7"/>
  <c r="S132" i="7"/>
  <c r="S142" i="7" s="1"/>
  <c r="S144" i="7" s="1"/>
  <c r="S145" i="7" s="1"/>
  <c r="CL132" i="7"/>
  <c r="CL142" i="7" s="1"/>
  <c r="CO141" i="7" s="1"/>
  <c r="DF207" i="7"/>
  <c r="DF208" i="7" s="1"/>
  <c r="BG153" i="7"/>
  <c r="AJ82" i="7"/>
  <c r="AU83" i="7"/>
  <c r="AD131" i="7"/>
  <c r="BT132" i="7"/>
  <c r="BT142" i="7" s="1"/>
  <c r="BH152" i="7"/>
  <c r="BP82" i="7"/>
  <c r="CZ22" i="7"/>
  <c r="H110" i="7"/>
  <c r="AC110" i="7"/>
  <c r="CD128" i="7"/>
  <c r="DU152" i="7"/>
  <c r="AT153" i="7"/>
  <c r="Y174" i="7"/>
  <c r="W48" i="7"/>
  <c r="AO22" i="7"/>
  <c r="AS43" i="7"/>
  <c r="CI43" i="7"/>
  <c r="AS64" i="7"/>
  <c r="CI64" i="7"/>
  <c r="BN69" i="7"/>
  <c r="DP108" i="7"/>
  <c r="DJ132" i="7"/>
  <c r="DJ142" i="7" s="1"/>
  <c r="AO152" i="7"/>
  <c r="BJ152" i="7"/>
  <c r="CG153" i="7"/>
  <c r="M179" i="7"/>
  <c r="V192" i="7"/>
  <c r="V132" i="7" s="1"/>
  <c r="CX199" i="7"/>
  <c r="BH82" i="7"/>
  <c r="I131" i="7"/>
  <c r="L122" i="7"/>
  <c r="N122" i="7" s="1"/>
  <c r="BB132" i="7"/>
  <c r="BB142" i="7" s="1"/>
  <c r="DR153" i="7"/>
  <c r="J16" i="7"/>
  <c r="J17" i="7" s="1"/>
  <c r="J225" i="7" s="1"/>
  <c r="BJ70" i="7"/>
  <c r="Q48" i="7"/>
  <c r="Q57" i="7" s="1"/>
  <c r="BT61" i="7"/>
  <c r="EX120" i="7"/>
  <c r="CR121" i="7"/>
  <c r="CR124" i="7" s="1"/>
  <c r="AY131" i="7"/>
  <c r="BZ134" i="7"/>
  <c r="BZ238" i="7" s="1"/>
  <c r="DC131" i="7"/>
  <c r="CA132" i="7"/>
  <c r="CA142" i="7" s="1"/>
  <c r="AX152" i="7"/>
  <c r="H153" i="7"/>
  <c r="CO168" i="7"/>
  <c r="BX132" i="7"/>
  <c r="BX142" i="7" s="1"/>
  <c r="CA141" i="7" s="1"/>
  <c r="CO206" i="7"/>
  <c r="CP206" i="7" s="1"/>
  <c r="E67" i="3" s="1"/>
  <c r="AH22" i="7"/>
  <c r="DN22" i="7"/>
  <c r="H131" i="7"/>
  <c r="BW153" i="7"/>
  <c r="T179" i="7"/>
  <c r="AO179" i="7"/>
  <c r="AO189" i="7" s="1"/>
  <c r="DG218" i="7"/>
  <c r="AY30" i="7"/>
  <c r="AJ22" i="7"/>
  <c r="DP22" i="7"/>
  <c r="BF77" i="7"/>
  <c r="BU132" i="7"/>
  <c r="I153" i="7"/>
  <c r="J153" i="7" s="1"/>
  <c r="M152" i="7" s="1"/>
  <c r="DB207" i="7"/>
  <c r="DB208" i="7" s="1"/>
  <c r="BH231" i="7"/>
  <c r="BY231" i="7"/>
  <c r="CK231" i="7"/>
  <c r="CF246" i="7"/>
  <c r="BX22" i="7"/>
  <c r="I173" i="7"/>
  <c r="BC132" i="7"/>
  <c r="BC142" i="7" s="1"/>
  <c r="BF141" i="7" s="1"/>
  <c r="BB247" i="7"/>
  <c r="BW113" i="7"/>
  <c r="BZ22" i="7"/>
  <c r="AL134" i="7"/>
  <c r="U153" i="7"/>
  <c r="V152" i="7" s="1"/>
  <c r="AC132" i="7"/>
  <c r="BO83" i="7"/>
  <c r="DQ46" i="7"/>
  <c r="DQ44" i="7"/>
  <c r="CO156" i="7"/>
  <c r="CO158" i="7" s="1"/>
  <c r="R179" i="7"/>
  <c r="AB179" i="7"/>
  <c r="BX78" i="7"/>
  <c r="Q134" i="7"/>
  <c r="Q236" i="7" s="1"/>
  <c r="DO134" i="7"/>
  <c r="CI132" i="7"/>
  <c r="CI142" i="7" s="1"/>
  <c r="CP141" i="7" s="1"/>
  <c r="BD82" i="7"/>
  <c r="W30" i="7"/>
  <c r="W112" i="7" s="1"/>
  <c r="BJ83" i="7"/>
  <c r="X82" i="7"/>
  <c r="AT83" i="7"/>
  <c r="DU78" i="7"/>
  <c r="DY78" i="7" s="1"/>
  <c r="E132" i="7"/>
  <c r="Z132" i="7"/>
  <c r="Z142" i="7" s="1"/>
  <c r="DD132" i="7"/>
  <c r="DD142" i="7" s="1"/>
  <c r="DK141" i="7" s="1"/>
  <c r="G75" i="3"/>
  <c r="S83" i="7"/>
  <c r="FD197" i="7"/>
  <c r="FE120" i="7"/>
  <c r="DI22" i="7"/>
  <c r="CB64" i="7"/>
  <c r="AA70" i="7"/>
  <c r="FB120" i="7"/>
  <c r="AY132" i="7"/>
  <c r="AY142" i="7" s="1"/>
  <c r="BZ152" i="7"/>
  <c r="M153" i="7"/>
  <c r="DE153" i="7"/>
  <c r="U179" i="7"/>
  <c r="AF179" i="7"/>
  <c r="BQ132" i="7"/>
  <c r="BQ142" i="7" s="1"/>
  <c r="BT141" i="7" s="1"/>
  <c r="CN82" i="7"/>
  <c r="CV82" i="7"/>
  <c r="AM83" i="7"/>
  <c r="CY134" i="7"/>
  <c r="CY238" i="7" s="1"/>
  <c r="DG132" i="7"/>
  <c r="DG142" i="7" s="1"/>
  <c r="DJ141" i="7" s="1"/>
  <c r="AS231" i="7"/>
  <c r="BW231" i="7"/>
  <c r="DG231" i="7"/>
  <c r="AT152" i="7"/>
  <c r="M174" i="7"/>
  <c r="L82" i="7"/>
  <c r="DG22" i="7"/>
  <c r="BR134" i="7"/>
  <c r="CH132" i="7"/>
  <c r="CH142" i="7" s="1"/>
  <c r="BO153" i="7"/>
  <c r="P132" i="7"/>
  <c r="P142" i="7" s="1"/>
  <c r="P144" i="7" s="1"/>
  <c r="BF132" i="7"/>
  <c r="BF142" i="7" s="1"/>
  <c r="BQ22" i="7"/>
  <c r="W131" i="7"/>
  <c r="AV152" i="7"/>
  <c r="AH153" i="7"/>
  <c r="AI152" i="7" s="1"/>
  <c r="AI154" i="7" s="1"/>
  <c r="AI155" i="7" s="1"/>
  <c r="DQ168" i="7"/>
  <c r="BP113" i="7"/>
  <c r="BP164" i="7" s="1"/>
  <c r="BC83" i="7"/>
  <c r="AD83" i="7"/>
  <c r="W83" i="7"/>
  <c r="CE22" i="7"/>
  <c r="BV128" i="7"/>
  <c r="P131" i="7"/>
  <c r="DB134" i="7"/>
  <c r="DB238" i="7" s="1"/>
  <c r="U152" i="7"/>
  <c r="BW188" i="7"/>
  <c r="BP231" i="7"/>
  <c r="CC231" i="7"/>
  <c r="CQ231" i="7"/>
  <c r="DA231" i="7"/>
  <c r="DL82" i="7"/>
  <c r="AQ22" i="7"/>
  <c r="BE110" i="7"/>
  <c r="AK131" i="7"/>
  <c r="AS134" i="7"/>
  <c r="BF131" i="7"/>
  <c r="AD132" i="7"/>
  <c r="AD142" i="7" s="1"/>
  <c r="CG22" i="7"/>
  <c r="AK118" i="7"/>
  <c r="BP118" i="7"/>
  <c r="BA134" i="7"/>
  <c r="CO131" i="7"/>
  <c r="DJ131" i="7"/>
  <c r="DQ132" i="7"/>
  <c r="DQ142" i="7" s="1"/>
  <c r="AB153" i="7"/>
  <c r="AC152" i="7" s="1"/>
  <c r="R188" i="7"/>
  <c r="AB188" i="7"/>
  <c r="AM188" i="7"/>
  <c r="FL120" i="7"/>
  <c r="FL297" i="7" s="1"/>
  <c r="CG188" i="7"/>
  <c r="E53" i="3"/>
  <c r="P82" i="7"/>
  <c r="AZ43" i="7"/>
  <c r="I77" i="7"/>
  <c r="DK65" i="7"/>
  <c r="DK104" i="7" s="1"/>
  <c r="H25" i="3" s="1"/>
  <c r="AR132" i="7"/>
  <c r="AR142" i="7" s="1"/>
  <c r="CS132" i="7"/>
  <c r="CS142" i="7" s="1"/>
  <c r="CV141" i="7" s="1"/>
  <c r="R153" i="7"/>
  <c r="S152" i="7" s="1"/>
  <c r="R174" i="7"/>
  <c r="AA179" i="7"/>
  <c r="AV179" i="7"/>
  <c r="CS218" i="7"/>
  <c r="DN218" i="7"/>
  <c r="FA77" i="7"/>
  <c r="DP64" i="7"/>
  <c r="DG77" i="7"/>
  <c r="BG54" i="7"/>
  <c r="CW54" i="7"/>
  <c r="BW30" i="7"/>
  <c r="V121" i="7"/>
  <c r="AQ121" i="7"/>
  <c r="DB188" i="7"/>
  <c r="F75" i="3"/>
  <c r="P30" i="7"/>
  <c r="P112" i="7" s="1"/>
  <c r="FV123" i="7"/>
  <c r="L132" i="7"/>
  <c r="L142" i="7" s="1"/>
  <c r="BE132" i="7"/>
  <c r="BE142" i="7" s="1"/>
  <c r="BV132" i="7"/>
  <c r="BV142" i="7" s="1"/>
  <c r="BW141" i="7" s="1"/>
  <c r="CO132" i="7"/>
  <c r="DK132" i="7"/>
  <c r="DK142" i="7" s="1"/>
  <c r="D75" i="3"/>
  <c r="AV22" i="7"/>
  <c r="CN22" i="7"/>
  <c r="CI69" i="7"/>
  <c r="ET77" i="7"/>
  <c r="ET78" i="7"/>
  <c r="FO78" i="7"/>
  <c r="CV131" i="7"/>
  <c r="DC132" i="7"/>
  <c r="DC142" i="7" s="1"/>
  <c r="AV174" i="7"/>
  <c r="AU174" i="7" s="1"/>
  <c r="AX22" i="7"/>
  <c r="CB46" i="7"/>
  <c r="DD68" i="7"/>
  <c r="FH123" i="7"/>
  <c r="AA37" i="3" s="1"/>
  <c r="BM131" i="7"/>
  <c r="DQ131" i="7"/>
  <c r="CD152" i="7"/>
  <c r="AA153" i="7"/>
  <c r="AA174" i="7"/>
  <c r="CI184" i="7"/>
  <c r="CA193" i="7"/>
  <c r="CB193" i="7" s="1"/>
  <c r="C57" i="3" s="1"/>
  <c r="BR231" i="7"/>
  <c r="CR231" i="7"/>
  <c r="FI120" i="7"/>
  <c r="FI297" i="7" s="1"/>
  <c r="CN152" i="7"/>
  <c r="CL22" i="7"/>
  <c r="BG53" i="7"/>
  <c r="Q174" i="7"/>
  <c r="J189" i="7"/>
  <c r="U188" i="7"/>
  <c r="AF188" i="7"/>
  <c r="P123" i="7"/>
  <c r="DC29" i="7"/>
  <c r="AR77" i="7"/>
  <c r="AJ110" i="7"/>
  <c r="FV78" i="7"/>
  <c r="DD56" i="7"/>
  <c r="BM77" i="7"/>
  <c r="FH125" i="7"/>
  <c r="AA39" i="3" s="1"/>
  <c r="AW192" i="7"/>
  <c r="AW199" i="7" s="1"/>
  <c r="CW46" i="7"/>
  <c r="CI19" i="7"/>
  <c r="CI61" i="7" s="1"/>
  <c r="CI46" i="7"/>
  <c r="EW113" i="7"/>
  <c r="P31" i="3" s="1"/>
  <c r="DN174" i="7"/>
  <c r="DJ122" i="7"/>
  <c r="DI122" i="7" s="1"/>
  <c r="CW15" i="7"/>
  <c r="CI20" i="7"/>
  <c r="J37" i="3"/>
  <c r="FO125" i="7"/>
  <c r="I178" i="7"/>
  <c r="H178" i="7" s="1"/>
  <c r="H179" i="7" s="1"/>
  <c r="BZ121" i="7"/>
  <c r="CA121" i="7" s="1"/>
  <c r="CV29" i="7"/>
  <c r="H121" i="7"/>
  <c r="DU174" i="7"/>
  <c r="AO279" i="7"/>
  <c r="AO281" i="7" s="1"/>
  <c r="CI15" i="7"/>
  <c r="CI66" i="7"/>
  <c r="AQ110" i="7"/>
  <c r="CJ175" i="7"/>
  <c r="BF193" i="7"/>
  <c r="BE193" i="7" s="1"/>
  <c r="BE199" i="7" s="1"/>
  <c r="CW20" i="7"/>
  <c r="BJ78" i="7"/>
  <c r="AF268" i="7"/>
  <c r="BC124" i="7"/>
  <c r="AG174" i="7"/>
  <c r="M44" i="7"/>
  <c r="DD53" i="7"/>
  <c r="AX60" i="7"/>
  <c r="AX146" i="7" s="1"/>
  <c r="AX148" i="7" s="1"/>
  <c r="BM48" i="7"/>
  <c r="BM315" i="7" s="1"/>
  <c r="CI44" i="7"/>
  <c r="DJ53" i="7"/>
  <c r="DI53" i="7" s="1"/>
  <c r="DI77" i="7" s="1"/>
  <c r="DJ77" i="7" s="1"/>
  <c r="BZ65" i="7"/>
  <c r="BG43" i="7"/>
  <c r="CO43" i="7"/>
  <c r="CP43" i="7" s="1"/>
  <c r="BU52" i="7"/>
  <c r="CW66" i="7"/>
  <c r="AO77" i="7"/>
  <c r="CS77" i="7"/>
  <c r="CW77" i="7" s="1"/>
  <c r="AR122" i="7"/>
  <c r="AQ122" i="7" s="1"/>
  <c r="BX181" i="7"/>
  <c r="BX188" i="7" s="1"/>
  <c r="BB193" i="7"/>
  <c r="BB199" i="7" s="1"/>
  <c r="BE70" i="7"/>
  <c r="BL110" i="7"/>
  <c r="V116" i="7"/>
  <c r="V165" i="7" s="1"/>
  <c r="Z193" i="7"/>
  <c r="Z199" i="7" s="1"/>
  <c r="DQ178" i="7"/>
  <c r="DP178" i="7" s="1"/>
  <c r="BM193" i="7"/>
  <c r="BN193" i="7" s="1"/>
  <c r="DG255" i="7"/>
  <c r="DG121" i="7" s="1"/>
  <c r="DJ121" i="7" s="1"/>
  <c r="DI121" i="7" s="1"/>
  <c r="J265" i="7"/>
  <c r="CW265" i="7"/>
  <c r="CW267" i="7" s="1"/>
  <c r="BN66" i="7"/>
  <c r="CP66" i="7"/>
  <c r="CO68" i="7"/>
  <c r="CO105" i="7" s="1"/>
  <c r="AH77" i="7"/>
  <c r="CE78" i="7"/>
  <c r="CY117" i="7"/>
  <c r="CZ117" i="7" s="1"/>
  <c r="FO117" i="7"/>
  <c r="BP121" i="7"/>
  <c r="BQ121" i="7" s="1"/>
  <c r="BR121" i="7" s="1"/>
  <c r="BR124" i="7" s="1"/>
  <c r="AQ275" i="7"/>
  <c r="AQ277" i="7" s="1"/>
  <c r="CE83" i="7"/>
  <c r="AD89" i="7"/>
  <c r="ET125" i="7"/>
  <c r="M39" i="3" s="1"/>
  <c r="CA267" i="7"/>
  <c r="CH78" i="7"/>
  <c r="CH146" i="7"/>
  <c r="CH148" i="7" s="1"/>
  <c r="DN146" i="7"/>
  <c r="DN148" i="7" s="1"/>
  <c r="DQ174" i="7"/>
  <c r="DP174" i="7" s="1"/>
  <c r="AH16" i="7"/>
  <c r="BN15" i="7"/>
  <c r="CE29" i="7"/>
  <c r="CE30" i="7" s="1"/>
  <c r="CE167" i="7" s="1"/>
  <c r="CE169" i="7" s="1"/>
  <c r="I44" i="7"/>
  <c r="I48" i="7" s="1"/>
  <c r="P44" i="7"/>
  <c r="P77" i="7"/>
  <c r="AS53" i="7"/>
  <c r="DC61" i="7"/>
  <c r="CH70" i="7"/>
  <c r="CS68" i="7"/>
  <c r="CW68" i="7" s="1"/>
  <c r="AC70" i="7"/>
  <c r="BJ77" i="7"/>
  <c r="FH77" i="7"/>
  <c r="AX110" i="7"/>
  <c r="CW184" i="7"/>
  <c r="CV168" i="7"/>
  <c r="DQ165" i="7"/>
  <c r="DP116" i="7"/>
  <c r="DP165" i="7" s="1"/>
  <c r="AT247" i="7"/>
  <c r="AA22" i="7"/>
  <c r="CH29" i="7"/>
  <c r="CS29" i="7"/>
  <c r="DN29" i="7"/>
  <c r="DQ29" i="7" s="1"/>
  <c r="DP29" i="7" s="1"/>
  <c r="DD44" i="7"/>
  <c r="AS52" i="7"/>
  <c r="CW52" i="7"/>
  <c r="BU56" i="7"/>
  <c r="P60" i="7"/>
  <c r="P146" i="7" s="1"/>
  <c r="P148" i="7" s="1"/>
  <c r="DG60" i="7"/>
  <c r="DJ60" i="7" s="1"/>
  <c r="DI60" i="7" s="1"/>
  <c r="AF65" i="7"/>
  <c r="AF104" i="7" s="1"/>
  <c r="BC61" i="7"/>
  <c r="BC65" i="7" s="1"/>
  <c r="BC104" i="7" s="1"/>
  <c r="AS66" i="7"/>
  <c r="BU68" i="7"/>
  <c r="BU105" i="7" s="1"/>
  <c r="CH77" i="7"/>
  <c r="AY165" i="7"/>
  <c r="AX116" i="7"/>
  <c r="AX165" i="7" s="1"/>
  <c r="CX134" i="7"/>
  <c r="CX238" i="7" s="1"/>
  <c r="AE188" i="7"/>
  <c r="DN132" i="7"/>
  <c r="DN142" i="7" s="1"/>
  <c r="DQ141" i="7" s="1"/>
  <c r="DD19" i="7"/>
  <c r="EZ19" i="7"/>
  <c r="EZ61" i="7" s="1"/>
  <c r="BL22" i="7"/>
  <c r="DB22" i="7"/>
  <c r="DR30" i="7"/>
  <c r="DG29" i="7"/>
  <c r="AO48" i="7"/>
  <c r="AO315" i="7" s="1"/>
  <c r="CL44" i="7"/>
  <c r="CP44" i="7" s="1"/>
  <c r="AS54" i="7"/>
  <c r="DQ55" i="7"/>
  <c r="DP55" i="7" s="1"/>
  <c r="DP77" i="7" s="1"/>
  <c r="CV61" i="7"/>
  <c r="AE64" i="7"/>
  <c r="AE65" i="7" s="1"/>
  <c r="BU64" i="7"/>
  <c r="DD66" i="7"/>
  <c r="FA117" i="7"/>
  <c r="CI173" i="7"/>
  <c r="CI131" i="7" s="1"/>
  <c r="CH131" i="7"/>
  <c r="DU131" i="7"/>
  <c r="AP153" i="7"/>
  <c r="AQ152" i="7"/>
  <c r="AP174" i="7"/>
  <c r="AC22" i="7"/>
  <c r="P70" i="7"/>
  <c r="Q124" i="7"/>
  <c r="Q127" i="7" s="1"/>
  <c r="P122" i="7"/>
  <c r="DB152" i="7"/>
  <c r="DB154" i="7" s="1"/>
  <c r="DB155" i="7" s="1"/>
  <c r="DA153" i="7"/>
  <c r="DS153" i="7"/>
  <c r="DT152" i="7"/>
  <c r="N179" i="7"/>
  <c r="N189" i="7" s="1"/>
  <c r="N153" i="7"/>
  <c r="O152" i="7" s="1"/>
  <c r="O154" i="7" s="1"/>
  <c r="BL188" i="7"/>
  <c r="BM181" i="7"/>
  <c r="BM188" i="7" s="1"/>
  <c r="BC188" i="7"/>
  <c r="BB185" i="7"/>
  <c r="BB188" i="7" s="1"/>
  <c r="CB15" i="7"/>
  <c r="DA30" i="7"/>
  <c r="DA291" i="7" s="1"/>
  <c r="CZ29" i="7"/>
  <c r="DU29" i="7"/>
  <c r="DX29" i="7" s="1"/>
  <c r="DW29" i="7" s="1"/>
  <c r="BG44" i="7"/>
  <c r="BU54" i="7"/>
  <c r="CH61" i="7"/>
  <c r="CH65" i="7" s="1"/>
  <c r="BG64" i="7"/>
  <c r="BU66" i="7"/>
  <c r="DF70" i="7"/>
  <c r="DF105" i="7" s="1"/>
  <c r="BQ77" i="7"/>
  <c r="FV77" i="7"/>
  <c r="O110" i="7"/>
  <c r="BK153" i="7"/>
  <c r="I192" i="7"/>
  <c r="J132" i="7"/>
  <c r="J142" i="7" s="1"/>
  <c r="Q141" i="7" s="1"/>
  <c r="R141" i="7" s="1"/>
  <c r="R144" i="7" s="1"/>
  <c r="R145" i="7" s="1"/>
  <c r="CO267" i="7"/>
  <c r="CV268" i="7" s="1"/>
  <c r="CP265" i="7"/>
  <c r="CP267" i="7" s="1"/>
  <c r="CL78" i="7"/>
  <c r="BZ123" i="7"/>
  <c r="CA123" i="7" s="1"/>
  <c r="L37" i="3"/>
  <c r="AR131" i="7"/>
  <c r="BJ134" i="7"/>
  <c r="BJ238" i="7" s="1"/>
  <c r="CD134" i="7"/>
  <c r="CD237" i="7" s="1"/>
  <c r="AO146" i="7"/>
  <c r="DU146" i="7"/>
  <c r="DU148" i="7" s="1"/>
  <c r="CT192" i="7"/>
  <c r="DL199" i="7"/>
  <c r="AM199" i="7"/>
  <c r="AM208" i="7" s="1"/>
  <c r="P207" i="7"/>
  <c r="BL208" i="7"/>
  <c r="CL213" i="7"/>
  <c r="CL218" i="7" s="1"/>
  <c r="BO231" i="7"/>
  <c r="CV255" i="7"/>
  <c r="CV121" i="7" s="1"/>
  <c r="CJ268" i="7"/>
  <c r="DP283" i="7"/>
  <c r="DQ122" i="7"/>
  <c r="DP122" i="7" s="1"/>
  <c r="I123" i="7"/>
  <c r="I124" i="7" s="1"/>
  <c r="DD123" i="7"/>
  <c r="G37" i="3" s="1"/>
  <c r="G134" i="7"/>
  <c r="G236" i="7" s="1"/>
  <c r="CE146" i="7"/>
  <c r="CE148" i="7" s="1"/>
  <c r="CM158" i="7"/>
  <c r="BF174" i="7"/>
  <c r="BE174" i="7" s="1"/>
  <c r="BX218" i="7"/>
  <c r="BG247" i="7"/>
  <c r="BG253" i="7" s="1"/>
  <c r="CN247" i="7"/>
  <c r="CI248" i="7"/>
  <c r="CA255" i="7"/>
  <c r="DD108" i="7"/>
  <c r="W118" i="7"/>
  <c r="AN118" i="7"/>
  <c r="BX115" i="7"/>
  <c r="BZ115" i="7" s="1"/>
  <c r="CA115" i="7" s="1"/>
  <c r="CB115" i="7" s="1"/>
  <c r="FV117" i="7"/>
  <c r="CE255" i="7"/>
  <c r="AU122" i="7"/>
  <c r="AU124" i="7" s="1"/>
  <c r="FV125" i="7"/>
  <c r="CA131" i="7"/>
  <c r="AI179" i="7"/>
  <c r="DI188" i="7"/>
  <c r="D199" i="7"/>
  <c r="D208" i="7" s="1"/>
  <c r="AY207" i="7"/>
  <c r="BH247" i="7"/>
  <c r="CG250" i="7"/>
  <c r="AE265" i="7"/>
  <c r="AE267" i="7" s="1"/>
  <c r="AQ114" i="7"/>
  <c r="FH117" i="7"/>
  <c r="X127" i="7"/>
  <c r="DS124" i="7"/>
  <c r="K37" i="3"/>
  <c r="U134" i="7"/>
  <c r="U237" i="7" s="1"/>
  <c r="AM134" i="7"/>
  <c r="DL148" i="7"/>
  <c r="CL156" i="7"/>
  <c r="BQ174" i="7"/>
  <c r="BS188" i="7"/>
  <c r="L188" i="7"/>
  <c r="DA188" i="7"/>
  <c r="DJ185" i="7"/>
  <c r="DK185" i="7" s="1"/>
  <c r="H51" i="3" s="1"/>
  <c r="H53" i="3" s="1"/>
  <c r="DT188" i="7"/>
  <c r="DT199" i="7"/>
  <c r="DS207" i="7"/>
  <c r="DE208" i="7"/>
  <c r="DN206" i="7"/>
  <c r="DN207" i="7" s="1"/>
  <c r="DS231" i="7"/>
  <c r="CZ255" i="7"/>
  <c r="CZ121" i="7" s="1"/>
  <c r="CZ124" i="7" s="1"/>
  <c r="BT267" i="7"/>
  <c r="AA267" i="7"/>
  <c r="AN281" i="7"/>
  <c r="AP283" i="7" s="1"/>
  <c r="AP285" i="7" s="1"/>
  <c r="AP120" i="7" s="1"/>
  <c r="BB174" i="7"/>
  <c r="BB175" i="7" s="1"/>
  <c r="CK188" i="7"/>
  <c r="BI185" i="7"/>
  <c r="BI188" i="7" s="1"/>
  <c r="BQ185" i="7"/>
  <c r="BQ188" i="7" s="1"/>
  <c r="L207" i="7"/>
  <c r="AG207" i="7"/>
  <c r="DG203" i="7"/>
  <c r="DG207" i="7" s="1"/>
  <c r="CV206" i="7"/>
  <c r="DU218" i="7"/>
  <c r="DH231" i="7"/>
  <c r="K268" i="7"/>
  <c r="CD104" i="7"/>
  <c r="AW104" i="7"/>
  <c r="V110" i="7"/>
  <c r="BA104" i="7"/>
  <c r="BO104" i="7"/>
  <c r="DH112" i="7"/>
  <c r="C62" i="4"/>
  <c r="C67" i="4" s="1"/>
  <c r="DJ29" i="7"/>
  <c r="CW44" i="7"/>
  <c r="BG52" i="7"/>
  <c r="CB52" i="7"/>
  <c r="AZ54" i="7"/>
  <c r="DD54" i="7"/>
  <c r="DO104" i="7"/>
  <c r="BB65" i="7"/>
  <c r="CA78" i="7"/>
  <c r="DP69" i="7"/>
  <c r="DP78" i="7" s="1"/>
  <c r="AV70" i="7"/>
  <c r="CA77" i="7"/>
  <c r="CZ77" i="7"/>
  <c r="DD77" i="7" s="1"/>
  <c r="DN77" i="7"/>
  <c r="G78" i="7"/>
  <c r="I78" i="7" s="1"/>
  <c r="FA78" i="7"/>
  <c r="CQ128" i="7"/>
  <c r="AQ116" i="7"/>
  <c r="AQ165" i="7" s="1"/>
  <c r="BD116" i="7"/>
  <c r="BD165" i="7" s="1"/>
  <c r="CM117" i="7"/>
  <c r="CN117" i="7" s="1"/>
  <c r="CO117" i="7" s="1"/>
  <c r="CP117" i="7" s="1"/>
  <c r="ET117" i="7"/>
  <c r="BD120" i="7"/>
  <c r="BD297" i="7" s="1"/>
  <c r="CE120" i="7"/>
  <c r="CF120" i="7" s="1"/>
  <c r="DP121" i="7"/>
  <c r="K127" i="7"/>
  <c r="AG122" i="7"/>
  <c r="AI122" i="7" s="1"/>
  <c r="AY122" i="7"/>
  <c r="AY124" i="7" s="1"/>
  <c r="BH179" i="7"/>
  <c r="BH153" i="7"/>
  <c r="BI152" i="7"/>
  <c r="DO179" i="7"/>
  <c r="DO153" i="7"/>
  <c r="DP152" i="7"/>
  <c r="CE246" i="7"/>
  <c r="CE251" i="7" s="1"/>
  <c r="CI246" i="7"/>
  <c r="AI27" i="3"/>
  <c r="DM30" i="7"/>
  <c r="CB43" i="7"/>
  <c r="BY104" i="7"/>
  <c r="CJ77" i="7"/>
  <c r="CL77" i="7" s="1"/>
  <c r="BI65" i="7"/>
  <c r="BJ65" i="7" s="1"/>
  <c r="BJ104" i="7" s="1"/>
  <c r="DT164" i="7"/>
  <c r="CR118" i="7"/>
  <c r="BR179" i="7"/>
  <c r="BR153" i="7"/>
  <c r="BS152" i="7"/>
  <c r="C56" i="3"/>
  <c r="CB132" i="7"/>
  <c r="J64" i="3"/>
  <c r="C49" i="4"/>
  <c r="C269" i="7"/>
  <c r="EQ269" i="7" s="1"/>
  <c r="AH43" i="3"/>
  <c r="AZ15" i="7"/>
  <c r="BU15" i="7"/>
  <c r="DD15" i="7"/>
  <c r="CS19" i="7"/>
  <c r="CS61" i="7" s="1"/>
  <c r="DD20" i="7"/>
  <c r="C9" i="3"/>
  <c r="CU30" i="7"/>
  <c r="CU167" i="7" s="1"/>
  <c r="CU169" i="7" s="1"/>
  <c r="CL29" i="7"/>
  <c r="BN43" i="7"/>
  <c r="CW43" i="7"/>
  <c r="F44" i="7"/>
  <c r="BU44" i="7"/>
  <c r="AZ46" i="7"/>
  <c r="F77" i="7"/>
  <c r="BN52" i="7"/>
  <c r="CO53" i="7"/>
  <c r="CP53" i="7" s="1"/>
  <c r="CP54" i="7"/>
  <c r="CA61" i="7"/>
  <c r="X64" i="7"/>
  <c r="X77" i="7" s="1"/>
  <c r="AK64" i="7"/>
  <c r="DI64" i="7"/>
  <c r="DL104" i="7"/>
  <c r="AH66" i="7"/>
  <c r="AZ66" i="7"/>
  <c r="AS68" i="7"/>
  <c r="AS105" i="7" s="1"/>
  <c r="CI68" i="7"/>
  <c r="CI98" i="7" s="1"/>
  <c r="DF98" i="7"/>
  <c r="AL69" i="7"/>
  <c r="AL78" i="7" s="1"/>
  <c r="AY78" i="7"/>
  <c r="BQ70" i="7"/>
  <c r="AB70" i="7"/>
  <c r="AN70" i="7"/>
  <c r="AN98" i="7" s="1"/>
  <c r="BT77" i="7"/>
  <c r="FH78" i="7"/>
  <c r="CW108" i="7"/>
  <c r="CS112" i="7"/>
  <c r="CW112" i="7" s="1"/>
  <c r="F30" i="3" s="1"/>
  <c r="Z164" i="7"/>
  <c r="AD118" i="7"/>
  <c r="O116" i="7"/>
  <c r="O165" i="7" s="1"/>
  <c r="BF116" i="7"/>
  <c r="BG116" i="7" s="1"/>
  <c r="BG165" i="7" s="1"/>
  <c r="BW116" i="7"/>
  <c r="BW118" i="7" s="1"/>
  <c r="DH116" i="7"/>
  <c r="DH165" i="7" s="1"/>
  <c r="DQ117" i="7"/>
  <c r="DP117" i="7" s="1"/>
  <c r="Z118" i="7"/>
  <c r="BF120" i="7"/>
  <c r="BE121" i="7"/>
  <c r="M124" i="7"/>
  <c r="M127" i="7" s="1"/>
  <c r="Z122" i="7"/>
  <c r="Y124" i="7"/>
  <c r="Y127" i="7" s="1"/>
  <c r="AK122" i="7"/>
  <c r="AK124" i="7" s="1"/>
  <c r="BE122" i="7"/>
  <c r="CS122" i="7"/>
  <c r="CT122" i="7" s="1"/>
  <c r="CV122" i="7" s="1"/>
  <c r="CW122" i="7" s="1"/>
  <c r="F36" i="3" s="1"/>
  <c r="L123" i="7"/>
  <c r="N123" i="7" s="1"/>
  <c r="CK125" i="7"/>
  <c r="CO175" i="7"/>
  <c r="CO153" i="7" s="1"/>
  <c r="CN153" i="7"/>
  <c r="CB53" i="7"/>
  <c r="AU104" i="7"/>
  <c r="CC104" i="7"/>
  <c r="AA77" i="7"/>
  <c r="AT104" i="7"/>
  <c r="DR104" i="7"/>
  <c r="I25" i="3" s="1"/>
  <c r="I11" i="3"/>
  <c r="I13" i="3"/>
  <c r="CF179" i="7"/>
  <c r="CF153" i="7"/>
  <c r="CG152" i="7"/>
  <c r="CQ179" i="7"/>
  <c r="CQ153" i="7"/>
  <c r="CR152" i="7"/>
  <c r="CR154" i="7" s="1"/>
  <c r="DL179" i="7"/>
  <c r="DM152" i="7"/>
  <c r="DM154" i="7" s="1"/>
  <c r="DL153" i="7"/>
  <c r="J52" i="3"/>
  <c r="J59" i="3"/>
  <c r="AL37" i="3"/>
  <c r="BG15" i="7"/>
  <c r="FD19" i="7"/>
  <c r="FD61" i="7" s="1"/>
  <c r="CP20" i="7"/>
  <c r="BU43" i="7"/>
  <c r="BG46" i="7"/>
  <c r="CP46" i="7"/>
  <c r="DD46" i="7"/>
  <c r="M77" i="7"/>
  <c r="AZ52" i="7"/>
  <c r="BN53" i="7"/>
  <c r="CW53" i="7"/>
  <c r="CB54" i="7"/>
  <c r="BJ60" i="7"/>
  <c r="DC60" i="7"/>
  <c r="BH104" i="7"/>
  <c r="DH65" i="7"/>
  <c r="DS104" i="7"/>
  <c r="AK66" i="7"/>
  <c r="BG66" i="7"/>
  <c r="M70" i="7"/>
  <c r="BT78" i="7"/>
  <c r="BS70" i="7"/>
  <c r="DU77" i="7"/>
  <c r="AV78" i="7"/>
  <c r="BC98" i="7"/>
  <c r="DP110" i="7"/>
  <c r="P164" i="7"/>
  <c r="CD118" i="7"/>
  <c r="DF114" i="7"/>
  <c r="DF118" i="7" s="1"/>
  <c r="BG117" i="7"/>
  <c r="DS118" i="7"/>
  <c r="BW120" i="7"/>
  <c r="BW297" i="7" s="1"/>
  <c r="CP297" i="7"/>
  <c r="E34" i="3"/>
  <c r="E38" i="3" s="1"/>
  <c r="CX127" i="7"/>
  <c r="CX126" i="7" s="1"/>
  <c r="CK122" i="7"/>
  <c r="CL122" i="7" s="1"/>
  <c r="CM122" i="7" s="1"/>
  <c r="CN122" i="7" s="1"/>
  <c r="CO122" i="7" s="1"/>
  <c r="DK124" i="7"/>
  <c r="DP125" i="7"/>
  <c r="AR179" i="7"/>
  <c r="AR153" i="7"/>
  <c r="AR154" i="7" s="1"/>
  <c r="DP132" i="7"/>
  <c r="DP142" i="7" s="1"/>
  <c r="DP144" i="7" s="1"/>
  <c r="J66" i="3"/>
  <c r="J67" i="3"/>
  <c r="AS20" i="7"/>
  <c r="CB20" i="7"/>
  <c r="CR30" i="7"/>
  <c r="CR161" i="7" s="1"/>
  <c r="DE30" i="7"/>
  <c r="DS30" i="7"/>
  <c r="CO29" i="7"/>
  <c r="DD43" i="7"/>
  <c r="AV44" i="7"/>
  <c r="AZ44" i="7" s="1"/>
  <c r="BN44" i="7"/>
  <c r="CB44" i="7"/>
  <c r="BN46" i="7"/>
  <c r="CL52" i="7"/>
  <c r="CP52" i="7" s="1"/>
  <c r="AD53" i="7"/>
  <c r="AE53" i="7" s="1"/>
  <c r="AZ53" i="7"/>
  <c r="CI53" i="7"/>
  <c r="BN54" i="7"/>
  <c r="BN55" i="7"/>
  <c r="CW55" i="7"/>
  <c r="BN56" i="7"/>
  <c r="W60" i="7"/>
  <c r="W146" i="7" s="1"/>
  <c r="W148" i="7" s="1"/>
  <c r="BJ61" i="7"/>
  <c r="CF104" i="7"/>
  <c r="BN64" i="7"/>
  <c r="CW64" i="7"/>
  <c r="CK104" i="7"/>
  <c r="AD69" i="7"/>
  <c r="AD78" i="7" s="1"/>
  <c r="BF69" i="7"/>
  <c r="BF70" i="7" s="1"/>
  <c r="V70" i="7"/>
  <c r="BM78" i="7"/>
  <c r="CS78" i="7"/>
  <c r="CW78" i="7" s="1"/>
  <c r="DN78" i="7"/>
  <c r="CP108" i="7"/>
  <c r="J28" i="3"/>
  <c r="CE112" i="7"/>
  <c r="CE114" i="7" s="1"/>
  <c r="CF114" i="7" s="1"/>
  <c r="S164" i="7"/>
  <c r="CJ128" i="7"/>
  <c r="CZ116" i="7"/>
  <c r="CZ165" i="7" s="1"/>
  <c r="FA116" i="7"/>
  <c r="FA165" i="7" s="1"/>
  <c r="DP120" i="7"/>
  <c r="DP297" i="7" s="1"/>
  <c r="AX121" i="7"/>
  <c r="BL121" i="7"/>
  <c r="BM121" i="7" s="1"/>
  <c r="CY124" i="7"/>
  <c r="H122" i="7"/>
  <c r="R127" i="7"/>
  <c r="AF127" i="7"/>
  <c r="AN122" i="7"/>
  <c r="AW122" i="7"/>
  <c r="AW124" i="7" s="1"/>
  <c r="BI123" i="7"/>
  <c r="BI124" i="7" s="1"/>
  <c r="BJ124" i="7"/>
  <c r="BJ127" i="7" s="1"/>
  <c r="BK123" i="7"/>
  <c r="BM123" i="7" s="1"/>
  <c r="BN123" i="7" s="1"/>
  <c r="BN122" i="7" s="1"/>
  <c r="BL122" i="7" s="1"/>
  <c r="BM122" i="7" s="1"/>
  <c r="BQ175" i="7"/>
  <c r="BP153" i="7"/>
  <c r="BP154" i="7" s="1"/>
  <c r="BP155" i="7" s="1"/>
  <c r="BF123" i="7"/>
  <c r="BE123" i="7" s="1"/>
  <c r="CG123" i="7"/>
  <c r="CH123" i="7" s="1"/>
  <c r="D37" i="3"/>
  <c r="D38" i="3" s="1"/>
  <c r="DT123" i="7"/>
  <c r="ET123" i="7"/>
  <c r="M37" i="3" s="1"/>
  <c r="BM125" i="7"/>
  <c r="F134" i="7"/>
  <c r="F236" i="7" s="1"/>
  <c r="AW152" i="7"/>
  <c r="AW154" i="7" s="1"/>
  <c r="AW155" i="7" s="1"/>
  <c r="P153" i="7"/>
  <c r="Q153" i="7" s="1"/>
  <c r="CH156" i="7"/>
  <c r="CH158" i="7" s="1"/>
  <c r="AS174" i="7"/>
  <c r="BY179" i="7"/>
  <c r="CH174" i="7"/>
  <c r="CI174" i="7" s="1"/>
  <c r="AN175" i="7"/>
  <c r="AN174" i="7" s="1"/>
  <c r="AU175" i="7"/>
  <c r="I188" i="7"/>
  <c r="BT181" i="7"/>
  <c r="BU181" i="7" s="1"/>
  <c r="BU188" i="7" s="1"/>
  <c r="Z185" i="7"/>
  <c r="Z188" i="7" s="1"/>
  <c r="AN185" i="7"/>
  <c r="AN188" i="7" s="1"/>
  <c r="BF185" i="7"/>
  <c r="BE185" i="7" s="1"/>
  <c r="CZ185" i="7"/>
  <c r="Y188" i="7"/>
  <c r="O201" i="7"/>
  <c r="O132" i="7" s="1"/>
  <c r="O134" i="7" s="1"/>
  <c r="O236" i="7" s="1"/>
  <c r="AZ201" i="7"/>
  <c r="AZ207" i="7" s="1"/>
  <c r="BQ207" i="7"/>
  <c r="CI207" i="7"/>
  <c r="D62" i="3"/>
  <c r="D68" i="3" s="1"/>
  <c r="CZ207" i="7"/>
  <c r="M231" i="7"/>
  <c r="X231" i="7"/>
  <c r="AH231" i="7"/>
  <c r="BX228" i="7"/>
  <c r="BX231" i="7" s="1"/>
  <c r="CJ231" i="7"/>
  <c r="CS228" i="7"/>
  <c r="CS231" i="7" s="1"/>
  <c r="DD246" i="7"/>
  <c r="AS265" i="7"/>
  <c r="BU265" i="7"/>
  <c r="BF267" i="7"/>
  <c r="BU266" i="7"/>
  <c r="CQ279" i="7"/>
  <c r="CQ281" i="7" s="1"/>
  <c r="CX279" i="7"/>
  <c r="CX281" i="7" s="1"/>
  <c r="BL268" i="7"/>
  <c r="AY82" i="7"/>
  <c r="BL16" i="7"/>
  <c r="CM82" i="7"/>
  <c r="DH82" i="7"/>
  <c r="W154" i="7"/>
  <c r="BD179" i="7"/>
  <c r="DH179" i="7"/>
  <c r="P179" i="7"/>
  <c r="X179" i="7"/>
  <c r="AG179" i="7"/>
  <c r="BS175" i="7"/>
  <c r="BT175" i="7" s="1"/>
  <c r="CX179" i="7"/>
  <c r="DQ187" i="7"/>
  <c r="DP187" i="7" s="1"/>
  <c r="I52" i="3"/>
  <c r="I53" i="3" s="1"/>
  <c r="BR199" i="7"/>
  <c r="J58" i="3"/>
  <c r="CL207" i="7"/>
  <c r="G62" i="3"/>
  <c r="J74" i="3"/>
  <c r="BE250" i="7"/>
  <c r="AH267" i="7"/>
  <c r="CR268" i="7"/>
  <c r="V82" i="7"/>
  <c r="AM16" i="7"/>
  <c r="AM17" i="7" s="1"/>
  <c r="BS16" i="7"/>
  <c r="CU82" i="7"/>
  <c r="FO123" i="7"/>
  <c r="M134" i="7"/>
  <c r="M237" i="7" s="1"/>
  <c r="Y134" i="7"/>
  <c r="DF134" i="7"/>
  <c r="DF238" i="7" s="1"/>
  <c r="DR134" i="7"/>
  <c r="DY135" i="7" s="1"/>
  <c r="AY152" i="7"/>
  <c r="E153" i="7"/>
  <c r="DH153" i="7"/>
  <c r="DT153" i="7"/>
  <c r="DB168" i="7"/>
  <c r="AW179" i="7"/>
  <c r="BM174" i="7"/>
  <c r="BN174" i="7" s="1"/>
  <c r="CC179" i="7"/>
  <c r="CZ174" i="7"/>
  <c r="I43" i="3"/>
  <c r="I47" i="3" s="1"/>
  <c r="Q179" i="7"/>
  <c r="Y179" i="7"/>
  <c r="AH179" i="7"/>
  <c r="AP179" i="7"/>
  <c r="AP189" i="7" s="1"/>
  <c r="BZ175" i="7"/>
  <c r="CH181" i="7"/>
  <c r="CH188" i="7" s="1"/>
  <c r="CJ188" i="7"/>
  <c r="J49" i="3"/>
  <c r="DC184" i="7"/>
  <c r="DC188" i="7" s="1"/>
  <c r="DU185" i="7"/>
  <c r="J199" i="7"/>
  <c r="J208" i="7" s="1"/>
  <c r="AR193" i="7"/>
  <c r="AQ193" i="7" s="1"/>
  <c r="CZ193" i="7"/>
  <c r="CZ199" i="7" s="1"/>
  <c r="DC198" i="7"/>
  <c r="BE207" i="7"/>
  <c r="BV207" i="7"/>
  <c r="DU207" i="7"/>
  <c r="CV218" i="7"/>
  <c r="DJ218" i="7"/>
  <c r="CL228" i="7"/>
  <c r="CL231" i="7" s="1"/>
  <c r="CU231" i="7"/>
  <c r="CY231" i="7"/>
  <c r="DN255" i="7"/>
  <c r="BX267" i="7"/>
  <c r="DH268" i="7"/>
  <c r="AU82" i="7"/>
  <c r="CH82" i="7"/>
  <c r="DC82" i="7"/>
  <c r="FA123" i="7"/>
  <c r="T37" i="3" s="1"/>
  <c r="AA134" i="7"/>
  <c r="AA237" i="7" s="1"/>
  <c r="BO134" i="7"/>
  <c r="CF148" i="7"/>
  <c r="DI152" i="7"/>
  <c r="AO153" i="7"/>
  <c r="AV153" i="7"/>
  <c r="BL153" i="7"/>
  <c r="BL154" i="7" s="1"/>
  <c r="DU153" i="7"/>
  <c r="X174" i="7"/>
  <c r="BO179" i="7"/>
  <c r="CM179" i="7"/>
  <c r="CS174" i="7"/>
  <c r="DA179" i="7"/>
  <c r="DS179" i="7"/>
  <c r="L175" i="7"/>
  <c r="L174" i="7" s="1"/>
  <c r="DF175" i="7"/>
  <c r="AK185" i="7"/>
  <c r="AJ185" i="7" s="1"/>
  <c r="D56" i="3"/>
  <c r="G56" i="3"/>
  <c r="DR199" i="7"/>
  <c r="I57" i="3"/>
  <c r="DN198" i="7"/>
  <c r="DN199" i="7" s="1"/>
  <c r="E207" i="7"/>
  <c r="BF207" i="7"/>
  <c r="BX207" i="7"/>
  <c r="CP201" i="7"/>
  <c r="DJ207" i="7"/>
  <c r="DR207" i="7"/>
  <c r="I64" i="3"/>
  <c r="I68" i="3" s="1"/>
  <c r="W218" i="7"/>
  <c r="BT218" i="7"/>
  <c r="CV228" i="7"/>
  <c r="DN228" i="7"/>
  <c r="DN231" i="7" s="1"/>
  <c r="CL255" i="7"/>
  <c r="CL121" i="7" s="1"/>
  <c r="CM121" i="7" s="1"/>
  <c r="CN121" i="7" s="1"/>
  <c r="CO121" i="7" s="1"/>
  <c r="DC255" i="7"/>
  <c r="X265" i="7"/>
  <c r="AL265" i="7"/>
  <c r="AL267" i="7" s="1"/>
  <c r="CB266" i="7"/>
  <c r="CI266" i="7" s="1"/>
  <c r="BS279" i="7"/>
  <c r="BS281" i="7" s="1"/>
  <c r="BW283" i="7" s="1"/>
  <c r="BF279" i="7"/>
  <c r="BF281" i="7" s="1"/>
  <c r="AI82" i="7"/>
  <c r="CX82" i="7"/>
  <c r="DQ123" i="7"/>
  <c r="I37" i="3"/>
  <c r="I38" i="3" s="1"/>
  <c r="D134" i="7"/>
  <c r="D236" i="7" s="1"/>
  <c r="BG134" i="7"/>
  <c r="BG236" i="7" s="1"/>
  <c r="AG153" i="7"/>
  <c r="AG154" i="7" s="1"/>
  <c r="AG155" i="7" s="1"/>
  <c r="AO174" i="7"/>
  <c r="BV175" i="7"/>
  <c r="CT179" i="7"/>
  <c r="AL179" i="7"/>
  <c r="AS179" i="7"/>
  <c r="BK179" i="7"/>
  <c r="J46" i="3"/>
  <c r="CL188" i="7"/>
  <c r="M188" i="7"/>
  <c r="L193" i="7"/>
  <c r="L199" i="7" s="1"/>
  <c r="AD193" i="7"/>
  <c r="AC193" i="7" s="1"/>
  <c r="AC199" i="7" s="1"/>
  <c r="AT199" i="7"/>
  <c r="BQ193" i="7"/>
  <c r="BQ199" i="7" s="1"/>
  <c r="DS199" i="7"/>
  <c r="CB207" i="7"/>
  <c r="C62" i="3"/>
  <c r="C68" i="3" s="1"/>
  <c r="CS207" i="7"/>
  <c r="BB207" i="7"/>
  <c r="DQ206" i="7"/>
  <c r="DP206" i="7" s="1"/>
  <c r="DP207" i="7" s="1"/>
  <c r="BF218" i="7"/>
  <c r="BU211" i="7"/>
  <c r="BU295" i="7" s="1"/>
  <c r="CZ218" i="7"/>
  <c r="CZ246" i="7"/>
  <c r="CZ249" i="7" s="1"/>
  <c r="DA246" i="7" s="1"/>
  <c r="CN250" i="7"/>
  <c r="DJ255" i="7"/>
  <c r="CG255" i="7"/>
  <c r="AC268" i="7"/>
  <c r="AN268" i="7"/>
  <c r="BC16" i="7"/>
  <c r="BC17" i="7" s="1"/>
  <c r="BW82" i="7"/>
  <c r="DF82" i="7"/>
  <c r="BS134" i="7"/>
  <c r="CQ134" i="7"/>
  <c r="CQ237" i="7" s="1"/>
  <c r="K134" i="7"/>
  <c r="K238" i="7" s="1"/>
  <c r="BW134" i="7"/>
  <c r="AP152" i="7"/>
  <c r="BE152" i="7"/>
  <c r="CY152" i="7"/>
  <c r="CY154" i="7" s="1"/>
  <c r="BD153" i="7"/>
  <c r="BD154" i="7" s="1"/>
  <c r="BD155" i="7" s="1"/>
  <c r="P174" i="7"/>
  <c r="BI175" i="7"/>
  <c r="CO174" i="7"/>
  <c r="CP174" i="7" s="1"/>
  <c r="DE179" i="7"/>
  <c r="AT179" i="7"/>
  <c r="J48" i="3"/>
  <c r="T188" i="7"/>
  <c r="E56" i="3"/>
  <c r="E199" i="7"/>
  <c r="BD208" i="7"/>
  <c r="X199" i="7"/>
  <c r="Z207" i="7"/>
  <c r="BM207" i="7"/>
  <c r="J63" i="3"/>
  <c r="DT207" i="7"/>
  <c r="J65" i="3"/>
  <c r="CY207" i="7"/>
  <c r="DC218" i="7"/>
  <c r="J72" i="3"/>
  <c r="CZ231" i="7"/>
  <c r="DI231" i="7"/>
  <c r="BA268" i="7"/>
  <c r="AE82" i="7"/>
  <c r="AQ82" i="7"/>
  <c r="CE16" i="7"/>
  <c r="DV82" i="7"/>
  <c r="AN82" i="7"/>
  <c r="CF82" i="7"/>
  <c r="G48" i="7"/>
  <c r="S48" i="7"/>
  <c r="AX88" i="7"/>
  <c r="BE48" i="7"/>
  <c r="I30" i="7"/>
  <c r="I167" i="7" s="1"/>
  <c r="CT89" i="7"/>
  <c r="AE89" i="7"/>
  <c r="BW83" i="7"/>
  <c r="N88" i="7"/>
  <c r="AL48" i="7"/>
  <c r="AL315" i="7" s="1"/>
  <c r="AR88" i="7"/>
  <c r="BY48" i="7"/>
  <c r="CN88" i="7"/>
  <c r="DA88" i="7"/>
  <c r="M30" i="7"/>
  <c r="DR89" i="7"/>
  <c r="AV82" i="7"/>
  <c r="AT88" i="7"/>
  <c r="BA48" i="7"/>
  <c r="BH88" i="7"/>
  <c r="BF30" i="7"/>
  <c r="BF167" i="7" s="1"/>
  <c r="CX89" i="7"/>
  <c r="DF89" i="7"/>
  <c r="CZ83" i="7"/>
  <c r="O89" i="7"/>
  <c r="CM83" i="7"/>
  <c r="AW82" i="7"/>
  <c r="DA82" i="7"/>
  <c r="V48" i="7"/>
  <c r="AN88" i="7"/>
  <c r="AU48" i="7"/>
  <c r="BB48" i="7"/>
  <c r="BI88" i="7"/>
  <c r="CH48" i="7"/>
  <c r="CH315" i="7" s="1"/>
  <c r="T30" i="7"/>
  <c r="AO30" i="7"/>
  <c r="AO21" i="7" s="1"/>
  <c r="D89" i="7"/>
  <c r="BZ83" i="7"/>
  <c r="AR82" i="7"/>
  <c r="K48" i="7"/>
  <c r="BJ88" i="7"/>
  <c r="BP88" i="7"/>
  <c r="CC88" i="7"/>
  <c r="CX88" i="7"/>
  <c r="DE88" i="7"/>
  <c r="CQ89" i="7"/>
  <c r="DA89" i="7"/>
  <c r="DH89" i="7"/>
  <c r="BB114" i="7"/>
  <c r="BB118" i="7" s="1"/>
  <c r="Z16" i="7"/>
  <c r="DR82" i="7"/>
  <c r="L88" i="7"/>
  <c r="X88" i="7"/>
  <c r="AD88" i="7"/>
  <c r="AW48" i="7"/>
  <c r="BK48" i="7"/>
  <c r="DM88" i="7"/>
  <c r="AA30" i="7"/>
  <c r="AA167" i="7" s="1"/>
  <c r="AA168" i="7" s="1"/>
  <c r="AV30" i="7"/>
  <c r="CR89" i="7"/>
  <c r="DN83" i="7"/>
  <c r="BV83" i="7"/>
  <c r="BE89" i="7"/>
  <c r="CF83" i="7"/>
  <c r="BI30" i="7"/>
  <c r="BK113" i="7"/>
  <c r="BM113" i="7" s="1"/>
  <c r="E16" i="7"/>
  <c r="E17" i="7" s="1"/>
  <c r="E223" i="7" s="1"/>
  <c r="Q83" i="7"/>
  <c r="AO89" i="7"/>
  <c r="F30" i="7"/>
  <c r="F112" i="7" s="1"/>
  <c r="F113" i="7" s="1"/>
  <c r="CG16" i="7"/>
  <c r="AN89" i="7"/>
  <c r="BL89" i="7"/>
  <c r="AD30" i="7"/>
  <c r="G89" i="7"/>
  <c r="AK83" i="7"/>
  <c r="BT89" i="7"/>
  <c r="CA48" i="7"/>
  <c r="CC16" i="7"/>
  <c r="X89" i="7"/>
  <c r="BV30" i="7"/>
  <c r="U83" i="7"/>
  <c r="AW16" i="7"/>
  <c r="CA112" i="7"/>
  <c r="AY113" i="7"/>
  <c r="CS89" i="7"/>
  <c r="DK83" i="7"/>
  <c r="AO48" i="3"/>
  <c r="E291" i="7"/>
  <c r="E167" i="7"/>
  <c r="E112" i="7"/>
  <c r="E113" i="7" s="1"/>
  <c r="G291" i="7"/>
  <c r="G167" i="7"/>
  <c r="G112" i="7"/>
  <c r="G113" i="7" s="1"/>
  <c r="O291" i="7"/>
  <c r="O167" i="7"/>
  <c r="AE291" i="7"/>
  <c r="AE167" i="7"/>
  <c r="AE169" i="7" s="1"/>
  <c r="AE112" i="7"/>
  <c r="AE21" i="7"/>
  <c r="AM291" i="7"/>
  <c r="AM167" i="7"/>
  <c r="AM168" i="7" s="1"/>
  <c r="AM112" i="7"/>
  <c r="AM21" i="7"/>
  <c r="AU291" i="7"/>
  <c r="AU167" i="7"/>
  <c r="AU21" i="7"/>
  <c r="BK291" i="7"/>
  <c r="BK167" i="7"/>
  <c r="BK21" i="7"/>
  <c r="CQ291" i="7"/>
  <c r="CQ167" i="7"/>
  <c r="CQ169" i="7" s="1"/>
  <c r="CQ21" i="7"/>
  <c r="CY291" i="7"/>
  <c r="CY167" i="7"/>
  <c r="CY169" i="7" s="1"/>
  <c r="CY21" i="7"/>
  <c r="DO291" i="7"/>
  <c r="DO167" i="7"/>
  <c r="DO169" i="7" s="1"/>
  <c r="DO21" i="7"/>
  <c r="AY156" i="7"/>
  <c r="AY61" i="7"/>
  <c r="AX19" i="7"/>
  <c r="H291" i="7"/>
  <c r="H167" i="7"/>
  <c r="X291" i="7"/>
  <c r="X167" i="7"/>
  <c r="X169" i="7" s="1"/>
  <c r="X112" i="7"/>
  <c r="AF291" i="7"/>
  <c r="AF167" i="7"/>
  <c r="AF169" i="7" s="1"/>
  <c r="AF112" i="7"/>
  <c r="AF21" i="7"/>
  <c r="AN291" i="7"/>
  <c r="AN167" i="7"/>
  <c r="AN112" i="7"/>
  <c r="AN21" i="7"/>
  <c r="BD291" i="7"/>
  <c r="BD167" i="7"/>
  <c r="BD21" i="7"/>
  <c r="CB291" i="7"/>
  <c r="CB167" i="7"/>
  <c r="CB21" i="7"/>
  <c r="DH291" i="7"/>
  <c r="DH167" i="7"/>
  <c r="DH169" i="7" s="1"/>
  <c r="DH21" i="7"/>
  <c r="O156" i="7"/>
  <c r="O61" i="7"/>
  <c r="BF20" i="7"/>
  <c r="BG20" i="7" s="1"/>
  <c r="C251" i="3" s="1"/>
  <c r="BL20" i="7"/>
  <c r="Q291" i="7"/>
  <c r="Q167" i="7"/>
  <c r="Q169" i="7" s="1"/>
  <c r="Q112" i="7"/>
  <c r="Y291" i="7"/>
  <c r="Y167" i="7"/>
  <c r="Y169" i="7" s="1"/>
  <c r="Y112" i="7"/>
  <c r="Y21" i="7"/>
  <c r="AG291" i="7"/>
  <c r="AG167" i="7"/>
  <c r="AG112" i="7"/>
  <c r="AG161" i="7" s="1"/>
  <c r="AG21" i="7"/>
  <c r="AW291" i="7"/>
  <c r="AW167" i="7"/>
  <c r="AW21" i="7"/>
  <c r="BE291" i="7"/>
  <c r="BE167" i="7"/>
  <c r="BE21" i="7"/>
  <c r="BU291" i="7"/>
  <c r="BU167" i="7"/>
  <c r="BU21" i="7"/>
  <c r="CC291" i="7"/>
  <c r="CC167" i="7"/>
  <c r="CC169" i="7" s="1"/>
  <c r="CC21" i="7"/>
  <c r="CK291" i="7"/>
  <c r="CK167" i="7"/>
  <c r="CK169" i="7" s="1"/>
  <c r="CK21" i="7"/>
  <c r="J291" i="7"/>
  <c r="J167" i="7"/>
  <c r="J169" i="7" s="1"/>
  <c r="J112" i="7"/>
  <c r="R291" i="7"/>
  <c r="R167" i="7"/>
  <c r="R169" i="7" s="1"/>
  <c r="R112" i="7"/>
  <c r="Z291" i="7"/>
  <c r="Z167" i="7"/>
  <c r="Z112" i="7"/>
  <c r="Z21" i="7"/>
  <c r="AP291" i="7"/>
  <c r="AP167" i="7"/>
  <c r="AP21" i="7"/>
  <c r="AX291" i="7"/>
  <c r="AX167" i="7"/>
  <c r="AX21" i="7"/>
  <c r="CD291" i="7"/>
  <c r="CD167" i="7"/>
  <c r="CD169" i="7" s="1"/>
  <c r="CD21" i="7"/>
  <c r="CT291" i="7"/>
  <c r="CT167" i="7"/>
  <c r="CT169" i="7" s="1"/>
  <c r="CT161" i="7"/>
  <c r="CT21" i="7"/>
  <c r="DB291" i="7"/>
  <c r="DB167" i="7"/>
  <c r="DB21" i="7"/>
  <c r="P84" i="7"/>
  <c r="O15" i="7"/>
  <c r="O84" i="7" s="1"/>
  <c r="CP15" i="7"/>
  <c r="AD156" i="7"/>
  <c r="AD61" i="7"/>
  <c r="AC19" i="7"/>
  <c r="DI158" i="7"/>
  <c r="K291" i="7"/>
  <c r="K167" i="7"/>
  <c r="K169" i="7" s="1"/>
  <c r="K112" i="7"/>
  <c r="S291" i="7"/>
  <c r="S167" i="7"/>
  <c r="S112" i="7"/>
  <c r="AI291" i="7"/>
  <c r="AI167" i="7"/>
  <c r="AI112" i="7"/>
  <c r="AI21" i="7"/>
  <c r="AQ291" i="7"/>
  <c r="AQ167" i="7"/>
  <c r="AQ21" i="7"/>
  <c r="BO291" i="7"/>
  <c r="BO167" i="7"/>
  <c r="BO21" i="7"/>
  <c r="CM291" i="7"/>
  <c r="CM167" i="7"/>
  <c r="CM169" i="7" s="1"/>
  <c r="CM21" i="7"/>
  <c r="D291" i="7"/>
  <c r="D167" i="7"/>
  <c r="D169" i="7" s="1"/>
  <c r="D112" i="7"/>
  <c r="D113" i="7" s="1"/>
  <c r="L291" i="7"/>
  <c r="L167" i="7"/>
  <c r="L112" i="7"/>
  <c r="AB291" i="7"/>
  <c r="AB167" i="7"/>
  <c r="AB112" i="7"/>
  <c r="AB161" i="7" s="1"/>
  <c r="AB21" i="7"/>
  <c r="AJ291" i="7"/>
  <c r="AJ167" i="7"/>
  <c r="AJ21" i="7"/>
  <c r="BH291" i="7"/>
  <c r="BH167" i="7"/>
  <c r="BH112" i="7"/>
  <c r="BH21" i="7"/>
  <c r="BP291" i="7"/>
  <c r="BP167" i="7"/>
  <c r="BP21" i="7"/>
  <c r="CF291" i="7"/>
  <c r="CF167" i="7"/>
  <c r="CF169" i="7" s="1"/>
  <c r="CF21" i="7"/>
  <c r="CN291" i="7"/>
  <c r="CN167" i="7"/>
  <c r="CN169" i="7" s="1"/>
  <c r="CN21" i="7"/>
  <c r="DL291" i="7"/>
  <c r="DL167" i="7"/>
  <c r="DL169" i="7" s="1"/>
  <c r="DL161" i="7"/>
  <c r="DL21" i="7"/>
  <c r="DT291" i="7"/>
  <c r="DT167" i="7"/>
  <c r="DT169" i="7" s="1"/>
  <c r="DT21" i="7"/>
  <c r="U291" i="7"/>
  <c r="U167" i="7"/>
  <c r="U112" i="7"/>
  <c r="AC291" i="7"/>
  <c r="AC167" i="7"/>
  <c r="AC21" i="7"/>
  <c r="BA291" i="7"/>
  <c r="BA167" i="7"/>
  <c r="BA21" i="7"/>
  <c r="BY291" i="7"/>
  <c r="BY167" i="7"/>
  <c r="BY21" i="7"/>
  <c r="CG291" i="7"/>
  <c r="CG167" i="7"/>
  <c r="CG169" i="7" s="1"/>
  <c r="CG21" i="7"/>
  <c r="N291" i="7"/>
  <c r="N167" i="7"/>
  <c r="N112" i="7"/>
  <c r="V291" i="7"/>
  <c r="V167" i="7"/>
  <c r="AL291" i="7"/>
  <c r="AL167" i="7"/>
  <c r="AL169" i="7" s="1"/>
  <c r="AL112" i="7"/>
  <c r="AL21" i="7"/>
  <c r="BB291" i="7"/>
  <c r="BB167" i="7"/>
  <c r="BB21" i="7"/>
  <c r="BJ167" i="7"/>
  <c r="BJ112" i="7"/>
  <c r="BJ21" i="7"/>
  <c r="BR291" i="7"/>
  <c r="BR167" i="7"/>
  <c r="BR21" i="7"/>
  <c r="CX291" i="7"/>
  <c r="CX167" i="7"/>
  <c r="CX169" i="7" s="1"/>
  <c r="CX161" i="7"/>
  <c r="CX21" i="7"/>
  <c r="DF291" i="7"/>
  <c r="DF167" i="7"/>
  <c r="DF169" i="7" s="1"/>
  <c r="DF21" i="7"/>
  <c r="M156" i="7"/>
  <c r="M61" i="7"/>
  <c r="M65" i="7" s="1"/>
  <c r="M104" i="7" s="1"/>
  <c r="ES19" i="7"/>
  <c r="ES61" i="7" s="1"/>
  <c r="J88" i="7"/>
  <c r="R88" i="7"/>
  <c r="AH88" i="7"/>
  <c r="Q82" i="7"/>
  <c r="CX83" i="7"/>
  <c r="DF83" i="7"/>
  <c r="X16" i="7"/>
  <c r="AF16" i="7"/>
  <c r="AN16" i="7"/>
  <c r="AV16" i="7"/>
  <c r="BD16" i="7"/>
  <c r="BT16" i="7"/>
  <c r="AH156" i="7"/>
  <c r="AH61" i="7"/>
  <c r="BQ156" i="7"/>
  <c r="BQ61" i="7"/>
  <c r="FR19" i="7"/>
  <c r="FR61" i="7" s="1"/>
  <c r="AA48" i="7"/>
  <c r="AI48" i="7"/>
  <c r="AY48" i="7"/>
  <c r="N89" i="7"/>
  <c r="V89" i="7"/>
  <c r="AL89" i="7"/>
  <c r="AT89" i="7"/>
  <c r="BJ89" i="7"/>
  <c r="CQ83" i="7"/>
  <c r="CY83" i="7"/>
  <c r="DO83" i="7"/>
  <c r="P156" i="7"/>
  <c r="P61" i="7"/>
  <c r="AJ156" i="7"/>
  <c r="AJ61" i="7"/>
  <c r="BC158" i="7"/>
  <c r="BT158" i="7"/>
  <c r="FK19" i="7"/>
  <c r="FK61" i="7" s="1"/>
  <c r="D88" i="7"/>
  <c r="D48" i="7"/>
  <c r="AJ88" i="7"/>
  <c r="AJ48" i="7"/>
  <c r="CV88" i="7"/>
  <c r="AM89" i="7"/>
  <c r="AU89" i="7"/>
  <c r="BC89" i="7"/>
  <c r="BK89" i="7"/>
  <c r="BS89" i="7"/>
  <c r="J48" i="7"/>
  <c r="Z48" i="7"/>
  <c r="AP48" i="7"/>
  <c r="BU53" i="7"/>
  <c r="DD55" i="7"/>
  <c r="BF60" i="7"/>
  <c r="BK104" i="7"/>
  <c r="BM65" i="7"/>
  <c r="R16" i="7"/>
  <c r="AX16" i="7"/>
  <c r="T156" i="7"/>
  <c r="T61" i="7"/>
  <c r="T65" i="7" s="1"/>
  <c r="T104" i="7" s="1"/>
  <c r="AK156" i="7"/>
  <c r="AK61" i="7"/>
  <c r="BU19" i="7"/>
  <c r="CY156" i="7"/>
  <c r="CZ156" i="7" s="1"/>
  <c r="CY61" i="7"/>
  <c r="CZ61" i="7" s="1"/>
  <c r="DM156" i="7"/>
  <c r="DN156" i="7" s="1"/>
  <c r="DM61" i="7"/>
  <c r="E88" i="7"/>
  <c r="U88" i="7"/>
  <c r="AC88" i="7"/>
  <c r="CO88" i="7"/>
  <c r="AF89" i="7"/>
  <c r="AV89" i="7"/>
  <c r="BD89" i="7"/>
  <c r="ET46" i="7"/>
  <c r="AC48" i="7"/>
  <c r="DP60" i="7"/>
  <c r="DK16" i="7"/>
  <c r="AO156" i="7"/>
  <c r="AO61" i="7"/>
  <c r="BV156" i="7"/>
  <c r="BV61" i="7"/>
  <c r="DN19" i="7"/>
  <c r="DQ19" i="7" s="1"/>
  <c r="DP19" i="7" s="1"/>
  <c r="DP156" i="7" s="1"/>
  <c r="EW19" i="7"/>
  <c r="EW61" i="7" s="1"/>
  <c r="FU19" i="7"/>
  <c r="FU61" i="7" s="1"/>
  <c r="U82" i="7"/>
  <c r="AC82" i="7"/>
  <c r="BA82" i="7"/>
  <c r="BI82" i="7"/>
  <c r="CG82" i="7"/>
  <c r="CO82" i="7"/>
  <c r="DE82" i="7"/>
  <c r="DM82" i="7"/>
  <c r="CT83" i="7"/>
  <c r="DB83" i="7"/>
  <c r="DR83" i="7"/>
  <c r="L16" i="7"/>
  <c r="AB16" i="7"/>
  <c r="AJ16" i="7"/>
  <c r="BH16" i="7"/>
  <c r="BP16" i="7"/>
  <c r="CF16" i="7"/>
  <c r="CN16" i="7"/>
  <c r="DL16" i="7"/>
  <c r="F156" i="7"/>
  <c r="F61" i="7"/>
  <c r="F65" i="7" s="1"/>
  <c r="F104" i="7" s="1"/>
  <c r="W19" i="7"/>
  <c r="BX19" i="7"/>
  <c r="BX156" i="7" s="1"/>
  <c r="CP19" i="7"/>
  <c r="CP61" i="7" s="1"/>
  <c r="FN19" i="7"/>
  <c r="FN61" i="7" s="1"/>
  <c r="O48" i="7"/>
  <c r="AM48" i="7"/>
  <c r="BC48" i="7"/>
  <c r="J89" i="7"/>
  <c r="R89" i="7"/>
  <c r="Z89" i="7"/>
  <c r="AX89" i="7"/>
  <c r="DO105" i="7"/>
  <c r="N82" i="7"/>
  <c r="CU83" i="7"/>
  <c r="DS83" i="7"/>
  <c r="H156" i="7"/>
  <c r="H158" i="7" s="1"/>
  <c r="H61" i="7"/>
  <c r="AA156" i="7"/>
  <c r="AA61" i="7"/>
  <c r="AA65" i="7" s="1"/>
  <c r="AA104" i="7" s="1"/>
  <c r="AR19" i="7"/>
  <c r="BJ158" i="7"/>
  <c r="CA158" i="7"/>
  <c r="CQ156" i="7"/>
  <c r="CQ61" i="7"/>
  <c r="CQ65" i="7" s="1"/>
  <c r="FG19" i="7"/>
  <c r="FG61" i="7" s="1"/>
  <c r="AF88" i="7"/>
  <c r="AF48" i="7"/>
  <c r="AV88" i="7"/>
  <c r="K89" i="7"/>
  <c r="S89" i="7"/>
  <c r="AA89" i="7"/>
  <c r="AI89" i="7"/>
  <c r="AY89" i="7"/>
  <c r="BU46" i="7"/>
  <c r="R48" i="7"/>
  <c r="CI52" i="7"/>
  <c r="CI54" i="7"/>
  <c r="DL83" i="7"/>
  <c r="DT83" i="7"/>
  <c r="R83" i="7"/>
  <c r="Z83" i="7"/>
  <c r="M84" i="7"/>
  <c r="N16" i="7"/>
  <c r="V16" i="7"/>
  <c r="AD16" i="7"/>
  <c r="AL16" i="7"/>
  <c r="AT16" i="7"/>
  <c r="BJ16" i="7"/>
  <c r="I156" i="7"/>
  <c r="I158" i="7" s="1"/>
  <c r="I61" i="7"/>
  <c r="AV156" i="7"/>
  <c r="AV61" i="7"/>
  <c r="AV65" i="7" s="1"/>
  <c r="AV104" i="7" s="1"/>
  <c r="BL19" i="7"/>
  <c r="CR156" i="7"/>
  <c r="CR61" i="7"/>
  <c r="CR65" i="7" s="1"/>
  <c r="CR104" i="7" s="1"/>
  <c r="DF156" i="7"/>
  <c r="DG156" i="7" s="1"/>
  <c r="DF61" i="7"/>
  <c r="DF65" i="7" s="1"/>
  <c r="DF104" i="7" s="1"/>
  <c r="DT156" i="7"/>
  <c r="DU156" i="7" s="1"/>
  <c r="DT61" i="7"/>
  <c r="DT65" i="7" s="1"/>
  <c r="I88" i="7"/>
  <c r="Q88" i="7"/>
  <c r="DQ88" i="7"/>
  <c r="L89" i="7"/>
  <c r="AB89" i="7"/>
  <c r="AJ89" i="7"/>
  <c r="BH89" i="7"/>
  <c r="BP89" i="7"/>
  <c r="CF89" i="7"/>
  <c r="CN89" i="7"/>
  <c r="E48" i="7"/>
  <c r="U48" i="7"/>
  <c r="AK48" i="7"/>
  <c r="BQ48" i="7"/>
  <c r="DD52" i="7"/>
  <c r="M148" i="7"/>
  <c r="AD60" i="7"/>
  <c r="CI60" i="7"/>
  <c r="CS60" i="7"/>
  <c r="DC146" i="7"/>
  <c r="DA148" i="7"/>
  <c r="CE61" i="7"/>
  <c r="CE65" i="7" s="1"/>
  <c r="CE104" i="7" s="1"/>
  <c r="CG65" i="7"/>
  <c r="DE65" i="7"/>
  <c r="Q68" i="7"/>
  <c r="AH105" i="7"/>
  <c r="AH98" i="7"/>
  <c r="AZ68" i="7"/>
  <c r="BT98" i="7"/>
  <c r="BT105" i="7"/>
  <c r="W69" i="7"/>
  <c r="BT69" i="7"/>
  <c r="BU69" i="7" s="1"/>
  <c r="DG69" i="7"/>
  <c r="DJ69" i="7" s="1"/>
  <c r="DI69" i="7" s="1"/>
  <c r="DI78" i="7" s="1"/>
  <c r="AQ70" i="7"/>
  <c r="AR70" i="7" s="1"/>
  <c r="DE70" i="7"/>
  <c r="DM70" i="7"/>
  <c r="AQ78" i="7"/>
  <c r="AR78" i="7" s="1"/>
  <c r="AH148" i="7"/>
  <c r="BX146" i="7"/>
  <c r="BW148" i="7"/>
  <c r="CK148" i="7"/>
  <c r="CV146" i="7"/>
  <c r="CT148" i="7"/>
  <c r="BR65" i="7"/>
  <c r="CX65" i="7"/>
  <c r="T98" i="7"/>
  <c r="T105" i="7"/>
  <c r="AK105" i="7"/>
  <c r="AK98" i="7"/>
  <c r="CJ98" i="7"/>
  <c r="CJ105" i="7"/>
  <c r="CV105" i="7"/>
  <c r="CY98" i="7"/>
  <c r="CY78" i="7"/>
  <c r="CZ78" i="7" s="1"/>
  <c r="DD78" i="7" s="1"/>
  <c r="DH98" i="7"/>
  <c r="DH78" i="7"/>
  <c r="T70" i="7"/>
  <c r="CX105" i="7"/>
  <c r="BX60" i="7"/>
  <c r="CL60" i="7"/>
  <c r="CU148" i="7"/>
  <c r="BS65" i="7"/>
  <c r="U105" i="7"/>
  <c r="U98" i="7"/>
  <c r="AL68" i="7"/>
  <c r="BV105" i="7"/>
  <c r="BV98" i="7"/>
  <c r="CK105" i="7"/>
  <c r="CK98" i="7"/>
  <c r="CN98" i="7"/>
  <c r="CN78" i="7"/>
  <c r="CO78" i="7" s="1"/>
  <c r="CZ69" i="7"/>
  <c r="CZ70" i="7" s="1"/>
  <c r="E70" i="7"/>
  <c r="U70" i="7"/>
  <c r="AK70" i="7"/>
  <c r="BA70" i="7"/>
  <c r="CY70" i="7"/>
  <c r="BV77" i="7"/>
  <c r="BX77" i="7" s="1"/>
  <c r="BF55" i="7"/>
  <c r="BG55" i="7" s="1"/>
  <c r="T148" i="7"/>
  <c r="AK60" i="7"/>
  <c r="BP148" i="7"/>
  <c r="BZ148" i="7"/>
  <c r="CA146" i="7"/>
  <c r="CO146" i="7"/>
  <c r="CM148" i="7"/>
  <c r="CV60" i="7"/>
  <c r="DE148" i="7"/>
  <c r="DG146" i="7"/>
  <c r="AH64" i="7"/>
  <c r="AY77" i="7"/>
  <c r="CJ65" i="7"/>
  <c r="W68" i="7"/>
  <c r="BG68" i="7"/>
  <c r="BX68" i="7"/>
  <c r="CL68" i="7"/>
  <c r="DN68" i="7"/>
  <c r="AO78" i="7"/>
  <c r="AY69" i="7"/>
  <c r="AZ69" i="7" s="1"/>
  <c r="CO69" i="7"/>
  <c r="CP69" i="7" s="1"/>
  <c r="CJ70" i="7"/>
  <c r="DH70" i="7"/>
  <c r="W77" i="7"/>
  <c r="BQ60" i="7"/>
  <c r="CA60" i="7"/>
  <c r="CO60" i="7"/>
  <c r="DF148" i="7"/>
  <c r="T77" i="7"/>
  <c r="AZ64" i="7"/>
  <c r="BD65" i="7"/>
  <c r="DA65" i="7"/>
  <c r="F105" i="7"/>
  <c r="F98" i="7"/>
  <c r="BJ105" i="7"/>
  <c r="BJ98" i="7"/>
  <c r="CA98" i="7"/>
  <c r="CA105" i="7"/>
  <c r="CM105" i="7"/>
  <c r="CM98" i="7"/>
  <c r="Q69" i="7"/>
  <c r="Q78" i="7" s="1"/>
  <c r="AO69" i="7"/>
  <c r="AO70" i="7" s="1"/>
  <c r="AO98" i="7" s="1"/>
  <c r="CA69" i="7"/>
  <c r="DC69" i="7"/>
  <c r="DC98" i="7" s="1"/>
  <c r="AM70" i="7"/>
  <c r="CK70" i="7"/>
  <c r="DA70" i="7"/>
  <c r="BR148" i="7"/>
  <c r="CX148" i="7"/>
  <c r="CZ146" i="7"/>
  <c r="BC77" i="7"/>
  <c r="CT65" i="7"/>
  <c r="I105" i="7"/>
  <c r="I98" i="7"/>
  <c r="AA105" i="7"/>
  <c r="AA98" i="7"/>
  <c r="BM105" i="7"/>
  <c r="BL105" i="7" s="1"/>
  <c r="BM98" i="7"/>
  <c r="DO98" i="7"/>
  <c r="DO78" i="7"/>
  <c r="DB105" i="7"/>
  <c r="DR105" i="7"/>
  <c r="I26" i="3" s="1"/>
  <c r="AA148" i="7"/>
  <c r="BS148" i="7"/>
  <c r="CS146" i="7"/>
  <c r="CQ148" i="7"/>
  <c r="CY148" i="7"/>
  <c r="CL64" i="7"/>
  <c r="CP64" i="7" s="1"/>
  <c r="BW65" i="7"/>
  <c r="CM65" i="7"/>
  <c r="CU65" i="7"/>
  <c r="CU104" i="7" s="1"/>
  <c r="M105" i="7"/>
  <c r="M98" i="7"/>
  <c r="AD105" i="7"/>
  <c r="AD98" i="7"/>
  <c r="BN68" i="7"/>
  <c r="CE105" i="7"/>
  <c r="CE98" i="7"/>
  <c r="BC69" i="7"/>
  <c r="I70" i="7"/>
  <c r="AW70" i="7"/>
  <c r="BM70" i="7"/>
  <c r="BV70" i="7"/>
  <c r="CE70" i="7"/>
  <c r="CU70" i="7"/>
  <c r="DK105" i="7"/>
  <c r="H26" i="3" s="1"/>
  <c r="DS105" i="7"/>
  <c r="BQ78" i="7"/>
  <c r="DE78" i="7"/>
  <c r="DG78" i="7" s="1"/>
  <c r="CN77" i="7"/>
  <c r="CO77" i="7" s="1"/>
  <c r="I60" i="7"/>
  <c r="AV148" i="7"/>
  <c r="BT60" i="7"/>
  <c r="CR148" i="7"/>
  <c r="CZ60" i="7"/>
  <c r="DC64" i="7"/>
  <c r="DD64" i="7" s="1"/>
  <c r="BP65" i="7"/>
  <c r="P98" i="7"/>
  <c r="P105" i="7"/>
  <c r="AE68" i="7"/>
  <c r="BQ105" i="7"/>
  <c r="BQ98" i="7"/>
  <c r="CH105" i="7"/>
  <c r="CH98" i="7"/>
  <c r="CQ98" i="7"/>
  <c r="CQ105" i="7"/>
  <c r="DG68" i="7"/>
  <c r="DU68" i="7"/>
  <c r="F69" i="7"/>
  <c r="F78" i="7" s="1"/>
  <c r="CV69" i="7"/>
  <c r="CW69" i="7" s="1"/>
  <c r="AH70" i="7"/>
  <c r="AX70" i="7"/>
  <c r="AX98" i="7" s="1"/>
  <c r="AY98" i="7" s="1"/>
  <c r="CN70" i="7"/>
  <c r="DL105" i="7"/>
  <c r="DT70" i="7"/>
  <c r="CE77" i="7"/>
  <c r="FO77" i="7"/>
  <c r="ES113" i="7"/>
  <c r="BZ122" i="7"/>
  <c r="CA122" i="7" s="1"/>
  <c r="DJ117" i="7"/>
  <c r="DH117" i="7"/>
  <c r="AX297" i="7"/>
  <c r="DJ123" i="7"/>
  <c r="DH123" i="7"/>
  <c r="DH124" i="7" s="1"/>
  <c r="CR128" i="7"/>
  <c r="CN161" i="7"/>
  <c r="DB161" i="7"/>
  <c r="DM164" i="7"/>
  <c r="E164" i="7"/>
  <c r="AG164" i="7"/>
  <c r="DM114" i="7"/>
  <c r="DM128" i="7" s="1"/>
  <c r="AC115" i="7"/>
  <c r="AR115" i="7"/>
  <c r="AQ115" i="7" s="1"/>
  <c r="DJ115" i="7"/>
  <c r="DI115" i="7" s="1"/>
  <c r="FH116" i="7"/>
  <c r="FH165" i="7" s="1"/>
  <c r="DM117" i="7"/>
  <c r="E118" i="7"/>
  <c r="U118" i="7"/>
  <c r="AS118" i="7"/>
  <c r="BI118" i="7"/>
  <c r="DN118" i="7"/>
  <c r="Z297" i="7"/>
  <c r="Z285" i="7"/>
  <c r="Z284" i="7" s="1"/>
  <c r="CK297" i="7"/>
  <c r="AN121" i="7"/>
  <c r="W122" i="7"/>
  <c r="AE127" i="7"/>
  <c r="DT122" i="7"/>
  <c r="DU124" i="7"/>
  <c r="CN123" i="7"/>
  <c r="CO123" i="7" s="1"/>
  <c r="BV124" i="7"/>
  <c r="O125" i="7"/>
  <c r="BE125" i="7"/>
  <c r="CN125" i="7"/>
  <c r="DH125" i="7"/>
  <c r="DJ125" i="7"/>
  <c r="K39" i="3"/>
  <c r="N118" i="7"/>
  <c r="CQ118" i="7"/>
  <c r="CQ127" i="7" s="1"/>
  <c r="CQ126" i="7" s="1"/>
  <c r="L297" i="7"/>
  <c r="L285" i="7"/>
  <c r="L284" i="7" s="1"/>
  <c r="AC297" i="7"/>
  <c r="AC285" i="7"/>
  <c r="AC284" i="7" s="1"/>
  <c r="AP207" i="7"/>
  <c r="AP208" i="7" s="1"/>
  <c r="AP132" i="7"/>
  <c r="AL141" i="7"/>
  <c r="AL144" i="7" s="1"/>
  <c r="AL145" i="7" s="1"/>
  <c r="BL141" i="7"/>
  <c r="BL144" i="7" s="1"/>
  <c r="DD112" i="7"/>
  <c r="G30" i="3" s="1"/>
  <c r="DP112" i="7"/>
  <c r="CJ113" i="7"/>
  <c r="CR113" i="7"/>
  <c r="CR164" i="7" s="1"/>
  <c r="CZ113" i="7"/>
  <c r="CZ114" i="7" s="1"/>
  <c r="EY113" i="7"/>
  <c r="H114" i="7"/>
  <c r="V114" i="7"/>
  <c r="AJ114" i="7"/>
  <c r="AJ112" i="7" s="1"/>
  <c r="AJ161" i="7" s="1"/>
  <c r="DO114" i="7"/>
  <c r="DO128" i="7" s="1"/>
  <c r="BU116" i="7"/>
  <c r="BU165" i="7" s="1"/>
  <c r="ET116" i="7"/>
  <c r="ET165" i="7" s="1"/>
  <c r="CE117" i="7"/>
  <c r="CG117" i="7" s="1"/>
  <c r="CH117" i="7" s="1"/>
  <c r="CI117" i="7" s="1"/>
  <c r="G118" i="7"/>
  <c r="BK118" i="7"/>
  <c r="CJ118" i="7"/>
  <c r="CJ127" i="7" s="1"/>
  <c r="O297" i="7"/>
  <c r="O285" i="7"/>
  <c r="O284" i="7" s="1"/>
  <c r="AD285" i="7"/>
  <c r="BS120" i="7"/>
  <c r="BT120" i="7" s="1"/>
  <c r="CM120" i="7"/>
  <c r="DM297" i="7"/>
  <c r="O121" i="7"/>
  <c r="AC121" i="7"/>
  <c r="AP295" i="7"/>
  <c r="CE121" i="7"/>
  <c r="CF121" i="7" s="1"/>
  <c r="CF255" i="7" s="1"/>
  <c r="CD122" i="7"/>
  <c r="CE122" i="7" s="1"/>
  <c r="CF122" i="7" s="1"/>
  <c r="CG122" i="7" s="1"/>
  <c r="CH122" i="7" s="1"/>
  <c r="CC124" i="7"/>
  <c r="CC127" i="7" s="1"/>
  <c r="D127" i="7"/>
  <c r="DF124" i="7"/>
  <c r="V125" i="7"/>
  <c r="AQ125" i="7"/>
  <c r="BY125" i="7"/>
  <c r="CS125" i="7"/>
  <c r="CQ161" i="7"/>
  <c r="DQ164" i="7"/>
  <c r="I164" i="7"/>
  <c r="W164" i="7"/>
  <c r="AK164" i="7"/>
  <c r="H116" i="7"/>
  <c r="H165" i="7" s="1"/>
  <c r="CW116" i="7"/>
  <c r="CW165" i="7" s="1"/>
  <c r="DJ116" i="7"/>
  <c r="FO116" i="7"/>
  <c r="FO165" i="7" s="1"/>
  <c r="P118" i="7"/>
  <c r="P285" i="7"/>
  <c r="AG297" i="7"/>
  <c r="AG285" i="7"/>
  <c r="AG284" i="7" s="1"/>
  <c r="AU297" i="7"/>
  <c r="DA120" i="7"/>
  <c r="DO297" i="7"/>
  <c r="BO127" i="7"/>
  <c r="AH127" i="7"/>
  <c r="AT127" i="7"/>
  <c r="BS122" i="7"/>
  <c r="BT122" i="7" s="1"/>
  <c r="DM122" i="7"/>
  <c r="DM124" i="7" s="1"/>
  <c r="E123" i="7"/>
  <c r="G123" i="7" s="1"/>
  <c r="G124" i="7" s="1"/>
  <c r="F124" i="7"/>
  <c r="F127" i="7" s="1"/>
  <c r="W123" i="7"/>
  <c r="S123" i="7"/>
  <c r="U123" i="7" s="1"/>
  <c r="DO123" i="7"/>
  <c r="BH127" i="7"/>
  <c r="CE125" i="7"/>
  <c r="CF125" i="7" s="1"/>
  <c r="Y141" i="7"/>
  <c r="Y144" i="7" s="1"/>
  <c r="Y145" i="7" s="1"/>
  <c r="AA141" i="7"/>
  <c r="BC141" i="7"/>
  <c r="BA141" i="7"/>
  <c r="BA144" i="7" s="1"/>
  <c r="BA146" i="7" s="1"/>
  <c r="CN141" i="7"/>
  <c r="CN144" i="7" s="1"/>
  <c r="CN145" i="7" s="1"/>
  <c r="BA161" i="7"/>
  <c r="L164" i="7"/>
  <c r="DQ114" i="7"/>
  <c r="AC116" i="7"/>
  <c r="AC165" i="7" s="1"/>
  <c r="CI116" i="7"/>
  <c r="CI165" i="7" s="1"/>
  <c r="I118" i="7"/>
  <c r="AG118" i="7"/>
  <c r="BV118" i="7"/>
  <c r="DR118" i="7"/>
  <c r="S297" i="7"/>
  <c r="S285" i="7"/>
  <c r="S284" i="7" s="1"/>
  <c r="AJ120" i="7"/>
  <c r="BK297" i="7"/>
  <c r="J124" i="7"/>
  <c r="J127" i="7" s="1"/>
  <c r="AA127" i="7"/>
  <c r="DN124" i="7"/>
  <c r="AJ141" i="7"/>
  <c r="DQ128" i="7"/>
  <c r="AP118" i="7"/>
  <c r="DK118" i="7"/>
  <c r="H33" i="3" s="1"/>
  <c r="H32" i="3" s="1"/>
  <c r="U297" i="7"/>
  <c r="U285" i="7"/>
  <c r="U284" i="7" s="1"/>
  <c r="BL297" i="7"/>
  <c r="S122" i="7"/>
  <c r="U122" i="7" s="1"/>
  <c r="T124" i="7"/>
  <c r="T127" i="7" s="1"/>
  <c r="CP124" i="7"/>
  <c r="DR124" i="7"/>
  <c r="H125" i="7"/>
  <c r="AC125" i="7"/>
  <c r="AX125" i="7"/>
  <c r="BW110" i="7"/>
  <c r="O114" i="7"/>
  <c r="O112" i="7" s="1"/>
  <c r="O161" i="7" s="1"/>
  <c r="AC114" i="7"/>
  <c r="AC112" i="7" s="1"/>
  <c r="AC161" i="7" s="1"/>
  <c r="CK114" i="7"/>
  <c r="BM116" i="7"/>
  <c r="CL116" i="7"/>
  <c r="FV116" i="7"/>
  <c r="FV165" i="7" s="1"/>
  <c r="S118" i="7"/>
  <c r="AI118" i="7"/>
  <c r="DL118" i="7"/>
  <c r="DL127" i="7" s="1"/>
  <c r="V120" i="7"/>
  <c r="AN297" i="7"/>
  <c r="BB297" i="7"/>
  <c r="BB124" i="7"/>
  <c r="BM120" i="7"/>
  <c r="DT297" i="7"/>
  <c r="AJ121" i="7"/>
  <c r="CI124" i="7"/>
  <c r="AL127" i="7"/>
  <c r="AS124" i="7"/>
  <c r="DC125" i="7"/>
  <c r="FA125" i="7"/>
  <c r="T39" i="3" s="1"/>
  <c r="BP128" i="7"/>
  <c r="DJ112" i="7"/>
  <c r="AD164" i="7"/>
  <c r="DT114" i="7"/>
  <c r="AJ116" i="7"/>
  <c r="AJ165" i="7" s="1"/>
  <c r="L118" i="7"/>
  <c r="AB118" i="7"/>
  <c r="DE118" i="7"/>
  <c r="DE127" i="7" s="1"/>
  <c r="DE126" i="7" s="1"/>
  <c r="DU118" i="7"/>
  <c r="DX118" i="7" s="1"/>
  <c r="H120" i="7"/>
  <c r="W285" i="7"/>
  <c r="AO120" i="7"/>
  <c r="BP297" i="7"/>
  <c r="CT120" i="7"/>
  <c r="AD122" i="7"/>
  <c r="AM127" i="7"/>
  <c r="AJ125" i="7"/>
  <c r="CR141" i="7"/>
  <c r="CR144" i="7" s="1"/>
  <c r="CR145" i="7" s="1"/>
  <c r="AK141" i="7"/>
  <c r="AI141" i="7"/>
  <c r="AI144" i="7" s="1"/>
  <c r="AI145" i="7" s="1"/>
  <c r="T134" i="7"/>
  <c r="AB134" i="7"/>
  <c r="BH134" i="7"/>
  <c r="BY134" i="7"/>
  <c r="CG134" i="7"/>
  <c r="DE134" i="7"/>
  <c r="DM134" i="7"/>
  <c r="AM142" i="7"/>
  <c r="BO142" i="7"/>
  <c r="Z158" i="7"/>
  <c r="AP158" i="7"/>
  <c r="CG141" i="7"/>
  <c r="CG144" i="7" s="1"/>
  <c r="CG145" i="7" s="1"/>
  <c r="K142" i="7"/>
  <c r="DB158" i="7"/>
  <c r="CE175" i="7"/>
  <c r="CD179" i="7"/>
  <c r="CD153" i="7"/>
  <c r="W141" i="7"/>
  <c r="U141" i="7"/>
  <c r="U144" i="7" s="1"/>
  <c r="U145" i="7" s="1"/>
  <c r="AC141" i="7"/>
  <c r="BI141" i="7"/>
  <c r="BZ141" i="7"/>
  <c r="BZ144" i="7" s="1"/>
  <c r="BZ145" i="7" s="1"/>
  <c r="N134" i="7"/>
  <c r="BW142" i="7"/>
  <c r="AA152" i="7"/>
  <c r="Y152" i="7"/>
  <c r="Y154" i="7" s="1"/>
  <c r="Y155" i="7" s="1"/>
  <c r="AE152" i="7"/>
  <c r="BA179" i="7"/>
  <c r="BB152" i="7"/>
  <c r="BA153" i="7"/>
  <c r="M144" i="7"/>
  <c r="M145" i="7" s="1"/>
  <c r="N141" i="7"/>
  <c r="N144" i="7" s="1"/>
  <c r="N145" i="7" s="1"/>
  <c r="V141" i="7"/>
  <c r="BB141" i="7"/>
  <c r="BS141" i="7"/>
  <c r="BS144" i="7" s="1"/>
  <c r="BS145" i="7" s="1"/>
  <c r="CY141" i="7"/>
  <c r="CY144" i="7" s="1"/>
  <c r="CY145" i="7" s="1"/>
  <c r="AE134" i="7"/>
  <c r="BK134" i="7"/>
  <c r="CJ134" i="7"/>
  <c r="CR134" i="7"/>
  <c r="DH134" i="7"/>
  <c r="AU148" i="7"/>
  <c r="BC179" i="7"/>
  <c r="BC153" i="7"/>
  <c r="BF152" i="7"/>
  <c r="AV207" i="7"/>
  <c r="AV208" i="7" s="1"/>
  <c r="AU201" i="7"/>
  <c r="AV124" i="7"/>
  <c r="BR125" i="7"/>
  <c r="O141" i="7"/>
  <c r="AS141" i="7"/>
  <c r="AS144" i="7" s="1"/>
  <c r="AS145" i="7" s="1"/>
  <c r="BM141" i="7"/>
  <c r="BK141" i="7"/>
  <c r="BK144" i="7" s="1"/>
  <c r="BK145" i="7" s="1"/>
  <c r="X134" i="7"/>
  <c r="AF134" i="7"/>
  <c r="BD134" i="7"/>
  <c r="CC134" i="7"/>
  <c r="CK134" i="7"/>
  <c r="DA134" i="7"/>
  <c r="DI134" i="7"/>
  <c r="CL146" i="7"/>
  <c r="R158" i="7"/>
  <c r="AQ229" i="7"/>
  <c r="CK141" i="7"/>
  <c r="CK144" i="7" s="1"/>
  <c r="CK145" i="7" s="1"/>
  <c r="DI141" i="7"/>
  <c r="DI144" i="7" s="1"/>
  <c r="AA142" i="7"/>
  <c r="BG142" i="7"/>
  <c r="DO148" i="7"/>
  <c r="X144" i="7"/>
  <c r="X145" i="7" s="1"/>
  <c r="AE141" i="7"/>
  <c r="AE144" i="7" s="1"/>
  <c r="AE145" i="7" s="1"/>
  <c r="AG141" i="7"/>
  <c r="AV132" i="7"/>
  <c r="BE141" i="7"/>
  <c r="CD141" i="7"/>
  <c r="CD144" i="7" s="1"/>
  <c r="CD145" i="7" s="1"/>
  <c r="DB141" i="7"/>
  <c r="DB144" i="7" s="1"/>
  <c r="DB145" i="7" s="1"/>
  <c r="R134" i="7"/>
  <c r="AH134" i="7"/>
  <c r="AX134" i="7"/>
  <c r="CM134" i="7"/>
  <c r="DS134" i="7"/>
  <c r="AL148" i="7"/>
  <c r="CE156" i="7"/>
  <c r="CD158" i="7"/>
  <c r="CV156" i="7"/>
  <c r="CT158" i="7"/>
  <c r="J39" i="3"/>
  <c r="Z141" i="7"/>
  <c r="AP141" i="7"/>
  <c r="AI134" i="7"/>
  <c r="BP134" i="7"/>
  <c r="CF134" i="7"/>
  <c r="CN134" i="7"/>
  <c r="DL134" i="7"/>
  <c r="DT134" i="7"/>
  <c r="AR141" i="7"/>
  <c r="N148" i="7"/>
  <c r="BK148" i="7"/>
  <c r="AM148" i="7"/>
  <c r="AX175" i="7"/>
  <c r="AY174" i="7"/>
  <c r="AZ174" i="7" s="1"/>
  <c r="DI175" i="7"/>
  <c r="DJ174" i="7"/>
  <c r="DK174" i="7" s="1"/>
  <c r="AM174" i="7"/>
  <c r="AM179" i="7"/>
  <c r="CF158" i="7"/>
  <c r="DL158" i="7"/>
  <c r="DM179" i="7"/>
  <c r="DN175" i="7"/>
  <c r="AE174" i="7"/>
  <c r="AE179" i="7"/>
  <c r="AD175" i="7"/>
  <c r="V229" i="7"/>
  <c r="DE158" i="7"/>
  <c r="BM175" i="7"/>
  <c r="BL179" i="7"/>
  <c r="CG179" i="7"/>
  <c r="CH175" i="7"/>
  <c r="DU179" i="7"/>
  <c r="DS148" i="7"/>
  <c r="CX158" i="7"/>
  <c r="CS175" i="7"/>
  <c r="CR179" i="7"/>
  <c r="DC175" i="7"/>
  <c r="DB179" i="7"/>
  <c r="AZ176" i="7"/>
  <c r="BX175" i="7"/>
  <c r="BW179" i="7"/>
  <c r="W174" i="7"/>
  <c r="W179" i="7"/>
  <c r="V175" i="7"/>
  <c r="AG229" i="7"/>
  <c r="O188" i="7"/>
  <c r="CK175" i="7"/>
  <c r="CL174" i="7"/>
  <c r="DR179" i="7"/>
  <c r="DQ175" i="7"/>
  <c r="CZ175" i="7"/>
  <c r="CY179" i="7"/>
  <c r="BG179" i="7"/>
  <c r="BF175" i="7"/>
  <c r="CV175" i="7"/>
  <c r="CU179" i="7"/>
  <c r="O174" i="7"/>
  <c r="O179" i="7"/>
  <c r="O229" i="7"/>
  <c r="CW176" i="7"/>
  <c r="F44" i="3" s="1"/>
  <c r="AC228" i="7"/>
  <c r="L229" i="7"/>
  <c r="AD229" i="7"/>
  <c r="S228" i="7"/>
  <c r="AK228" i="7"/>
  <c r="BU228" i="7"/>
  <c r="V181" i="7"/>
  <c r="AX188" i="7"/>
  <c r="AY185" i="7"/>
  <c r="AZ185" i="7" s="1"/>
  <c r="DH188" i="7"/>
  <c r="AC230" i="7"/>
  <c r="V228" i="7"/>
  <c r="AN228" i="7"/>
  <c r="BV228" i="7"/>
  <c r="CM228" i="7"/>
  <c r="I230" i="7"/>
  <c r="H191" i="7"/>
  <c r="P229" i="7"/>
  <c r="AJ229" i="7"/>
  <c r="BQ229" i="7"/>
  <c r="DP229" i="7"/>
  <c r="DQ229" i="7" s="1"/>
  <c r="DR229" i="7" s="1"/>
  <c r="E228" i="7"/>
  <c r="W228" i="7"/>
  <c r="AQ228" i="7"/>
  <c r="AC188" i="7"/>
  <c r="CM181" i="7"/>
  <c r="DG181" i="7"/>
  <c r="DG188" i="7" s="1"/>
  <c r="DF188" i="7"/>
  <c r="CD188" i="7"/>
  <c r="CE185" i="7"/>
  <c r="CE188" i="7" s="1"/>
  <c r="D189" i="7"/>
  <c r="CW191" i="7"/>
  <c r="F55" i="3" s="1"/>
  <c r="CE174" i="7"/>
  <c r="DC174" i="7"/>
  <c r="DD174" i="7" s="1"/>
  <c r="S229" i="7"/>
  <c r="AK229" i="7"/>
  <c r="BT229" i="7"/>
  <c r="CI176" i="7"/>
  <c r="H228" i="7"/>
  <c r="Z228" i="7"/>
  <c r="AR228" i="7"/>
  <c r="CP177" i="7"/>
  <c r="E45" i="3" s="1"/>
  <c r="AD188" i="7"/>
  <c r="AZ181" i="7"/>
  <c r="X188" i="7"/>
  <c r="W185" i="7"/>
  <c r="V185" i="7" s="1"/>
  <c r="F189" i="7"/>
  <c r="Q188" i="7"/>
  <c r="O230" i="7"/>
  <c r="T174" i="7"/>
  <c r="AB174" i="7"/>
  <c r="AR174" i="7"/>
  <c r="BX174" i="7"/>
  <c r="CV174" i="7"/>
  <c r="CW174" i="7" s="1"/>
  <c r="Z175" i="7"/>
  <c r="AN229" i="7"/>
  <c r="AO229" i="7" s="1"/>
  <c r="BU176" i="7"/>
  <c r="I228" i="7"/>
  <c r="CB177" i="7"/>
  <c r="C45" i="3" s="1"/>
  <c r="DK177" i="7"/>
  <c r="H45" i="3" s="1"/>
  <c r="H181" i="7"/>
  <c r="H188" i="7" s="1"/>
  <c r="AJ181" i="7"/>
  <c r="DK181" i="7"/>
  <c r="S188" i="7"/>
  <c r="AH188" i="7"/>
  <c r="AG185" i="7"/>
  <c r="AG188" i="7" s="1"/>
  <c r="AS188" i="7"/>
  <c r="AR185" i="7"/>
  <c r="AQ185" i="7" s="1"/>
  <c r="AQ188" i="7" s="1"/>
  <c r="DM188" i="7"/>
  <c r="DN185" i="7"/>
  <c r="DN188" i="7" s="1"/>
  <c r="G189" i="7"/>
  <c r="S175" i="7"/>
  <c r="AQ175" i="7"/>
  <c r="E229" i="7"/>
  <c r="W229" i="7"/>
  <c r="BV229" i="7"/>
  <c r="CM229" i="7"/>
  <c r="L228" i="7"/>
  <c r="AD228" i="7"/>
  <c r="BP179" i="7"/>
  <c r="CN179" i="7"/>
  <c r="DT179" i="7"/>
  <c r="BE181" i="7"/>
  <c r="AI188" i="7"/>
  <c r="N174" i="7"/>
  <c r="AL174" i="7"/>
  <c r="AT174" i="7"/>
  <c r="H229" i="7"/>
  <c r="Z229" i="7"/>
  <c r="AR229" i="7"/>
  <c r="O228" i="7"/>
  <c r="AG228" i="7"/>
  <c r="BQ228" i="7"/>
  <c r="DP228" i="7"/>
  <c r="AV188" i="7"/>
  <c r="AU185" i="7"/>
  <c r="AU188" i="7" s="1"/>
  <c r="W199" i="7"/>
  <c r="AH199" i="7"/>
  <c r="AH208" i="7" s="1"/>
  <c r="AG192" i="7"/>
  <c r="AG132" i="7" s="1"/>
  <c r="AK175" i="7"/>
  <c r="I229" i="7"/>
  <c r="AC176" i="7"/>
  <c r="CP176" i="7"/>
  <c r="E44" i="3" s="1"/>
  <c r="P228" i="7"/>
  <c r="AJ177" i="7"/>
  <c r="AZ177" i="7"/>
  <c r="BT228" i="7"/>
  <c r="CI177" i="7"/>
  <c r="E178" i="7"/>
  <c r="E179" i="7" s="1"/>
  <c r="P188" i="7"/>
  <c r="BV188" i="7"/>
  <c r="E188" i="7"/>
  <c r="DR188" i="7"/>
  <c r="DQ185" i="7"/>
  <c r="DP185" i="7" s="1"/>
  <c r="K189" i="7"/>
  <c r="Z230" i="7"/>
  <c r="AR230" i="7"/>
  <c r="P193" i="7"/>
  <c r="O193" i="7" s="1"/>
  <c r="O199" i="7" s="1"/>
  <c r="AN193" i="7"/>
  <c r="AN199" i="7" s="1"/>
  <c r="BJ207" i="7"/>
  <c r="BJ208" i="7" s="1"/>
  <c r="BI201" i="7"/>
  <c r="M208" i="7"/>
  <c r="AL208" i="7"/>
  <c r="BH208" i="7"/>
  <c r="BY208" i="7"/>
  <c r="DE295" i="7"/>
  <c r="DD295" i="7"/>
  <c r="DD218" i="7"/>
  <c r="CN208" i="7"/>
  <c r="N208" i="7"/>
  <c r="Y208" i="7"/>
  <c r="BK208" i="7"/>
  <c r="BZ208" i="7"/>
  <c r="L230" i="7"/>
  <c r="AD230" i="7"/>
  <c r="BQ230" i="7"/>
  <c r="DP230" i="7"/>
  <c r="DQ230" i="7" s="1"/>
  <c r="DR230" i="7" s="1"/>
  <c r="CE193" i="7"/>
  <c r="CE199" i="7" s="1"/>
  <c r="DG198" i="7"/>
  <c r="DG199" i="7" s="1"/>
  <c r="F199" i="7"/>
  <c r="F208" i="7" s="1"/>
  <c r="V207" i="7"/>
  <c r="DK207" i="7"/>
  <c r="AA208" i="7"/>
  <c r="CA207" i="7"/>
  <c r="CQ208" i="7"/>
  <c r="CA185" i="7"/>
  <c r="CB185" i="7" s="1"/>
  <c r="AG230" i="7"/>
  <c r="AZ191" i="7"/>
  <c r="BT230" i="7"/>
  <c r="BT199" i="7"/>
  <c r="CI191" i="7"/>
  <c r="D55" i="3" s="1"/>
  <c r="S193" i="7"/>
  <c r="S199" i="7" s="1"/>
  <c r="AY193" i="7"/>
  <c r="AZ193" i="7" s="1"/>
  <c r="BX193" i="7"/>
  <c r="BX199" i="7" s="1"/>
  <c r="CO193" i="7"/>
  <c r="CP193" i="7" s="1"/>
  <c r="E57" i="3" s="1"/>
  <c r="DU193" i="7"/>
  <c r="DU199" i="7" s="1"/>
  <c r="CK199" i="7"/>
  <c r="BU207" i="7"/>
  <c r="DM208" i="7"/>
  <c r="Q208" i="7"/>
  <c r="AB208" i="7"/>
  <c r="AX208" i="7"/>
  <c r="BO208" i="7"/>
  <c r="CC208" i="7"/>
  <c r="BD295" i="7"/>
  <c r="BB295" i="7"/>
  <c r="BB218" i="7"/>
  <c r="P230" i="7"/>
  <c r="AJ230" i="7"/>
  <c r="BU230" i="7"/>
  <c r="BU199" i="7"/>
  <c r="CL199" i="7"/>
  <c r="AO208" i="7"/>
  <c r="DA208" i="7"/>
  <c r="R208" i="7"/>
  <c r="AE208" i="7"/>
  <c r="BA208" i="7"/>
  <c r="BP208" i="7"/>
  <c r="CD208" i="7"/>
  <c r="AK218" i="7"/>
  <c r="AJ211" i="7"/>
  <c r="DP295" i="7"/>
  <c r="DP218" i="7"/>
  <c r="S230" i="7"/>
  <c r="AK230" i="7"/>
  <c r="BV230" i="7"/>
  <c r="BV199" i="7"/>
  <c r="CM230" i="7"/>
  <c r="CM199" i="7"/>
  <c r="DD191" i="7"/>
  <c r="G55" i="3" s="1"/>
  <c r="AK193" i="7"/>
  <c r="AJ193" i="7" s="1"/>
  <c r="AJ199" i="7" s="1"/>
  <c r="BI193" i="7"/>
  <c r="BI199" i="7" s="1"/>
  <c r="CH193" i="7"/>
  <c r="CI193" i="7" s="1"/>
  <c r="D57" i="3" s="1"/>
  <c r="DJ198" i="7"/>
  <c r="DK198" i="7" s="1"/>
  <c r="DK199" i="7" s="1"/>
  <c r="H61" i="3" s="1"/>
  <c r="H60" i="3" s="1"/>
  <c r="H207" i="7"/>
  <c r="AC207" i="7"/>
  <c r="G208" i="7"/>
  <c r="T208" i="7"/>
  <c r="BC208" i="7"/>
  <c r="CF208" i="7"/>
  <c r="DO208" i="7"/>
  <c r="O295" i="7"/>
  <c r="O218" i="7"/>
  <c r="V230" i="7"/>
  <c r="AN230" i="7"/>
  <c r="AO230" i="7" s="1"/>
  <c r="BS199" i="7"/>
  <c r="AS208" i="7"/>
  <c r="U208" i="7"/>
  <c r="CG208" i="7"/>
  <c r="U295" i="7"/>
  <c r="S295" i="7"/>
  <c r="S218" i="7"/>
  <c r="CN218" i="7"/>
  <c r="CO213" i="7"/>
  <c r="CP213" i="7" s="1"/>
  <c r="E73" i="3" s="1"/>
  <c r="E230" i="7"/>
  <c r="W230" i="7"/>
  <c r="AQ191" i="7"/>
  <c r="CP191" i="7"/>
  <c r="E55" i="3" s="1"/>
  <c r="AF199" i="7"/>
  <c r="AF208" i="7" s="1"/>
  <c r="AU193" i="7"/>
  <c r="AU199" i="7" s="1"/>
  <c r="CJ199" i="7"/>
  <c r="CS193" i="7"/>
  <c r="CS199" i="7" s="1"/>
  <c r="DQ193" i="7"/>
  <c r="DP193" i="7" s="1"/>
  <c r="DP199" i="7" s="1"/>
  <c r="AK207" i="7"/>
  <c r="CE207" i="7"/>
  <c r="K208" i="7"/>
  <c r="W207" i="7"/>
  <c r="AI208" i="7"/>
  <c r="BG208" i="7"/>
  <c r="BW208" i="7"/>
  <c r="AD207" i="7"/>
  <c r="CH207" i="7"/>
  <c r="BA295" i="7"/>
  <c r="BG295" i="7"/>
  <c r="AZ295" i="7"/>
  <c r="AZ218" i="7"/>
  <c r="CJ295" i="7"/>
  <c r="CI218" i="7"/>
  <c r="AJ201" i="7"/>
  <c r="AN206" i="7"/>
  <c r="AN207" i="7" s="1"/>
  <c r="BT207" i="7"/>
  <c r="CR207" i="7"/>
  <c r="CR208" i="7" s="1"/>
  <c r="V211" i="7"/>
  <c r="BE211" i="7"/>
  <c r="BW295" i="7"/>
  <c r="BV218" i="7"/>
  <c r="F218" i="7"/>
  <c r="E215" i="7"/>
  <c r="BL237" i="7"/>
  <c r="BL238" i="7"/>
  <c r="BN201" i="7"/>
  <c r="CW201" i="7"/>
  <c r="I207" i="7"/>
  <c r="DI207" i="7"/>
  <c r="DI208" i="7" s="1"/>
  <c r="CP211" i="7"/>
  <c r="E71" i="3" s="1"/>
  <c r="DC203" i="7"/>
  <c r="DD203" i="7" s="1"/>
  <c r="H299" i="7"/>
  <c r="AB295" i="7"/>
  <c r="Z295" i="7"/>
  <c r="Z218" i="7"/>
  <c r="AQ295" i="7"/>
  <c r="AQ218" i="7"/>
  <c r="BI295" i="7"/>
  <c r="BK295" i="7"/>
  <c r="BI218" i="7"/>
  <c r="CA218" i="7"/>
  <c r="DK211" i="7"/>
  <c r="H71" i="3" s="1"/>
  <c r="H75" i="3" s="1"/>
  <c r="H218" i="7"/>
  <c r="AN218" i="7"/>
  <c r="I218" i="7"/>
  <c r="AC295" i="7"/>
  <c r="AC218" i="7"/>
  <c r="AR218" i="7"/>
  <c r="BM218" i="7"/>
  <c r="CB211" i="7"/>
  <c r="C71" i="3" s="1"/>
  <c r="C75" i="3" s="1"/>
  <c r="J299" i="7"/>
  <c r="J218" i="7"/>
  <c r="P218" i="7"/>
  <c r="AQ201" i="7"/>
  <c r="AR206" i="7"/>
  <c r="AQ206" i="7" s="1"/>
  <c r="N295" i="7"/>
  <c r="L295" i="7"/>
  <c r="AD218" i="7"/>
  <c r="AU295" i="7"/>
  <c r="AW295" i="7"/>
  <c r="AU218" i="7"/>
  <c r="BO295" i="7"/>
  <c r="BN295" i="7"/>
  <c r="BN218" i="7"/>
  <c r="CE218" i="7"/>
  <c r="CX295" i="7"/>
  <c r="CW218" i="7"/>
  <c r="AG295" i="7"/>
  <c r="AI295" i="7"/>
  <c r="AG218" i="7"/>
  <c r="AY218" i="7"/>
  <c r="BQ218" i="7"/>
  <c r="CH218" i="7"/>
  <c r="DQ218" i="7"/>
  <c r="G218" i="7"/>
  <c r="DT231" i="7"/>
  <c r="CX231" i="7"/>
  <c r="DJ231" i="7"/>
  <c r="DK228" i="7"/>
  <c r="DK231" i="7" s="1"/>
  <c r="CA231" i="7"/>
  <c r="L215" i="7"/>
  <c r="L218" i="7" s="1"/>
  <c r="CN231" i="7"/>
  <c r="D218" i="7"/>
  <c r="AA231" i="7"/>
  <c r="CB231" i="7"/>
  <c r="DB231" i="7"/>
  <c r="DC228" i="7"/>
  <c r="CD231" i="7"/>
  <c r="CE228" i="7"/>
  <c r="CE231" i="7" s="1"/>
  <c r="BZ231" i="7"/>
  <c r="DF231" i="7"/>
  <c r="CI247" i="7"/>
  <c r="CI253" i="7" s="1"/>
  <c r="CO228" i="7"/>
  <c r="DU228" i="7"/>
  <c r="DU231" i="7" s="1"/>
  <c r="BU250" i="7"/>
  <c r="BT250" i="7" s="1"/>
  <c r="BU251" i="7"/>
  <c r="CB246" i="7"/>
  <c r="CB251" i="7" s="1"/>
  <c r="BT249" i="7"/>
  <c r="BX246" i="7"/>
  <c r="BX249" i="7" s="1"/>
  <c r="BM264" i="7"/>
  <c r="BN264" i="7" s="1"/>
  <c r="BL249" i="7"/>
  <c r="BO279" i="7" s="1"/>
  <c r="BO281" i="7" s="1"/>
  <c r="CS250" i="7"/>
  <c r="CS247" i="7"/>
  <c r="CS253" i="7" s="1"/>
  <c r="CS251" i="7"/>
  <c r="DH279" i="7"/>
  <c r="DH281" i="7" s="1"/>
  <c r="DJ246" i="7"/>
  <c r="DG251" i="7"/>
  <c r="DG250" i="7"/>
  <c r="DH246" i="7"/>
  <c r="Y284" i="7"/>
  <c r="AA283" i="7"/>
  <c r="AA284" i="7" s="1"/>
  <c r="BX255" i="7"/>
  <c r="BX254" i="7" s="1"/>
  <c r="G284" i="7"/>
  <c r="I283" i="7"/>
  <c r="DE246" i="7"/>
  <c r="DE249" i="7" s="1"/>
  <c r="DF246" i="7" s="1"/>
  <c r="DF249" i="7" s="1"/>
  <c r="DK246" i="7"/>
  <c r="AR279" i="7"/>
  <c r="AQ281" i="7"/>
  <c r="AT283" i="7" s="1"/>
  <c r="AQ246" i="7"/>
  <c r="AQ249" i="7" s="1"/>
  <c r="DQ255" i="7"/>
  <c r="AF284" i="7"/>
  <c r="AH283" i="7"/>
  <c r="AH284" i="7" s="1"/>
  <c r="DU255" i="7"/>
  <c r="DY255" i="7" s="1"/>
  <c r="N284" i="7"/>
  <c r="P283" i="7"/>
  <c r="AK283" i="7"/>
  <c r="AI284" i="7"/>
  <c r="CP246" i="7"/>
  <c r="CL246" i="7"/>
  <c r="CL249" i="7" s="1"/>
  <c r="CM279" i="7" s="1"/>
  <c r="CM281" i="7" s="1"/>
  <c r="R284" i="7"/>
  <c r="T283" i="7"/>
  <c r="T284" i="7" s="1"/>
  <c r="AM284" i="7"/>
  <c r="AO283" i="7"/>
  <c r="AO285" i="7" s="1"/>
  <c r="CU251" i="7"/>
  <c r="CB247" i="7"/>
  <c r="CB253" i="7" s="1"/>
  <c r="CQ246" i="7"/>
  <c r="CC246" i="7"/>
  <c r="CC249" i="7" s="1"/>
  <c r="W283" i="7"/>
  <c r="T268" i="7"/>
  <c r="DD265" i="7"/>
  <c r="DC267" i="7"/>
  <c r="AR268" i="7"/>
  <c r="W268" i="7"/>
  <c r="BO268" i="7"/>
  <c r="BY268" i="7"/>
  <c r="BP279" i="7"/>
  <c r="BW268" i="7"/>
  <c r="BP268" i="7"/>
  <c r="CM268" i="7"/>
  <c r="DL279" i="7"/>
  <c r="DL268" i="7"/>
  <c r="M283" i="7"/>
  <c r="M284" i="7" s="1"/>
  <c r="K284" i="7"/>
  <c r="AB284" i="7"/>
  <c r="AD283" i="7"/>
  <c r="CN279" i="7"/>
  <c r="CU268" i="7"/>
  <c r="AB268" i="7"/>
  <c r="AI268" i="7"/>
  <c r="AZ265" i="7"/>
  <c r="CB265" i="7"/>
  <c r="S268" i="7"/>
  <c r="BI279" i="7"/>
  <c r="BI268" i="7"/>
  <c r="BD285" i="7"/>
  <c r="BF283" i="7"/>
  <c r="M279" i="7"/>
  <c r="M281" i="7" s="1"/>
  <c r="Q265" i="7"/>
  <c r="AY267" i="7"/>
  <c r="CR279" i="7"/>
  <c r="DB281" i="7"/>
  <c r="BD268" i="7"/>
  <c r="DP268" i="7"/>
  <c r="AQ268" i="7"/>
  <c r="CJ279" i="7"/>
  <c r="CJ281" i="7" s="1"/>
  <c r="DE279" i="7"/>
  <c r="DE281" i="7" s="1"/>
  <c r="DE268" i="7"/>
  <c r="DS279" i="7"/>
  <c r="DS268" i="7"/>
  <c r="I267" i="7"/>
  <c r="I279" i="7"/>
  <c r="I281" i="7" s="1"/>
  <c r="AD267" i="7"/>
  <c r="AD279" i="7"/>
  <c r="AD281" i="7" s="1"/>
  <c r="BW279" i="7"/>
  <c r="CF279" i="7"/>
  <c r="CF281" i="7" s="1"/>
  <c r="BG265" i="7"/>
  <c r="BQ267" i="7"/>
  <c r="CU279" i="7"/>
  <c r="AJ268" i="7"/>
  <c r="CF268" i="7"/>
  <c r="T279" i="7"/>
  <c r="T281" i="7" s="1"/>
  <c r="BH279" i="7"/>
  <c r="BH281" i="7" s="1"/>
  <c r="DO268" i="7"/>
  <c r="U268" i="7"/>
  <c r="F279" i="7"/>
  <c r="F281" i="7" s="1"/>
  <c r="F267" i="7"/>
  <c r="BV279" i="7"/>
  <c r="BV281" i="7" s="1"/>
  <c r="L268" i="7"/>
  <c r="BH268" i="7"/>
  <c r="AK279" i="7"/>
  <c r="AK281" i="7" s="1"/>
  <c r="BC267" i="7"/>
  <c r="BJ268" i="7" s="1"/>
  <c r="CY281" i="7"/>
  <c r="O268" i="7"/>
  <c r="AM268" i="7"/>
  <c r="AU268" i="7"/>
  <c r="BK268" i="7"/>
  <c r="BS268" i="7"/>
  <c r="CQ268" i="7"/>
  <c r="CY268" i="7"/>
  <c r="AO277" i="7"/>
  <c r="W279" i="7"/>
  <c r="W281" i="7" s="1"/>
  <c r="AO267" i="7"/>
  <c r="AV268" i="7" s="1"/>
  <c r="CC279" i="7"/>
  <c r="CC281" i="7" s="1"/>
  <c r="CK279" i="7"/>
  <c r="CS267" i="7"/>
  <c r="DI279" i="7"/>
  <c r="Y268" i="7"/>
  <c r="AG268" i="7"/>
  <c r="AW268" i="7"/>
  <c r="BE268" i="7"/>
  <c r="CC268" i="7"/>
  <c r="CK268" i="7"/>
  <c r="DA268" i="7"/>
  <c r="DI268" i="7"/>
  <c r="E284" i="7"/>
  <c r="F283" i="7"/>
  <c r="F284" i="7" s="1"/>
  <c r="R268" i="7"/>
  <c r="Z268" i="7"/>
  <c r="AP268" i="7"/>
  <c r="AX268" i="7"/>
  <c r="BV268" i="7"/>
  <c r="CD268" i="7"/>
  <c r="CT268" i="7"/>
  <c r="DB268" i="7"/>
  <c r="CD279" i="7"/>
  <c r="P279" i="7"/>
  <c r="P281" i="7" s="1"/>
  <c r="BR279" i="7"/>
  <c r="BR281" i="7" s="1"/>
  <c r="BS283" i="7" s="1"/>
  <c r="BS285" i="7" s="1"/>
  <c r="N268" i="7"/>
  <c r="V268" i="7"/>
  <c r="AT268" i="7"/>
  <c r="BB268" i="7"/>
  <c r="BR268" i="7"/>
  <c r="BZ268" i="7"/>
  <c r="CX268" i="7"/>
  <c r="AN277" i="7"/>
  <c r="CT279" i="7"/>
  <c r="CT281" i="7" s="1"/>
  <c r="BJ283" i="7"/>
  <c r="BJ285" i="7" s="1"/>
  <c r="AH27" i="3"/>
  <c r="AK37" i="3"/>
  <c r="AG43" i="3"/>
  <c r="AM46" i="3"/>
  <c r="AM60" i="3" s="1"/>
  <c r="AJ27" i="3"/>
  <c r="AM37" i="3"/>
  <c r="AI43" i="3"/>
  <c r="AG46" i="3"/>
  <c r="AK27" i="3"/>
  <c r="AJ43" i="3"/>
  <c r="AH46" i="3"/>
  <c r="AL27" i="3"/>
  <c r="AG37" i="3"/>
  <c r="AK43" i="3"/>
  <c r="AI46" i="3"/>
  <c r="AM27" i="3"/>
  <c r="AL43" i="3"/>
  <c r="AJ46" i="3"/>
  <c r="EN269" i="7" l="1"/>
  <c r="EO269" i="7"/>
  <c r="EP269" i="7"/>
  <c r="U23" i="3"/>
  <c r="U42" i="3" s="1"/>
  <c r="DJ268" i="7"/>
  <c r="AR21" i="3"/>
  <c r="AR43" i="3" s="1"/>
  <c r="Q23" i="3"/>
  <c r="Q42" i="3" s="1"/>
  <c r="AS21" i="3"/>
  <c r="AS46" i="3" s="1"/>
  <c r="AS60" i="3" s="1"/>
  <c r="S23" i="3"/>
  <c r="S42" i="3" s="1"/>
  <c r="AP21" i="3"/>
  <c r="AP37" i="3" s="1"/>
  <c r="V23" i="3"/>
  <c r="V42" i="3" s="1"/>
  <c r="AZ21" i="3"/>
  <c r="AZ43" i="3" s="1"/>
  <c r="Z23" i="3"/>
  <c r="Z42" i="3" s="1"/>
  <c r="N23" i="3"/>
  <c r="N42" i="3" s="1"/>
  <c r="AQ21" i="3"/>
  <c r="AQ27" i="3" s="1"/>
  <c r="W23" i="3"/>
  <c r="W42" i="3" s="1"/>
  <c r="BB21" i="3"/>
  <c r="BB27" i="3" s="1"/>
  <c r="AU21" i="3"/>
  <c r="AU37" i="3" s="1"/>
  <c r="AA23" i="3"/>
  <c r="AA42" i="3" s="1"/>
  <c r="X23" i="3"/>
  <c r="X42" i="3" s="1"/>
  <c r="AM233" i="7"/>
  <c r="EJ269" i="7"/>
  <c r="EK269" i="7"/>
  <c r="EL269" i="7"/>
  <c r="EM288" i="7"/>
  <c r="AM32" i="3" s="1"/>
  <c r="EM287" i="7"/>
  <c r="EM269" i="7"/>
  <c r="ET113" i="7"/>
  <c r="M31" i="3" s="1"/>
  <c r="Y232" i="7"/>
  <c r="Y106" i="7" s="1"/>
  <c r="DR267" i="7"/>
  <c r="AN21" i="3"/>
  <c r="AN46" i="3" s="1"/>
  <c r="AN60" i="3" s="1"/>
  <c r="DW64" i="7"/>
  <c r="EG269" i="7"/>
  <c r="EH269" i="7"/>
  <c r="EI269" i="7"/>
  <c r="CY208" i="7"/>
  <c r="AN134" i="7"/>
  <c r="AN237" i="7" s="1"/>
  <c r="M17" i="3"/>
  <c r="FE253" i="7"/>
  <c r="FE247" i="7" s="1"/>
  <c r="FP253" i="7"/>
  <c r="FP247" i="7" s="1"/>
  <c r="FB253" i="7"/>
  <c r="FB247" i="7" s="1"/>
  <c r="FQ253" i="7"/>
  <c r="FQ247" i="7" s="1"/>
  <c r="FT253" i="7"/>
  <c r="FT247" i="7" s="1"/>
  <c r="BB253" i="7"/>
  <c r="BB255" i="7" s="1"/>
  <c r="BC255" i="7" s="1"/>
  <c r="BG255" i="7" s="1"/>
  <c r="EX253" i="7"/>
  <c r="EX247" i="7" s="1"/>
  <c r="FI253" i="7"/>
  <c r="FI247" i="7" s="1"/>
  <c r="FL253" i="7"/>
  <c r="FL247" i="7" s="1"/>
  <c r="FS253" i="7"/>
  <c r="FS247" i="7" s="1"/>
  <c r="FC253" i="7"/>
  <c r="FC247" i="7" s="1"/>
  <c r="FJ253" i="7"/>
  <c r="FJ247" i="7" s="1"/>
  <c r="EY253" i="7"/>
  <c r="EY247" i="7" s="1"/>
  <c r="BH253" i="7"/>
  <c r="BH254" i="7" s="1"/>
  <c r="CN253" i="7"/>
  <c r="CN255" i="7" s="1"/>
  <c r="AT253" i="7"/>
  <c r="AT255" i="7" s="1"/>
  <c r="FM253" i="7"/>
  <c r="FM247" i="7" s="1"/>
  <c r="EV253" i="7"/>
  <c r="EV247" i="7" s="1"/>
  <c r="FF253" i="7"/>
  <c r="FF247" i="7" s="1"/>
  <c r="EU253" i="7"/>
  <c r="EU247" i="7" s="1"/>
  <c r="AM232" i="7"/>
  <c r="AM106" i="7" s="1"/>
  <c r="BA43" i="3"/>
  <c r="BA37" i="3"/>
  <c r="BA46" i="3"/>
  <c r="BA60" i="3" s="1"/>
  <c r="BA27" i="3"/>
  <c r="AY27" i="3"/>
  <c r="AY46" i="3"/>
  <c r="AY60" i="3" s="1"/>
  <c r="AY37" i="3"/>
  <c r="AY43" i="3"/>
  <c r="AA17" i="3"/>
  <c r="FB297" i="7"/>
  <c r="U34" i="3"/>
  <c r="AX46" i="3"/>
  <c r="AX60" i="3" s="1"/>
  <c r="AX37" i="3"/>
  <c r="AX27" i="3"/>
  <c r="AX43" i="3"/>
  <c r="AX48" i="3"/>
  <c r="AY48" i="3"/>
  <c r="AV43" i="3"/>
  <c r="AV46" i="3"/>
  <c r="AV60" i="3" s="1"/>
  <c r="AV37" i="3"/>
  <c r="AV27" i="3"/>
  <c r="FE297" i="7"/>
  <c r="X34" i="3"/>
  <c r="AW27" i="3"/>
  <c r="AW43" i="3"/>
  <c r="AW46" i="3"/>
  <c r="AW60" i="3" s="1"/>
  <c r="AW37" i="3"/>
  <c r="K232" i="7"/>
  <c r="K106" i="7" s="1"/>
  <c r="AS232" i="7"/>
  <c r="AS106" i="7" s="1"/>
  <c r="AL232" i="7"/>
  <c r="AL106" i="7" s="1"/>
  <c r="BC167" i="7"/>
  <c r="AK21" i="7"/>
  <c r="AK112" i="7"/>
  <c r="AK113" i="7" s="1"/>
  <c r="EC269" i="7"/>
  <c r="ED269" i="7"/>
  <c r="EF288" i="7"/>
  <c r="AL32" i="3" s="1"/>
  <c r="EE269" i="7"/>
  <c r="EF287" i="7"/>
  <c r="EF269" i="7"/>
  <c r="AO46" i="3"/>
  <c r="AO60" i="3" s="1"/>
  <c r="AO37" i="3"/>
  <c r="AO43" i="3"/>
  <c r="AO27" i="3"/>
  <c r="EZ113" i="7"/>
  <c r="S31" i="3" s="1"/>
  <c r="R31" i="3"/>
  <c r="T17" i="3"/>
  <c r="EX297" i="7"/>
  <c r="Q34" i="3"/>
  <c r="AT37" i="3"/>
  <c r="AT27" i="3"/>
  <c r="AT43" i="3"/>
  <c r="AT46" i="3"/>
  <c r="AT60" i="3" s="1"/>
  <c r="EU297" i="7"/>
  <c r="N34" i="3"/>
  <c r="AQ48" i="3"/>
  <c r="AR48" i="3"/>
  <c r="R232" i="7"/>
  <c r="R106" i="7" s="1"/>
  <c r="AF232" i="7"/>
  <c r="AF106" i="7" s="1"/>
  <c r="AH232" i="7"/>
  <c r="AH106" i="7" s="1"/>
  <c r="W167" i="7"/>
  <c r="EB144" i="7"/>
  <c r="EB145" i="7" s="1"/>
  <c r="EC141" i="7"/>
  <c r="EC144" i="7" s="1"/>
  <c r="EC145" i="7" s="1"/>
  <c r="AB232" i="7"/>
  <c r="AB106" i="7" s="1"/>
  <c r="U232" i="7"/>
  <c r="U106" i="7" s="1"/>
  <c r="DQ268" i="7"/>
  <c r="DW44" i="7"/>
  <c r="I112" i="7"/>
  <c r="I113" i="7" s="1"/>
  <c r="DW43" i="7"/>
  <c r="EA82" i="7"/>
  <c r="AO167" i="7"/>
  <c r="DO16" i="7"/>
  <c r="DD61" i="7"/>
  <c r="BF199" i="7"/>
  <c r="BF208" i="7" s="1"/>
  <c r="BG78" i="7"/>
  <c r="AH89" i="7"/>
  <c r="DT82" i="7"/>
  <c r="AL82" i="7"/>
  <c r="DB189" i="7"/>
  <c r="DB209" i="7" s="1"/>
  <c r="DB219" i="7" s="1"/>
  <c r="L134" i="7"/>
  <c r="L237" i="7" s="1"/>
  <c r="CR21" i="7"/>
  <c r="J224" i="7"/>
  <c r="DU134" i="7"/>
  <c r="DX135" i="7" s="1"/>
  <c r="BE83" i="7"/>
  <c r="DH189" i="7"/>
  <c r="DH209" i="7" s="1"/>
  <c r="DH219" i="7" s="1"/>
  <c r="BM144" i="7"/>
  <c r="CZ134" i="7"/>
  <c r="CZ238" i="7" s="1"/>
  <c r="AW57" i="7"/>
  <c r="AE232" i="7"/>
  <c r="AE106" i="7" s="1"/>
  <c r="BS179" i="7"/>
  <c r="BS189" i="7" s="1"/>
  <c r="V60" i="7"/>
  <c r="V146" i="7" s="1"/>
  <c r="CB267" i="7"/>
  <c r="CB269" i="7" s="1"/>
  <c r="J233" i="7"/>
  <c r="CA82" i="7"/>
  <c r="AK152" i="7"/>
  <c r="BR238" i="7"/>
  <c r="DT118" i="7"/>
  <c r="AR199" i="7"/>
  <c r="M236" i="7"/>
  <c r="BL83" i="7"/>
  <c r="CR16" i="7"/>
  <c r="CR17" i="7" s="1"/>
  <c r="L31" i="3"/>
  <c r="M238" i="7"/>
  <c r="CN83" i="7"/>
  <c r="BM134" i="7"/>
  <c r="BM236" i="7" s="1"/>
  <c r="DL208" i="7"/>
  <c r="G238" i="7"/>
  <c r="BA88" i="7"/>
  <c r="Y36" i="7"/>
  <c r="Y138" i="7" s="1"/>
  <c r="AL279" i="7"/>
  <c r="AL281" i="7" s="1"/>
  <c r="BR237" i="7"/>
  <c r="BZ16" i="7"/>
  <c r="BZ85" i="7" s="1"/>
  <c r="CE88" i="7"/>
  <c r="O142" i="7"/>
  <c r="O144" i="7" s="1"/>
  <c r="BR236" i="7"/>
  <c r="CQ238" i="7"/>
  <c r="U236" i="7"/>
  <c r="BO238" i="7"/>
  <c r="BG89" i="7"/>
  <c r="U238" i="7"/>
  <c r="AG124" i="7"/>
  <c r="AG127" i="7" s="1"/>
  <c r="AG57" i="7"/>
  <c r="DO189" i="7"/>
  <c r="DO209" i="7" s="1"/>
  <c r="DO219" i="7" s="1"/>
  <c r="AW189" i="7"/>
  <c r="AI189" i="7"/>
  <c r="AI209" i="7" s="1"/>
  <c r="AI219" i="7" s="1"/>
  <c r="U135" i="7"/>
  <c r="AG67" i="7"/>
  <c r="AG93" i="7" s="1"/>
  <c r="AG95" i="7" s="1"/>
  <c r="AG96" i="7" s="1"/>
  <c r="AG97" i="7" s="1"/>
  <c r="C247" i="3"/>
  <c r="DM16" i="7"/>
  <c r="DM85" i="7" s="1"/>
  <c r="Z88" i="7"/>
  <c r="AG137" i="7"/>
  <c r="AG315" i="7"/>
  <c r="CZ250" i="7"/>
  <c r="AI232" i="7"/>
  <c r="AI106" i="7" s="1"/>
  <c r="BN77" i="7"/>
  <c r="CG89" i="7"/>
  <c r="CV83" i="7"/>
  <c r="DA279" i="7"/>
  <c r="DA281" i="7" s="1"/>
  <c r="CU232" i="7"/>
  <c r="CU106" i="7" s="1"/>
  <c r="Y67" i="7"/>
  <c r="Y93" i="7" s="1"/>
  <c r="Y95" i="7" s="1"/>
  <c r="Y96" i="7" s="1"/>
  <c r="Y97" i="7" s="1"/>
  <c r="Y137" i="7"/>
  <c r="Y57" i="7"/>
  <c r="CZ279" i="7"/>
  <c r="CZ281" i="7" s="1"/>
  <c r="DB283" i="7" s="1"/>
  <c r="DC283" i="7" s="1"/>
  <c r="AS267" i="7"/>
  <c r="AS269" i="7" s="1"/>
  <c r="DT124" i="7"/>
  <c r="Y50" i="7"/>
  <c r="BF134" i="7"/>
  <c r="BF236" i="7" s="1"/>
  <c r="Y189" i="7"/>
  <c r="Y209" i="7" s="1"/>
  <c r="Y219" i="7" s="1"/>
  <c r="K35" i="3"/>
  <c r="CE164" i="7"/>
  <c r="AM88" i="7"/>
  <c r="CH57" i="7"/>
  <c r="AA112" i="7"/>
  <c r="AA161" i="7" s="1"/>
  <c r="BF21" i="7"/>
  <c r="DG89" i="7"/>
  <c r="AJ188" i="7"/>
  <c r="AN124" i="7"/>
  <c r="AN127" i="7" s="1"/>
  <c r="AE69" i="7"/>
  <c r="AE78" i="7" s="1"/>
  <c r="AA189" i="7"/>
  <c r="AA209" i="7" s="1"/>
  <c r="AA219" i="7" s="1"/>
  <c r="CA88" i="7"/>
  <c r="BE36" i="7"/>
  <c r="CZ89" i="7"/>
  <c r="EB83" i="7"/>
  <c r="DZ269" i="7"/>
  <c r="EA269" i="7"/>
  <c r="EB269" i="7"/>
  <c r="CD189" i="7"/>
  <c r="CD209" i="7" s="1"/>
  <c r="CD219" i="7" s="1"/>
  <c r="AK89" i="7"/>
  <c r="S134" i="7"/>
  <c r="S236" i="7" s="1"/>
  <c r="D237" i="7"/>
  <c r="AR283" i="7"/>
  <c r="AR285" i="7" s="1"/>
  <c r="DK88" i="7"/>
  <c r="Q137" i="7"/>
  <c r="DG16" i="7"/>
  <c r="DC246" i="7"/>
  <c r="CZ251" i="7"/>
  <c r="CM141" i="7"/>
  <c r="CM144" i="7" s="1"/>
  <c r="CM145" i="7" s="1"/>
  <c r="CM89" i="7"/>
  <c r="CP207" i="7"/>
  <c r="DB237" i="7"/>
  <c r="CD82" i="7"/>
  <c r="DJ144" i="7"/>
  <c r="AL189" i="7"/>
  <c r="AL209" i="7" s="1"/>
  <c r="AL219" i="7" s="1"/>
  <c r="AL64" i="7"/>
  <c r="AL65" i="7" s="1"/>
  <c r="AW88" i="7"/>
  <c r="AH83" i="7"/>
  <c r="CU291" i="7"/>
  <c r="AW315" i="7"/>
  <c r="CR167" i="7"/>
  <c r="CR169" i="7" s="1"/>
  <c r="BX83" i="7"/>
  <c r="BV48" i="7"/>
  <c r="CR127" i="7"/>
  <c r="CR126" i="7" s="1"/>
  <c r="Q232" i="7"/>
  <c r="Q106" i="7" s="1"/>
  <c r="O238" i="7"/>
  <c r="V199" i="7"/>
  <c r="V208" i="7" s="1"/>
  <c r="CQ236" i="7"/>
  <c r="DF236" i="7"/>
  <c r="BG69" i="7"/>
  <c r="BG70" i="7" s="1"/>
  <c r="AM82" i="7"/>
  <c r="W89" i="7"/>
  <c r="L48" i="7"/>
  <c r="L137" i="7" s="1"/>
  <c r="Q16" i="7"/>
  <c r="Q49" i="7" s="1"/>
  <c r="CR291" i="7"/>
  <c r="BN78" i="7"/>
  <c r="O60" i="7"/>
  <c r="O146" i="7" s="1"/>
  <c r="O148" i="7" s="1"/>
  <c r="CE250" i="7"/>
  <c r="F237" i="7"/>
  <c r="CX208" i="7"/>
  <c r="AW67" i="7"/>
  <c r="AW93" i="7" s="1"/>
  <c r="AW95" i="7" s="1"/>
  <c r="AW97" i="7" s="1"/>
  <c r="AT189" i="7"/>
  <c r="AS189" i="7"/>
  <c r="BN181" i="7"/>
  <c r="BN188" i="7" s="1"/>
  <c r="BY189" i="7"/>
  <c r="BY209" i="7" s="1"/>
  <c r="BY219" i="7" s="1"/>
  <c r="P145" i="7"/>
  <c r="AT82" i="7"/>
  <c r="AK82" i="7"/>
  <c r="AW36" i="7"/>
  <c r="AW103" i="7" s="1"/>
  <c r="CW61" i="7"/>
  <c r="CD154" i="7"/>
  <c r="CD155" i="7" s="1"/>
  <c r="DK255" i="7"/>
  <c r="AW201" i="7"/>
  <c r="DG124" i="7"/>
  <c r="DJ124" i="7" s="1"/>
  <c r="DI124" i="7" s="1"/>
  <c r="BK164" i="7"/>
  <c r="BM164" i="7" s="1"/>
  <c r="CI77" i="7"/>
  <c r="P65" i="7"/>
  <c r="P104" i="7" s="1"/>
  <c r="AW137" i="7"/>
  <c r="AZ78" i="7"/>
  <c r="CY118" i="7"/>
  <c r="CY127" i="7" s="1"/>
  <c r="CY126" i="7" s="1"/>
  <c r="AT134" i="7"/>
  <c r="AT238" i="7" s="1"/>
  <c r="CL82" i="7"/>
  <c r="DS82" i="7"/>
  <c r="DZ82" i="7"/>
  <c r="DY144" i="7"/>
  <c r="DZ141" i="7"/>
  <c r="DJ269" i="7"/>
  <c r="BP269" i="7"/>
  <c r="DH269" i="7"/>
  <c r="BF269" i="7"/>
  <c r="CK269" i="7"/>
  <c r="BS269" i="7"/>
  <c r="CP287" i="7"/>
  <c r="AF31" i="3" s="1"/>
  <c r="AH269" i="7"/>
  <c r="AG269" i="7"/>
  <c r="E269" i="7"/>
  <c r="AK269" i="7"/>
  <c r="M269" i="7"/>
  <c r="DR288" i="7"/>
  <c r="AJ32" i="3" s="1"/>
  <c r="CT269" i="7"/>
  <c r="DS154" i="7"/>
  <c r="DS155" i="7" s="1"/>
  <c r="BX88" i="7"/>
  <c r="N124" i="7"/>
  <c r="N127" i="7" s="1"/>
  <c r="BM112" i="7"/>
  <c r="BM114" i="7" s="1"/>
  <c r="BN114" i="7" s="1"/>
  <c r="CD88" i="7"/>
  <c r="J144" i="7"/>
  <c r="J145" i="7" s="1"/>
  <c r="DO238" i="7"/>
  <c r="DR237" i="7"/>
  <c r="AJ39" i="3" s="1"/>
  <c r="BX16" i="7"/>
  <c r="BX17" i="7" s="1"/>
  <c r="Q89" i="7"/>
  <c r="CW19" i="7"/>
  <c r="F48" i="7"/>
  <c r="F57" i="7" s="1"/>
  <c r="DO236" i="7"/>
  <c r="DR238" i="7"/>
  <c r="BZ82" i="7"/>
  <c r="DL89" i="7"/>
  <c r="X83" i="7"/>
  <c r="DR255" i="7"/>
  <c r="DO237" i="7"/>
  <c r="BW238" i="7"/>
  <c r="DR236" i="7"/>
  <c r="DY241" i="7" s="1"/>
  <c r="CI70" i="7"/>
  <c r="D13" i="3" s="1"/>
  <c r="BV21" i="7"/>
  <c r="O122" i="7"/>
  <c r="AL77" i="7"/>
  <c r="BW237" i="7"/>
  <c r="DB236" i="7"/>
  <c r="BD124" i="7"/>
  <c r="CQ82" i="7"/>
  <c r="AK88" i="7"/>
  <c r="CI105" i="7"/>
  <c r="D26" i="3" s="1"/>
  <c r="BV167" i="7"/>
  <c r="BX82" i="7"/>
  <c r="T189" i="7"/>
  <c r="T209" i="7" s="1"/>
  <c r="T219" i="7" s="1"/>
  <c r="CN154" i="7"/>
  <c r="CN155" i="7" s="1"/>
  <c r="BW236" i="7"/>
  <c r="DM21" i="7"/>
  <c r="BV291" i="7"/>
  <c r="CE82" i="7"/>
  <c r="AP154" i="7"/>
  <c r="AP155" i="7" s="1"/>
  <c r="DK29" i="7"/>
  <c r="DK30" i="7" s="1"/>
  <c r="DK21" i="7" s="1"/>
  <c r="BT134" i="7"/>
  <c r="BT237" i="7" s="1"/>
  <c r="DQ269" i="7"/>
  <c r="DC83" i="7"/>
  <c r="T232" i="7"/>
  <c r="T106" i="7" s="1"/>
  <c r="M135" i="7"/>
  <c r="N48" i="7"/>
  <c r="N49" i="7" s="1"/>
  <c r="BW88" i="7"/>
  <c r="E222" i="7"/>
  <c r="BB144" i="7"/>
  <c r="BB146" i="7" s="1"/>
  <c r="BB148" i="7" s="1"/>
  <c r="AL238" i="7"/>
  <c r="BF124" i="7"/>
  <c r="DO48" i="7"/>
  <c r="DO89" i="7"/>
  <c r="DE291" i="7"/>
  <c r="CS16" i="7"/>
  <c r="CS17" i="7" s="1"/>
  <c r="CS233" i="7" s="1"/>
  <c r="X232" i="7"/>
  <c r="X106" i="7" s="1"/>
  <c r="E226" i="7"/>
  <c r="L83" i="7"/>
  <c r="DB169" i="7"/>
  <c r="CB78" i="7"/>
  <c r="CI134" i="7"/>
  <c r="AF189" i="7"/>
  <c r="AF209" i="7" s="1"/>
  <c r="AF219" i="7" s="1"/>
  <c r="K237" i="7"/>
  <c r="DP123" i="7"/>
  <c r="AE88" i="7"/>
  <c r="M48" i="7"/>
  <c r="M57" i="7" s="1"/>
  <c r="CT48" i="7"/>
  <c r="BE88" i="7"/>
  <c r="BS88" i="7"/>
  <c r="CJ48" i="7"/>
  <c r="CK88" i="7"/>
  <c r="CE142" i="7"/>
  <c r="CH141" i="7" s="1"/>
  <c r="CH144" i="7" s="1"/>
  <c r="CH145" i="7" s="1"/>
  <c r="BW144" i="7"/>
  <c r="BW145" i="7" s="1"/>
  <c r="DF237" i="7"/>
  <c r="O82" i="7"/>
  <c r="O88" i="7"/>
  <c r="BE57" i="7"/>
  <c r="J227" i="7"/>
  <c r="BF83" i="7"/>
  <c r="DC16" i="7"/>
  <c r="DC17" i="7" s="1"/>
  <c r="T88" i="7"/>
  <c r="CT232" i="7"/>
  <c r="CT106" i="7" s="1"/>
  <c r="BE61" i="7"/>
  <c r="BE65" i="7" s="1"/>
  <c r="BE137" i="7" s="1"/>
  <c r="Q152" i="7"/>
  <c r="Q154" i="7" s="1"/>
  <c r="AI16" i="7"/>
  <c r="AI17" i="7" s="1"/>
  <c r="CK82" i="7"/>
  <c r="BI21" i="7"/>
  <c r="BE315" i="7"/>
  <c r="AO36" i="7"/>
  <c r="AO103" i="7" s="1"/>
  <c r="J222" i="7"/>
  <c r="CV30" i="7"/>
  <c r="CV21" i="7" s="1"/>
  <c r="DJ188" i="7"/>
  <c r="K152" i="7"/>
  <c r="K154" i="7" s="1"/>
  <c r="K155" i="7" s="1"/>
  <c r="DQ144" i="7"/>
  <c r="AD134" i="7"/>
  <c r="AD238" i="7" s="1"/>
  <c r="BZ236" i="7"/>
  <c r="CP77" i="7"/>
  <c r="BS82" i="7"/>
  <c r="AE48" i="7"/>
  <c r="DN88" i="7"/>
  <c r="DT88" i="7"/>
  <c r="BE16" i="7"/>
  <c r="BE49" i="7" s="1"/>
  <c r="BE82" i="7"/>
  <c r="J223" i="7"/>
  <c r="DF135" i="7"/>
  <c r="BZ237" i="7"/>
  <c r="AO237" i="7"/>
  <c r="BS48" i="7"/>
  <c r="AI88" i="7"/>
  <c r="J226" i="7"/>
  <c r="DA16" i="7"/>
  <c r="DA17" i="7" s="1"/>
  <c r="CW29" i="7"/>
  <c r="DQ134" i="7"/>
  <c r="R189" i="7"/>
  <c r="R209" i="7" s="1"/>
  <c r="R219" i="7" s="1"/>
  <c r="AH189" i="7"/>
  <c r="AH209" i="7" s="1"/>
  <c r="AH219" i="7" s="1"/>
  <c r="Z144" i="7"/>
  <c r="Z145" i="7" s="1"/>
  <c r="Z134" i="7"/>
  <c r="Z236" i="7" s="1"/>
  <c r="AT48" i="7"/>
  <c r="AX82" i="7"/>
  <c r="DC88" i="7"/>
  <c r="CK16" i="7"/>
  <c r="CK51" i="7" s="1"/>
  <c r="DS127" i="7"/>
  <c r="DW123" i="7"/>
  <c r="DR127" i="7"/>
  <c r="DX124" i="7"/>
  <c r="DU127" i="7"/>
  <c r="K236" i="7"/>
  <c r="K135" i="7"/>
  <c r="AV154" i="7"/>
  <c r="AV155" i="7" s="1"/>
  <c r="DO232" i="7"/>
  <c r="DO106" i="7" s="1"/>
  <c r="E208" i="7"/>
  <c r="DV124" i="7"/>
  <c r="F89" i="7"/>
  <c r="DR88" i="7"/>
  <c r="DE48" i="7"/>
  <c r="M89" i="7"/>
  <c r="M83" i="7"/>
  <c r="BS232" i="7"/>
  <c r="BS106" i="7" s="1"/>
  <c r="BO236" i="7"/>
  <c r="P124" i="7"/>
  <c r="P127" i="7" s="1"/>
  <c r="CJ88" i="7"/>
  <c r="CY88" i="7"/>
  <c r="AV83" i="7"/>
  <c r="AD48" i="7"/>
  <c r="AD315" i="7" s="1"/>
  <c r="CH88" i="7"/>
  <c r="CI16" i="7"/>
  <c r="DP208" i="7"/>
  <c r="DD116" i="7"/>
  <c r="DD165" i="7" s="1"/>
  <c r="CD48" i="7"/>
  <c r="BB88" i="7"/>
  <c r="BB57" i="7"/>
  <c r="CU16" i="7"/>
  <c r="CU85" i="7" s="1"/>
  <c r="BJ247" i="7"/>
  <c r="CF232" i="7"/>
  <c r="CF106" i="7" s="1"/>
  <c r="I179" i="7"/>
  <c r="I189" i="7" s="1"/>
  <c r="DL189" i="7"/>
  <c r="AK144" i="7"/>
  <c r="L124" i="7"/>
  <c r="L127" i="7" s="1"/>
  <c r="AO83" i="7"/>
  <c r="CJ16" i="7"/>
  <c r="CJ85" i="7" s="1"/>
  <c r="BB36" i="7"/>
  <c r="C258" i="3"/>
  <c r="O123" i="7"/>
  <c r="E227" i="7"/>
  <c r="AR134" i="7"/>
  <c r="AR238" i="7" s="1"/>
  <c r="BU98" i="7"/>
  <c r="E89" i="7"/>
  <c r="BB315" i="7"/>
  <c r="DJ83" i="7"/>
  <c r="BO48" i="7"/>
  <c r="CO16" i="7"/>
  <c r="CO17" i="7" s="1"/>
  <c r="CQ88" i="7"/>
  <c r="DT208" i="7"/>
  <c r="AT208" i="7"/>
  <c r="E224" i="7"/>
  <c r="BO237" i="7"/>
  <c r="DE89" i="7"/>
  <c r="DT48" i="7"/>
  <c r="EA50" i="7" s="1"/>
  <c r="BU61" i="7"/>
  <c r="BW21" i="7"/>
  <c r="CG154" i="7"/>
  <c r="CG155" i="7" s="1"/>
  <c r="CA134" i="7"/>
  <c r="CA238" i="7" s="1"/>
  <c r="G86" i="4"/>
  <c r="DY103" i="7"/>
  <c r="DY79" i="7"/>
  <c r="DW22" i="7"/>
  <c r="DX313" i="7"/>
  <c r="DX22" i="7" s="1"/>
  <c r="DU70" i="7"/>
  <c r="DX68" i="7"/>
  <c r="DY82" i="7"/>
  <c r="CA144" i="7"/>
  <c r="CA145" i="7" s="1"/>
  <c r="BL88" i="7"/>
  <c r="DW285" i="7"/>
  <c r="DX283" i="7"/>
  <c r="DW148" i="7"/>
  <c r="DX146" i="7"/>
  <c r="DW145" i="7"/>
  <c r="DX77" i="7"/>
  <c r="DW122" i="7"/>
  <c r="W269" i="7"/>
  <c r="DW269" i="7"/>
  <c r="DY288" i="7"/>
  <c r="AK32" i="3" s="1"/>
  <c r="DX269" i="7"/>
  <c r="DX268" i="7"/>
  <c r="DW46" i="7"/>
  <c r="CI181" i="7"/>
  <c r="CI188" i="7" s="1"/>
  <c r="CC232" i="7"/>
  <c r="CC106" i="7" s="1"/>
  <c r="BX134" i="7"/>
  <c r="BX238" i="7" s="1"/>
  <c r="BY141" i="7"/>
  <c r="BY144" i="7" s="1"/>
  <c r="BY145" i="7" s="1"/>
  <c r="DV232" i="7"/>
  <c r="DV106" i="7" s="1"/>
  <c r="DV109" i="7" s="1"/>
  <c r="DX232" i="7"/>
  <c r="AO154" i="7"/>
  <c r="AO155" i="7" s="1"/>
  <c r="BE144" i="7"/>
  <c r="BE146" i="7" s="1"/>
  <c r="BE148" i="7" s="1"/>
  <c r="CD83" i="7"/>
  <c r="CI288" i="7"/>
  <c r="AE32" i="3" s="1"/>
  <c r="AF269" i="7"/>
  <c r="DK48" i="7"/>
  <c r="H10" i="3" s="1"/>
  <c r="H79" i="4"/>
  <c r="FA288" i="7"/>
  <c r="AU32" i="3" s="1"/>
  <c r="BZ269" i="7"/>
  <c r="Z269" i="7"/>
  <c r="Y269" i="7"/>
  <c r="BK269" i="7"/>
  <c r="BH269" i="7"/>
  <c r="DO269" i="7"/>
  <c r="CF269" i="7"/>
  <c r="DP269" i="7"/>
  <c r="AR269" i="7"/>
  <c r="AA269" i="7"/>
  <c r="BO269" i="7"/>
  <c r="T269" i="7"/>
  <c r="CF189" i="7"/>
  <c r="CF209" i="7" s="1"/>
  <c r="CF219" i="7" s="1"/>
  <c r="J134" i="7"/>
  <c r="Q135" i="7" s="1"/>
  <c r="BK124" i="7"/>
  <c r="BK127" i="7" s="1"/>
  <c r="CQ48" i="7"/>
  <c r="BI48" i="7"/>
  <c r="P16" i="7"/>
  <c r="P17" i="7" s="1"/>
  <c r="BI167" i="7"/>
  <c r="BW167" i="7"/>
  <c r="AO57" i="7"/>
  <c r="P88" i="7"/>
  <c r="V269" i="7"/>
  <c r="DK134" i="7"/>
  <c r="DL135" i="7" s="1"/>
  <c r="H69" i="3"/>
  <c r="CW288" i="7"/>
  <c r="AG32" i="3" s="1"/>
  <c r="ET288" i="7"/>
  <c r="AN32" i="3" s="1"/>
  <c r="BR269" i="7"/>
  <c r="DA269" i="7"/>
  <c r="R269" i="7"/>
  <c r="AU269" i="7"/>
  <c r="CO269" i="7"/>
  <c r="AJ269" i="7"/>
  <c r="CP288" i="7"/>
  <c r="DS269" i="7"/>
  <c r="CJ269" i="7"/>
  <c r="S269" i="7"/>
  <c r="DL269" i="7"/>
  <c r="CG266" i="7"/>
  <c r="CG267" i="7" s="1"/>
  <c r="CB288" i="7"/>
  <c r="AD32" i="3" s="1"/>
  <c r="BQ208" i="7"/>
  <c r="AL135" i="7"/>
  <c r="BS236" i="7"/>
  <c r="AD77" i="7"/>
  <c r="DS89" i="7"/>
  <c r="BW16" i="7"/>
  <c r="BW85" i="7" s="1"/>
  <c r="DS48" i="7"/>
  <c r="DS137" i="7" s="1"/>
  <c r="BI291" i="7"/>
  <c r="BW291" i="7"/>
  <c r="CZ30" i="7"/>
  <c r="D269" i="7"/>
  <c r="BB134" i="7"/>
  <c r="BB236" i="7" s="1"/>
  <c r="H11" i="3"/>
  <c r="FH288" i="7"/>
  <c r="BB32" i="3" s="1"/>
  <c r="BJ269" i="7"/>
  <c r="BV269" i="7"/>
  <c r="CY269" i="7"/>
  <c r="O269" i="7"/>
  <c r="DN269" i="7"/>
  <c r="CV269" i="7"/>
  <c r="CU269" i="7"/>
  <c r="CC269" i="7"/>
  <c r="DK288" i="7"/>
  <c r="AI32" i="3" s="1"/>
  <c r="BL269" i="7"/>
  <c r="AQ269" i="7"/>
  <c r="BU288" i="7"/>
  <c r="BD269" i="7"/>
  <c r="BG288" i="7"/>
  <c r="Q189" i="7"/>
  <c r="Q209" i="7" s="1"/>
  <c r="Q219" i="7" s="1"/>
  <c r="W144" i="7"/>
  <c r="W145" i="7" s="1"/>
  <c r="T141" i="7"/>
  <c r="T144" i="7" s="1"/>
  <c r="T145" i="7" s="1"/>
  <c r="AA236" i="7"/>
  <c r="BJ236" i="7"/>
  <c r="CX237" i="7"/>
  <c r="X48" i="7"/>
  <c r="DT89" i="7"/>
  <c r="DK89" i="7"/>
  <c r="AY16" i="7"/>
  <c r="AY49" i="7" s="1"/>
  <c r="AY88" i="7"/>
  <c r="CH30" i="7"/>
  <c r="CH21" i="7" s="1"/>
  <c r="T82" i="7"/>
  <c r="CD269" i="7"/>
  <c r="H269" i="7"/>
  <c r="AA82" i="7"/>
  <c r="CH134" i="7"/>
  <c r="CH236" i="7" s="1"/>
  <c r="CH241" i="7" s="1"/>
  <c r="W134" i="7"/>
  <c r="W237" i="7" s="1"/>
  <c r="DD288" i="7"/>
  <c r="AH32" i="3" s="1"/>
  <c r="AT269" i="7"/>
  <c r="AX269" i="7"/>
  <c r="BE269" i="7"/>
  <c r="BA269" i="7"/>
  <c r="K269" i="7"/>
  <c r="CL269" i="7"/>
  <c r="DB269" i="7"/>
  <c r="CX269" i="7"/>
  <c r="FO288" i="7"/>
  <c r="BB269" i="7"/>
  <c r="CR269" i="7"/>
  <c r="AB269" i="7"/>
  <c r="CN269" i="7"/>
  <c r="CM269" i="7"/>
  <c r="CE238" i="7"/>
  <c r="BJ237" i="7"/>
  <c r="AL237" i="7"/>
  <c r="CX236" i="7"/>
  <c r="BL48" i="7"/>
  <c r="BP48" i="7"/>
  <c r="DH16" i="7"/>
  <c r="DH17" i="7" s="1"/>
  <c r="CZ269" i="7"/>
  <c r="L208" i="7"/>
  <c r="BX269" i="7"/>
  <c r="FV288" i="7"/>
  <c r="N269" i="7"/>
  <c r="AP269" i="7"/>
  <c r="BN288" i="7"/>
  <c r="AW269" i="7"/>
  <c r="L269" i="7"/>
  <c r="U269" i="7"/>
  <c r="AC269" i="7"/>
  <c r="DI269" i="7"/>
  <c r="DM269" i="7"/>
  <c r="DE269" i="7"/>
  <c r="BI269" i="7"/>
  <c r="DR287" i="7"/>
  <c r="AJ31" i="3" s="1"/>
  <c r="AV269" i="7"/>
  <c r="BY269" i="7"/>
  <c r="DK188" i="7"/>
  <c r="AR144" i="7"/>
  <c r="Q144" i="7"/>
  <c r="Q145" i="7" s="1"/>
  <c r="AL236" i="7"/>
  <c r="D86" i="4"/>
  <c r="D79" i="4"/>
  <c r="F86" i="4"/>
  <c r="G79" i="4"/>
  <c r="E79" i="4"/>
  <c r="I86" i="4"/>
  <c r="F79" i="4"/>
  <c r="I79" i="4"/>
  <c r="E86" i="4"/>
  <c r="H86" i="4"/>
  <c r="DH88" i="7"/>
  <c r="DM232" i="7"/>
  <c r="DM106" i="7" s="1"/>
  <c r="J25" i="3"/>
  <c r="DV118" i="7"/>
  <c r="DV128" i="7"/>
  <c r="DW128" i="7" s="1"/>
  <c r="DV113" i="7"/>
  <c r="DW113" i="7" s="1"/>
  <c r="DW164" i="7" s="1"/>
  <c r="DT128" i="7"/>
  <c r="DA232" i="7"/>
  <c r="DA106" i="7" s="1"/>
  <c r="P269" i="7"/>
  <c r="DV269" i="7"/>
  <c r="BY232" i="7"/>
  <c r="BY106" i="7" s="1"/>
  <c r="BT188" i="7"/>
  <c r="DT154" i="7"/>
  <c r="DT155" i="7" s="1"/>
  <c r="DV155" i="7" s="1"/>
  <c r="DV156" i="7" s="1"/>
  <c r="DP43" i="7"/>
  <c r="AT154" i="7"/>
  <c r="AT155" i="7" s="1"/>
  <c r="AB189" i="7"/>
  <c r="AB209" i="7" s="1"/>
  <c r="AB219" i="7" s="1"/>
  <c r="AK134" i="7"/>
  <c r="AK236" i="7" s="1"/>
  <c r="BV16" i="7"/>
  <c r="CV89" i="7"/>
  <c r="CH255" i="7"/>
  <c r="CI255" i="7" s="1"/>
  <c r="BU267" i="7"/>
  <c r="DC134" i="7"/>
  <c r="DC236" i="7" s="1"/>
  <c r="DB16" i="7"/>
  <c r="AP82" i="7"/>
  <c r="CA269" i="7"/>
  <c r="BV134" i="7"/>
  <c r="BV135" i="7" s="1"/>
  <c r="CR232" i="7"/>
  <c r="CR106" i="7" s="1"/>
  <c r="P134" i="7"/>
  <c r="P236" i="7" s="1"/>
  <c r="DF127" i="7"/>
  <c r="DF126" i="7" s="1"/>
  <c r="DG126" i="7" s="1"/>
  <c r="BF144" i="7"/>
  <c r="I54" i="3"/>
  <c r="CL134" i="7"/>
  <c r="CL237" i="7" s="1"/>
  <c r="BU287" i="7"/>
  <c r="S208" i="7"/>
  <c r="P189" i="7"/>
  <c r="AA238" i="7"/>
  <c r="CY236" i="7"/>
  <c r="BS238" i="7"/>
  <c r="AK127" i="7"/>
  <c r="AO236" i="7"/>
  <c r="CJ83" i="7"/>
  <c r="V88" i="7"/>
  <c r="BY88" i="7"/>
  <c r="BQ89" i="7"/>
  <c r="F167" i="7"/>
  <c r="F168" i="7" s="1"/>
  <c r="I168" i="7" s="1"/>
  <c r="I169" i="7" s="1"/>
  <c r="DE167" i="7"/>
  <c r="DE169" i="7" s="1"/>
  <c r="CU161" i="7"/>
  <c r="AA21" i="7"/>
  <c r="Q67" i="7"/>
  <c r="Q93" i="7" s="1"/>
  <c r="Q95" i="7" s="1"/>
  <c r="BX268" i="7"/>
  <c r="AA135" i="7"/>
  <c r="AE77" i="7"/>
  <c r="BQ83" i="7"/>
  <c r="AH82" i="7"/>
  <c r="U89" i="7"/>
  <c r="CO207" i="7"/>
  <c r="AV189" i="7"/>
  <c r="AV209" i="7" s="1"/>
  <c r="AV219" i="7" s="1"/>
  <c r="DT189" i="7"/>
  <c r="BR141" i="7"/>
  <c r="BR144" i="7" s="1"/>
  <c r="BR145" i="7" s="1"/>
  <c r="BX120" i="7"/>
  <c r="BX124" i="7" s="1"/>
  <c r="CY135" i="7"/>
  <c r="BZ135" i="7"/>
  <c r="Q237" i="7"/>
  <c r="AK16" i="7"/>
  <c r="AK17" i="7" s="1"/>
  <c r="CU88" i="7"/>
  <c r="AB83" i="7"/>
  <c r="CR48" i="7"/>
  <c r="AN48" i="7"/>
  <c r="AN67" i="7" s="1"/>
  <c r="M189" i="7"/>
  <c r="AR275" i="7"/>
  <c r="AR277" i="7" s="1"/>
  <c r="AE279" i="7"/>
  <c r="AE281" i="7" s="1"/>
  <c r="DE189" i="7"/>
  <c r="DE209" i="7" s="1"/>
  <c r="DE219" i="7" s="1"/>
  <c r="CP175" i="7"/>
  <c r="E43" i="3" s="1"/>
  <c r="E47" i="3" s="1"/>
  <c r="E54" i="3" s="1"/>
  <c r="BQ134" i="7"/>
  <c r="BQ238" i="7" s="1"/>
  <c r="CY237" i="7"/>
  <c r="BS135" i="7"/>
  <c r="BW124" i="7"/>
  <c r="BW127" i="7" s="1"/>
  <c r="Q238" i="7"/>
  <c r="CI65" i="7"/>
  <c r="U16" i="7"/>
  <c r="U49" i="7" s="1"/>
  <c r="CK89" i="7"/>
  <c r="AL88" i="7"/>
  <c r="CT82" i="7"/>
  <c r="DE21" i="7"/>
  <c r="CU21" i="7"/>
  <c r="S168" i="7"/>
  <c r="S169" i="7" s="1"/>
  <c r="Q36" i="7"/>
  <c r="Q138" i="7" s="1"/>
  <c r="CV16" i="7"/>
  <c r="CV17" i="7" s="1"/>
  <c r="CA268" i="7"/>
  <c r="CO179" i="7"/>
  <c r="BS237" i="7"/>
  <c r="CC83" i="7"/>
  <c r="G88" i="7"/>
  <c r="CC89" i="7"/>
  <c r="AA16" i="7"/>
  <c r="AA49" i="7" s="1"/>
  <c r="DS88" i="7"/>
  <c r="AA88" i="7"/>
  <c r="DE161" i="7"/>
  <c r="P167" i="7"/>
  <c r="CG48" i="7"/>
  <c r="BE208" i="7"/>
  <c r="CD135" i="7"/>
  <c r="AR118" i="7"/>
  <c r="CM88" i="7"/>
  <c r="U154" i="7"/>
  <c r="U155" i="7" s="1"/>
  <c r="BF82" i="7"/>
  <c r="BF88" i="7"/>
  <c r="CX16" i="7"/>
  <c r="CX17" i="7" s="1"/>
  <c r="CK232" i="7"/>
  <c r="CK106" i="7" s="1"/>
  <c r="X189" i="7"/>
  <c r="CD236" i="7"/>
  <c r="CK124" i="7"/>
  <c r="BG77" i="7"/>
  <c r="DN89" i="7"/>
  <c r="CY82" i="7"/>
  <c r="AX48" i="7"/>
  <c r="AX49" i="7" s="1"/>
  <c r="CR88" i="7"/>
  <c r="BJ82" i="7"/>
  <c r="BJ48" i="7"/>
  <c r="BJ315" i="7" s="1"/>
  <c r="CG88" i="7"/>
  <c r="AG16" i="7"/>
  <c r="AN85" i="7" s="1"/>
  <c r="AO112" i="7"/>
  <c r="AO113" i="7" s="1"/>
  <c r="AO164" i="7" s="1"/>
  <c r="BM16" i="7"/>
  <c r="DA189" i="7"/>
  <c r="DA209" i="7" s="1"/>
  <c r="DA219" i="7" s="1"/>
  <c r="AS77" i="7"/>
  <c r="AY134" i="7"/>
  <c r="AY236" i="7" s="1"/>
  <c r="BH154" i="7"/>
  <c r="BH155" i="7" s="1"/>
  <c r="CW269" i="7"/>
  <c r="AG33" i="3" s="1"/>
  <c r="BV295" i="7"/>
  <c r="BU218" i="7"/>
  <c r="BH189" i="7"/>
  <c r="BH209" i="7" s="1"/>
  <c r="BH219" i="7" s="1"/>
  <c r="DS189" i="7"/>
  <c r="CT141" i="7"/>
  <c r="DP134" i="7"/>
  <c r="CS124" i="7"/>
  <c r="BC144" i="7"/>
  <c r="CD238" i="7"/>
  <c r="BQ124" i="7"/>
  <c r="AO88" i="7"/>
  <c r="BQ16" i="7"/>
  <c r="BQ49" i="7" s="1"/>
  <c r="BY82" i="7"/>
  <c r="AW89" i="7"/>
  <c r="BQ88" i="7"/>
  <c r="M88" i="7"/>
  <c r="BH48" i="7"/>
  <c r="CG83" i="7"/>
  <c r="DG83" i="7"/>
  <c r="AO82" i="7"/>
  <c r="AL36" i="7"/>
  <c r="DM167" i="7"/>
  <c r="DM169" i="7" s="1"/>
  <c r="CE21" i="7"/>
  <c r="CW255" i="7"/>
  <c r="CW121" i="7" s="1"/>
  <c r="F35" i="3" s="1"/>
  <c r="CA199" i="7"/>
  <c r="CA208" i="7" s="1"/>
  <c r="J209" i="7"/>
  <c r="J219" i="7" s="1"/>
  <c r="CB199" i="7"/>
  <c r="CI146" i="7"/>
  <c r="CI148" i="7" s="1"/>
  <c r="BC134" i="7"/>
  <c r="BJ135" i="7" s="1"/>
  <c r="BA236" i="7"/>
  <c r="BU78" i="7"/>
  <c r="CP78" i="7"/>
  <c r="AG88" i="7"/>
  <c r="BQ82" i="7"/>
  <c r="CN48" i="7"/>
  <c r="CM48" i="7"/>
  <c r="AG82" i="7"/>
  <c r="AP88" i="7"/>
  <c r="AL57" i="7"/>
  <c r="DM291" i="7"/>
  <c r="BM57" i="7"/>
  <c r="CO48" i="7"/>
  <c r="CO50" i="7" s="1"/>
  <c r="E134" i="7"/>
  <c r="E236" i="7" s="1"/>
  <c r="BX208" i="7"/>
  <c r="BK189" i="7"/>
  <c r="BK209" i="7" s="1"/>
  <c r="BK219" i="7" s="1"/>
  <c r="BT144" i="7"/>
  <c r="BP124" i="7"/>
  <c r="BP127" i="7" s="1"/>
  <c r="BA238" i="7"/>
  <c r="BD141" i="7"/>
  <c r="BD144" i="7" s="1"/>
  <c r="BD146" i="7" s="1"/>
  <c r="AQ118" i="7"/>
  <c r="BS121" i="7"/>
  <c r="BT121" i="7" s="1"/>
  <c r="BT124" i="7" s="1"/>
  <c r="BC82" i="7"/>
  <c r="AV48" i="7"/>
  <c r="BC50" i="7" s="1"/>
  <c r="BC88" i="7"/>
  <c r="BD83" i="7"/>
  <c r="CM16" i="7"/>
  <c r="CM85" i="7" s="1"/>
  <c r="BZ89" i="7"/>
  <c r="BU77" i="7"/>
  <c r="CW287" i="7"/>
  <c r="AG31" i="3" s="1"/>
  <c r="M154" i="7"/>
  <c r="M155" i="7" s="1"/>
  <c r="DD134" i="7"/>
  <c r="AH38" i="3" s="1"/>
  <c r="CS134" i="7"/>
  <c r="CS236" i="7" s="1"/>
  <c r="BA237" i="7"/>
  <c r="BU70" i="7"/>
  <c r="M16" i="7"/>
  <c r="M17" i="7" s="1"/>
  <c r="BM137" i="7"/>
  <c r="AO16" i="7"/>
  <c r="AV85" i="7" s="1"/>
  <c r="CV48" i="7"/>
  <c r="CV57" i="7" s="1"/>
  <c r="Z168" i="7"/>
  <c r="Z169" i="7" s="1"/>
  <c r="P48" i="7"/>
  <c r="P36" i="7" s="1"/>
  <c r="DJ134" i="7"/>
  <c r="CE48" i="7"/>
  <c r="CE49" i="7" s="1"/>
  <c r="CE89" i="7"/>
  <c r="BY16" i="7"/>
  <c r="CF85" i="7" s="1"/>
  <c r="BY89" i="7"/>
  <c r="DF88" i="7"/>
  <c r="DF48" i="7"/>
  <c r="CW206" i="7"/>
  <c r="F67" i="3" s="1"/>
  <c r="CV207" i="7"/>
  <c r="AA268" i="7"/>
  <c r="AH268" i="7"/>
  <c r="AM236" i="7"/>
  <c r="AM238" i="7"/>
  <c r="AM237" i="7"/>
  <c r="BI16" i="7"/>
  <c r="BI17" i="7" s="1"/>
  <c r="BI89" i="7"/>
  <c r="BP83" i="7"/>
  <c r="BI83" i="7"/>
  <c r="Y89" i="7"/>
  <c r="AF83" i="7"/>
  <c r="Y83" i="7"/>
  <c r="AD112" i="7"/>
  <c r="AD113" i="7" s="1"/>
  <c r="AD21" i="7"/>
  <c r="AD167" i="7"/>
  <c r="AD168" i="7" s="1"/>
  <c r="AD169" i="7" s="1"/>
  <c r="BF48" i="7"/>
  <c r="BM50" i="7" s="1"/>
  <c r="BA89" i="7"/>
  <c r="BH83" i="7"/>
  <c r="BA83" i="7"/>
  <c r="BA16" i="7"/>
  <c r="BA85" i="7" s="1"/>
  <c r="BJ175" i="7"/>
  <c r="BJ179" i="7" s="1"/>
  <c r="BJ189" i="7" s="1"/>
  <c r="BJ209" i="7" s="1"/>
  <c r="BJ219" i="7" s="1"/>
  <c r="BI153" i="7"/>
  <c r="BI154" i="7" s="1"/>
  <c r="BI155" i="7" s="1"/>
  <c r="BI179" i="7"/>
  <c r="BO82" i="7"/>
  <c r="BO16" i="7"/>
  <c r="K82" i="7"/>
  <c r="K16" i="7"/>
  <c r="R85" i="7" s="1"/>
  <c r="R82" i="7"/>
  <c r="K88" i="7"/>
  <c r="BO189" i="7"/>
  <c r="BO209" i="7" s="1"/>
  <c r="BO219" i="7" s="1"/>
  <c r="AS238" i="7"/>
  <c r="AS236" i="7"/>
  <c r="AS135" i="7"/>
  <c r="AS237" i="7"/>
  <c r="AC142" i="7"/>
  <c r="AC144" i="7" s="1"/>
  <c r="AC134" i="7"/>
  <c r="AC236" i="7" s="1"/>
  <c r="BU142" i="7"/>
  <c r="CB141" i="7" s="1"/>
  <c r="BU134" i="7"/>
  <c r="AY167" i="7"/>
  <c r="AY21" i="7"/>
  <c r="BC247" i="7"/>
  <c r="BC253" i="7" s="1"/>
  <c r="CZ48" i="7"/>
  <c r="CZ315" i="7" s="1"/>
  <c r="CZ88" i="7"/>
  <c r="AQ88" i="7"/>
  <c r="AQ48" i="7"/>
  <c r="AQ315" i="7" s="1"/>
  <c r="BT82" i="7"/>
  <c r="BM88" i="7"/>
  <c r="BM82" i="7"/>
  <c r="DG88" i="7"/>
  <c r="DN82" i="7"/>
  <c r="DG82" i="7"/>
  <c r="BO89" i="7"/>
  <c r="CF88" i="7"/>
  <c r="CF48" i="7"/>
  <c r="DS291" i="7"/>
  <c r="DS167" i="7"/>
  <c r="DS169" i="7" s="1"/>
  <c r="DS161" i="7"/>
  <c r="DF113" i="7"/>
  <c r="DF128" i="7"/>
  <c r="AI123" i="7"/>
  <c r="AJ123" i="7" s="1"/>
  <c r="BA164" i="7"/>
  <c r="BA114" i="7"/>
  <c r="BA118" i="7" s="1"/>
  <c r="BA127" i="7" s="1"/>
  <c r="CY89" i="7"/>
  <c r="CY48" i="7"/>
  <c r="V57" i="7"/>
  <c r="V36" i="7"/>
  <c r="V103" i="7" s="1"/>
  <c r="BV88" i="7"/>
  <c r="BV82" i="7"/>
  <c r="CC82" i="7"/>
  <c r="BT48" i="7"/>
  <c r="BT49" i="7" s="1"/>
  <c r="BT88" i="7"/>
  <c r="CZ82" i="7"/>
  <c r="CS88" i="7"/>
  <c r="CS82" i="7"/>
  <c r="H89" i="7"/>
  <c r="H16" i="7"/>
  <c r="H17" i="7" s="1"/>
  <c r="H223" i="7" s="1"/>
  <c r="CU48" i="7"/>
  <c r="CU89" i="7"/>
  <c r="Y236" i="7"/>
  <c r="Y238" i="7"/>
  <c r="Y237" i="7"/>
  <c r="BR208" i="7"/>
  <c r="M232" i="7"/>
  <c r="M106" i="7" s="1"/>
  <c r="N232" i="7"/>
  <c r="N106" i="7" s="1"/>
  <c r="BZ104" i="7"/>
  <c r="DC30" i="7"/>
  <c r="DD29" i="7"/>
  <c r="BO88" i="7"/>
  <c r="DU188" i="7"/>
  <c r="DU189" i="7" s="1"/>
  <c r="CC189" i="7"/>
  <c r="DP285" i="7"/>
  <c r="DQ283" i="7"/>
  <c r="CH104" i="7"/>
  <c r="CH67" i="7"/>
  <c r="CH93" i="7" s="1"/>
  <c r="CH95" i="7" s="1"/>
  <c r="CH99" i="7" s="1"/>
  <c r="CH137" i="7"/>
  <c r="DR167" i="7"/>
  <c r="DR169" i="7" s="1"/>
  <c r="DR161" i="7"/>
  <c r="I9" i="3"/>
  <c r="DR21" i="7"/>
  <c r="DR291" i="7"/>
  <c r="CS105" i="7"/>
  <c r="CS70" i="7"/>
  <c r="AM189" i="7"/>
  <c r="AM209" i="7" s="1"/>
  <c r="AM219" i="7" s="1"/>
  <c r="V49" i="7"/>
  <c r="AG189" i="7"/>
  <c r="H189" i="7"/>
  <c r="AM135" i="7"/>
  <c r="CS65" i="7"/>
  <c r="CS104" i="7" s="1"/>
  <c r="DU154" i="7"/>
  <c r="DU155" i="7" s="1"/>
  <c r="CB77" i="7"/>
  <c r="V50" i="7"/>
  <c r="BT70" i="7"/>
  <c r="BA189" i="7"/>
  <c r="BA209" i="7" s="1"/>
  <c r="BA219" i="7" s="1"/>
  <c r="DK77" i="7"/>
  <c r="U189" i="7"/>
  <c r="AS127" i="7"/>
  <c r="AR164" i="7"/>
  <c r="DP46" i="7"/>
  <c r="DP44" i="7"/>
  <c r="CV70" i="7"/>
  <c r="DG134" i="7"/>
  <c r="DH135" i="7" s="1"/>
  <c r="CK48" i="7"/>
  <c r="CX48" i="7"/>
  <c r="CX67" i="7" s="1"/>
  <c r="DN208" i="7"/>
  <c r="N152" i="7"/>
  <c r="N154" i="7" s="1"/>
  <c r="N155" i="7" s="1"/>
  <c r="P152" i="7"/>
  <c r="P154" i="7" s="1"/>
  <c r="P155" i="7" s="1"/>
  <c r="CT88" i="7"/>
  <c r="DR48" i="7"/>
  <c r="I10" i="3" s="1"/>
  <c r="DH48" i="7"/>
  <c r="AG113" i="7"/>
  <c r="DJ30" i="7"/>
  <c r="DJ161" i="7" s="1"/>
  <c r="L168" i="7"/>
  <c r="L169" i="7" s="1"/>
  <c r="BD48" i="7"/>
  <c r="BD88" i="7"/>
  <c r="CA83" i="7"/>
  <c r="CA89" i="7"/>
  <c r="CF297" i="7"/>
  <c r="CG120" i="7"/>
  <c r="CH120" i="7" s="1"/>
  <c r="BR48" i="7"/>
  <c r="BR67" i="7" s="1"/>
  <c r="BR88" i="7"/>
  <c r="DO88" i="7"/>
  <c r="DO82" i="7"/>
  <c r="BK16" i="7"/>
  <c r="BK17" i="7" s="1"/>
  <c r="BK311" i="7" s="1"/>
  <c r="BK88" i="7"/>
  <c r="BK82" i="7"/>
  <c r="BR82" i="7"/>
  <c r="S82" i="7"/>
  <c r="S88" i="7"/>
  <c r="Z82" i="7"/>
  <c r="S16" i="7"/>
  <c r="S85" i="7" s="1"/>
  <c r="X152" i="7"/>
  <c r="X154" i="7" s="1"/>
  <c r="R152" i="7"/>
  <c r="R154" i="7" s="1"/>
  <c r="R155" i="7" s="1"/>
  <c r="T152" i="7"/>
  <c r="T154" i="7" s="1"/>
  <c r="T155" i="7" s="1"/>
  <c r="DH232" i="7"/>
  <c r="DH106" i="7" s="1"/>
  <c r="DI232" i="7"/>
  <c r="CP156" i="7"/>
  <c r="CP158" i="7" s="1"/>
  <c r="CL158" i="7"/>
  <c r="V142" i="7"/>
  <c r="V144" i="7" s="1"/>
  <c r="V134" i="7"/>
  <c r="BP232" i="7"/>
  <c r="BP106" i="7" s="1"/>
  <c r="CU192" i="7"/>
  <c r="CV192" i="7" s="1"/>
  <c r="CT199" i="7"/>
  <c r="H192" i="7"/>
  <c r="H132" i="7" s="1"/>
  <c r="H134" i="7" s="1"/>
  <c r="H238" i="7" s="1"/>
  <c r="I132" i="7"/>
  <c r="I134" i="7" s="1"/>
  <c r="I236" i="7" s="1"/>
  <c r="I199" i="7"/>
  <c r="I208" i="7" s="1"/>
  <c r="DA21" i="7"/>
  <c r="DA167" i="7"/>
  <c r="DA169" i="7" s="1"/>
  <c r="AU255" i="7"/>
  <c r="J267" i="7"/>
  <c r="J269" i="7" s="1"/>
  <c r="J279" i="7"/>
  <c r="J281" i="7" s="1"/>
  <c r="CK152" i="7"/>
  <c r="CJ179" i="7"/>
  <c r="CJ153" i="7"/>
  <c r="AD152" i="7"/>
  <c r="AB152" i="7"/>
  <c r="AB154" i="7" s="1"/>
  <c r="AB155" i="7" s="1"/>
  <c r="CO142" i="7"/>
  <c r="CO144" i="7" s="1"/>
  <c r="CO145" i="7" s="1"/>
  <c r="CO134" i="7"/>
  <c r="CO236" i="7" s="1"/>
  <c r="U161" i="7"/>
  <c r="U113" i="7"/>
  <c r="T167" i="7"/>
  <c r="T168" i="7" s="1"/>
  <c r="U168" i="7" s="1"/>
  <c r="T112" i="7"/>
  <c r="T113" i="7" s="1"/>
  <c r="AB88" i="7"/>
  <c r="AB48" i="7"/>
  <c r="AB67" i="7" s="1"/>
  <c r="F16" i="7"/>
  <c r="F88" i="7"/>
  <c r="M82" i="7"/>
  <c r="BR83" i="7"/>
  <c r="BY83" i="7"/>
  <c r="BR16" i="7"/>
  <c r="BR89" i="7"/>
  <c r="DM89" i="7"/>
  <c r="DM48" i="7"/>
  <c r="BZ48" i="7"/>
  <c r="BZ88" i="7"/>
  <c r="CD89" i="7"/>
  <c r="CK83" i="7"/>
  <c r="CD16" i="7"/>
  <c r="BO113" i="7"/>
  <c r="BQ113" i="7" s="1"/>
  <c r="DD83" i="7"/>
  <c r="M167" i="7"/>
  <c r="M168" i="7" s="1"/>
  <c r="M112" i="7"/>
  <c r="M161" i="7" s="1"/>
  <c r="H48" i="7"/>
  <c r="H36" i="7" s="1"/>
  <c r="H88" i="7"/>
  <c r="BB83" i="7"/>
  <c r="BB89" i="7"/>
  <c r="BB16" i="7"/>
  <c r="BB49" i="7" s="1"/>
  <c r="AB122" i="7"/>
  <c r="AB123" i="7" s="1"/>
  <c r="AC123" i="7" s="1"/>
  <c r="Z124" i="7"/>
  <c r="Z127" i="7" s="1"/>
  <c r="CB142" i="7"/>
  <c r="CB134" i="7"/>
  <c r="AD38" i="3" s="1"/>
  <c r="BR189" i="7"/>
  <c r="DB89" i="7"/>
  <c r="DB48" i="7"/>
  <c r="AV21" i="7"/>
  <c r="AV167" i="7"/>
  <c r="BB67" i="7"/>
  <c r="BB93" i="7" s="1"/>
  <c r="BB95" i="7" s="1"/>
  <c r="BB137" i="7"/>
  <c r="BW48" i="7"/>
  <c r="BW89" i="7"/>
  <c r="AG83" i="7"/>
  <c r="AG89" i="7"/>
  <c r="AN83" i="7"/>
  <c r="AC89" i="7"/>
  <c r="AC83" i="7"/>
  <c r="AC16" i="7"/>
  <c r="AC85" i="7" s="1"/>
  <c r="AJ83" i="7"/>
  <c r="AU16" i="7"/>
  <c r="AU17" i="7" s="1"/>
  <c r="AU311" i="7" s="1"/>
  <c r="AU88" i="7"/>
  <c r="BB82" i="7"/>
  <c r="DD198" i="7"/>
  <c r="DD199" i="7" s="1"/>
  <c r="DC199" i="7"/>
  <c r="DL88" i="7"/>
  <c r="DL48" i="7"/>
  <c r="DB88" i="7"/>
  <c r="DB82" i="7"/>
  <c r="AF82" i="7"/>
  <c r="Y88" i="7"/>
  <c r="Y82" i="7"/>
  <c r="Y16" i="7"/>
  <c r="Y85" i="7" s="1"/>
  <c r="W16" i="7"/>
  <c r="W17" i="7" s="1"/>
  <c r="W227" i="7" s="1"/>
  <c r="W82" i="7"/>
  <c r="W88" i="7"/>
  <c r="AD82" i="7"/>
  <c r="X267" i="7"/>
  <c r="AE268" i="7" s="1"/>
  <c r="X279" i="7"/>
  <c r="X281" i="7" s="1"/>
  <c r="CV231" i="7"/>
  <c r="CV232" i="7" s="1"/>
  <c r="CV106" i="7" s="1"/>
  <c r="CW228" i="7"/>
  <c r="CW231" i="7" s="1"/>
  <c r="CZ232" i="7" s="1"/>
  <c r="CZ106" i="7" s="1"/>
  <c r="AP209" i="7"/>
  <c r="N161" i="7"/>
  <c r="N113" i="7"/>
  <c r="DS208" i="7"/>
  <c r="BG237" i="7"/>
  <c r="BG238" i="7"/>
  <c r="Z208" i="7"/>
  <c r="BE188" i="7"/>
  <c r="CS48" i="7"/>
  <c r="AA154" i="7"/>
  <c r="AA155" i="7" s="1"/>
  <c r="BC189" i="7"/>
  <c r="BC209" i="7" s="1"/>
  <c r="BC219" i="7" s="1"/>
  <c r="CO30" i="7"/>
  <c r="DP188" i="7"/>
  <c r="CS30" i="7"/>
  <c r="BE134" i="7"/>
  <c r="BE236" i="7" s="1"/>
  <c r="DN134" i="7"/>
  <c r="D50" i="3"/>
  <c r="D53" i="3" s="1"/>
  <c r="CI168" i="7"/>
  <c r="E168" i="7"/>
  <c r="E169" i="7" s="1"/>
  <c r="AM269" i="7"/>
  <c r="AL66" i="7"/>
  <c r="G269" i="7"/>
  <c r="AI269" i="7"/>
  <c r="CG189" i="7"/>
  <c r="CG209" i="7" s="1"/>
  <c r="CG219" i="7" s="1"/>
  <c r="BW269" i="7"/>
  <c r="AN269" i="7"/>
  <c r="DC207" i="7"/>
  <c r="CO98" i="7"/>
  <c r="C260" i="3"/>
  <c r="CD124" i="7"/>
  <c r="CD127" i="7" s="1"/>
  <c r="AB113" i="7"/>
  <c r="CH83" i="7"/>
  <c r="BD164" i="7"/>
  <c r="AY60" i="7"/>
  <c r="CI29" i="7"/>
  <c r="DG61" i="7"/>
  <c r="DJ61" i="7" s="1"/>
  <c r="DI61" i="7" s="1"/>
  <c r="DI65" i="7" s="1"/>
  <c r="F20" i="3"/>
  <c r="BE120" i="7"/>
  <c r="AJ122" i="7"/>
  <c r="CY65" i="7"/>
  <c r="CY104" i="7" s="1"/>
  <c r="CW295" i="7"/>
  <c r="V188" i="7"/>
  <c r="I127" i="7"/>
  <c r="DI123" i="7"/>
  <c r="CI78" i="7"/>
  <c r="DQ199" i="7"/>
  <c r="BT231" i="7"/>
  <c r="AR188" i="7"/>
  <c r="AR189" i="7" s="1"/>
  <c r="DN30" i="7"/>
  <c r="BB179" i="7"/>
  <c r="BB153" i="7"/>
  <c r="BB154" i="7" s="1"/>
  <c r="BB155" i="7" s="1"/>
  <c r="I57" i="7"/>
  <c r="I36" i="7"/>
  <c r="I103" i="7" s="1"/>
  <c r="CO218" i="7"/>
  <c r="CR82" i="7"/>
  <c r="F50" i="3"/>
  <c r="F53" i="3" s="1"/>
  <c r="CW168" i="7"/>
  <c r="W124" i="7"/>
  <c r="W127" i="7" s="1"/>
  <c r="AO148" i="7"/>
  <c r="AO60" i="7"/>
  <c r="AR60" i="7" s="1"/>
  <c r="E75" i="3"/>
  <c r="W208" i="7"/>
  <c r="BB208" i="7"/>
  <c r="CB250" i="7"/>
  <c r="CA250" i="7" s="1"/>
  <c r="P231" i="7"/>
  <c r="P232" i="7" s="1"/>
  <c r="P106" i="7" s="1"/>
  <c r="O231" i="7"/>
  <c r="O232" i="7" s="1"/>
  <c r="O106" i="7" s="1"/>
  <c r="CP29" i="7"/>
  <c r="CT132" i="7"/>
  <c r="CS208" i="7"/>
  <c r="E20" i="3"/>
  <c r="CW268" i="7"/>
  <c r="DR189" i="7"/>
  <c r="BG189" i="7"/>
  <c r="BG209" i="7" s="1"/>
  <c r="BG219" i="7" s="1"/>
  <c r="CL114" i="7"/>
  <c r="CM114" i="7" s="1"/>
  <c r="CZ164" i="7"/>
  <c r="BR135" i="7"/>
  <c r="CE124" i="7"/>
  <c r="G127" i="7"/>
  <c r="DO124" i="7"/>
  <c r="CZ65" i="7"/>
  <c r="DE104" i="7"/>
  <c r="E218" i="7"/>
  <c r="BS208" i="7"/>
  <c r="AG199" i="7"/>
  <c r="AG208" i="7" s="1"/>
  <c r="CH199" i="7"/>
  <c r="CH208" i="7" s="1"/>
  <c r="BW135" i="7"/>
  <c r="CQ135" i="7"/>
  <c r="DQ118" i="7"/>
  <c r="I33" i="3"/>
  <c r="I32" i="3" s="1"/>
  <c r="BO135" i="7"/>
  <c r="CT104" i="7"/>
  <c r="CJ104" i="7"/>
  <c r="CQ104" i="7"/>
  <c r="CG104" i="7"/>
  <c r="E299" i="7"/>
  <c r="CJ208" i="7"/>
  <c r="CM208" i="7"/>
  <c r="CK208" i="7"/>
  <c r="CM231" i="7"/>
  <c r="CM232" i="7" s="1"/>
  <c r="CM106" i="7" s="1"/>
  <c r="BW189" i="7"/>
  <c r="BW209" i="7" s="1"/>
  <c r="BW219" i="7" s="1"/>
  <c r="BP104" i="7"/>
  <c r="CM104" i="7"/>
  <c r="DA104" i="7"/>
  <c r="J11" i="3"/>
  <c r="DU208" i="7"/>
  <c r="CB188" i="7"/>
  <c r="C51" i="3"/>
  <c r="C53" i="3" s="1"/>
  <c r="DG208" i="7"/>
  <c r="CZ208" i="7"/>
  <c r="BW104" i="7"/>
  <c r="DQ78" i="7"/>
  <c r="DR78" i="7" s="1"/>
  <c r="BD104" i="7"/>
  <c r="DJ78" i="7"/>
  <c r="DK78" i="7" s="1"/>
  <c r="CA251" i="7"/>
  <c r="BV208" i="7"/>
  <c r="D45" i="3"/>
  <c r="BP189" i="7"/>
  <c r="BP209" i="7" s="1"/>
  <c r="BP219" i="7" s="1"/>
  <c r="G209" i="7"/>
  <c r="G219" i="7" s="1"/>
  <c r="D44" i="3"/>
  <c r="U124" i="7"/>
  <c r="U127" i="7" s="1"/>
  <c r="DN127" i="7"/>
  <c r="S124" i="7"/>
  <c r="S127" i="7" s="1"/>
  <c r="AH65" i="7"/>
  <c r="AH104" i="7" s="1"/>
  <c r="CX104" i="7"/>
  <c r="BG267" i="7"/>
  <c r="BG269" i="7" s="1"/>
  <c r="BT251" i="7"/>
  <c r="DD207" i="7"/>
  <c r="G64" i="3"/>
  <c r="G68" i="3" s="1"/>
  <c r="F62" i="3"/>
  <c r="DJ199" i="7"/>
  <c r="DJ208" i="7" s="1"/>
  <c r="CL208" i="7"/>
  <c r="D209" i="7"/>
  <c r="D219" i="7" s="1"/>
  <c r="BL189" i="7"/>
  <c r="BL209" i="7" s="1"/>
  <c r="BL219" i="7" s="1"/>
  <c r="AE189" i="7"/>
  <c r="AE209" i="7" s="1"/>
  <c r="AE219" i="7" s="1"/>
  <c r="BR104" i="7"/>
  <c r="F17" i="3"/>
  <c r="CB19" i="7"/>
  <c r="BB50" i="7"/>
  <c r="DE16" i="7"/>
  <c r="AS30" i="7"/>
  <c r="K48" i="3"/>
  <c r="BV179" i="7"/>
  <c r="BV153" i="7"/>
  <c r="BW152" i="7"/>
  <c r="BW154" i="7" s="1"/>
  <c r="BW155" i="7" s="1"/>
  <c r="DQ207" i="7"/>
  <c r="DS21" i="7"/>
  <c r="DH104" i="7"/>
  <c r="K52" i="3"/>
  <c r="G17" i="3"/>
  <c r="AX122" i="7"/>
  <c r="AX124" i="7" s="1"/>
  <c r="AE104" i="7"/>
  <c r="BT30" i="7"/>
  <c r="AZ30" i="7"/>
  <c r="BX30" i="7"/>
  <c r="AR30" i="7"/>
  <c r="DN48" i="7"/>
  <c r="AL83" i="7"/>
  <c r="AE83" i="7"/>
  <c r="BQ30" i="7"/>
  <c r="BQ36" i="7" s="1"/>
  <c r="DR208" i="7"/>
  <c r="K58" i="3"/>
  <c r="AU179" i="7"/>
  <c r="AU153" i="7"/>
  <c r="AU154" i="7" s="1"/>
  <c r="AU155" i="7" s="1"/>
  <c r="K67" i="3"/>
  <c r="L17" i="3"/>
  <c r="CQ269" i="7"/>
  <c r="BB104" i="7"/>
  <c r="AV113" i="7"/>
  <c r="AZ113" i="7" s="1"/>
  <c r="G16" i="7"/>
  <c r="G17" i="7" s="1"/>
  <c r="N83" i="7"/>
  <c r="BL30" i="7"/>
  <c r="BB164" i="7"/>
  <c r="BC113" i="7"/>
  <c r="CC48" i="7"/>
  <c r="K83" i="7"/>
  <c r="D16" i="7"/>
  <c r="D17" i="7" s="1"/>
  <c r="DU83" i="7"/>
  <c r="AH30" i="7"/>
  <c r="K46" i="3"/>
  <c r="DF179" i="7"/>
  <c r="DF189" i="7" s="1"/>
  <c r="DG175" i="7"/>
  <c r="DF153" i="7"/>
  <c r="DF154" i="7" s="1"/>
  <c r="DF155" i="7" s="1"/>
  <c r="DH155" i="7" s="1"/>
  <c r="J51" i="3"/>
  <c r="BD189" i="7"/>
  <c r="BD209" i="7" s="1"/>
  <c r="BD219" i="7" s="1"/>
  <c r="AZ132" i="7"/>
  <c r="AN179" i="7"/>
  <c r="AN189" i="7" s="1"/>
  <c r="AN153" i="7"/>
  <c r="AN154" i="7" s="1"/>
  <c r="AN155" i="7" s="1"/>
  <c r="C265" i="3"/>
  <c r="K59" i="3"/>
  <c r="CL124" i="7"/>
  <c r="DQ77" i="7"/>
  <c r="DQ30" i="7"/>
  <c r="DG30" i="7"/>
  <c r="DU30" i="7"/>
  <c r="K72" i="3"/>
  <c r="CQ16" i="7"/>
  <c r="CQ17" i="7" s="1"/>
  <c r="CQ224" i="7" s="1"/>
  <c r="E62" i="3"/>
  <c r="E68" i="3" s="1"/>
  <c r="CP132" i="7"/>
  <c r="I61" i="3"/>
  <c r="I60" i="3" s="1"/>
  <c r="L179" i="7"/>
  <c r="L189" i="7" s="1"/>
  <c r="L153" i="7"/>
  <c r="L154" i="7" s="1"/>
  <c r="L155" i="7" s="1"/>
  <c r="DD184" i="7"/>
  <c r="DC168" i="7"/>
  <c r="BZ179" i="7"/>
  <c r="CA175" i="7"/>
  <c r="BZ153" i="7"/>
  <c r="BZ154" i="7" s="1"/>
  <c r="BZ155" i="7" s="1"/>
  <c r="AJ38" i="3"/>
  <c r="K74" i="3"/>
  <c r="BL82" i="7"/>
  <c r="K66" i="3"/>
  <c r="AD70" i="7"/>
  <c r="CA30" i="7"/>
  <c r="CA36" i="7" s="1"/>
  <c r="BM30" i="7"/>
  <c r="BG30" i="7"/>
  <c r="CL30" i="7"/>
  <c r="AE16" i="7"/>
  <c r="AE17" i="7" s="1"/>
  <c r="AE222" i="7" s="1"/>
  <c r="X208" i="7"/>
  <c r="CY16" i="7"/>
  <c r="CY17" i="7" s="1"/>
  <c r="CY222" i="7" s="1"/>
  <c r="DD255" i="7"/>
  <c r="DD121" i="7" s="1"/>
  <c r="G35" i="3" s="1"/>
  <c r="DC121" i="7"/>
  <c r="BS153" i="7"/>
  <c r="BS154" i="7" s="1"/>
  <c r="BS155" i="7" s="1"/>
  <c r="BF188" i="7"/>
  <c r="BQ179" i="7"/>
  <c r="BQ189" i="7" s="1"/>
  <c r="BT152" i="7"/>
  <c r="BQ153" i="7"/>
  <c r="BR152" i="7"/>
  <c r="BR154" i="7" s="1"/>
  <c r="BR155" i="7" s="1"/>
  <c r="BJ146" i="7"/>
  <c r="BJ148" i="7" s="1"/>
  <c r="BL60" i="7"/>
  <c r="BW165" i="7"/>
  <c r="BX116" i="7"/>
  <c r="DN16" i="7"/>
  <c r="DN17" i="7" s="1"/>
  <c r="DN233" i="7" s="1"/>
  <c r="V83" i="7"/>
  <c r="O83" i="7"/>
  <c r="DA48" i="7"/>
  <c r="DA137" i="7" s="1"/>
  <c r="AT164" i="7"/>
  <c r="AT168" i="7" s="1"/>
  <c r="AT169" i="7" s="1"/>
  <c r="CJ30" i="7"/>
  <c r="K63" i="3"/>
  <c r="DQ83" i="7"/>
  <c r="CA16" i="7"/>
  <c r="CA17" i="7" s="1"/>
  <c r="CA224" i="7" s="1"/>
  <c r="K49" i="3"/>
  <c r="O207" i="7"/>
  <c r="O208" i="7" s="1"/>
  <c r="AD199" i="7"/>
  <c r="AD208" i="7" s="1"/>
  <c r="AK188" i="7"/>
  <c r="BF165" i="7"/>
  <c r="BE116" i="7"/>
  <c r="BE165" i="7" s="1"/>
  <c r="X65" i="7"/>
  <c r="K64" i="3"/>
  <c r="BI104" i="7"/>
  <c r="BT269" i="7"/>
  <c r="K17" i="3"/>
  <c r="BI127" i="7"/>
  <c r="AG168" i="7"/>
  <c r="AG169" i="7" s="1"/>
  <c r="BS30" i="7"/>
  <c r="BZ30" i="7"/>
  <c r="DI83" i="7"/>
  <c r="DA114" i="7"/>
  <c r="CZ118" i="7"/>
  <c r="CZ105" i="7"/>
  <c r="CP269" i="7"/>
  <c r="DC268" i="7"/>
  <c r="DC269" i="7"/>
  <c r="S35" i="3"/>
  <c r="AT279" i="7"/>
  <c r="AT281" i="7" s="1"/>
  <c r="AU283" i="7" s="1"/>
  <c r="AU285" i="7" s="1"/>
  <c r="AS249" i="7"/>
  <c r="DF232" i="7"/>
  <c r="DF106" i="7" s="1"/>
  <c r="DC231" i="7"/>
  <c r="DD228" i="7"/>
  <c r="DD231" i="7" s="1"/>
  <c r="DK232" i="7" s="1"/>
  <c r="DK106" i="7" s="1"/>
  <c r="AA232" i="7"/>
  <c r="AA106" i="7" s="1"/>
  <c r="CA232" i="7"/>
  <c r="CA106" i="7" s="1"/>
  <c r="CC295" i="7"/>
  <c r="CB295" i="7"/>
  <c r="CB218" i="7"/>
  <c r="AZ199" i="7"/>
  <c r="AR207" i="7"/>
  <c r="AG142" i="7"/>
  <c r="AG144" i="7" s="1"/>
  <c r="AG145" i="7" s="1"/>
  <c r="AG134" i="7"/>
  <c r="BQ231" i="7"/>
  <c r="I231" i="7"/>
  <c r="AY188" i="7"/>
  <c r="DQ188" i="7"/>
  <c r="DN179" i="7"/>
  <c r="DN153" i="7"/>
  <c r="DQ152" i="7"/>
  <c r="DO152" i="7"/>
  <c r="DO154" i="7" s="1"/>
  <c r="AX238" i="7"/>
  <c r="AX237" i="7"/>
  <c r="AX236" i="7"/>
  <c r="BN141" i="7"/>
  <c r="BY237" i="7"/>
  <c r="BY238" i="7"/>
  <c r="BY236" i="7"/>
  <c r="BY135" i="7"/>
  <c r="CS141" i="7"/>
  <c r="CS144" i="7" s="1"/>
  <c r="CS145" i="7" s="1"/>
  <c r="CQ141" i="7"/>
  <c r="CQ144" i="7" s="1"/>
  <c r="CQ145" i="7" s="1"/>
  <c r="CT297" i="7"/>
  <c r="CT124" i="7"/>
  <c r="CV120" i="7"/>
  <c r="H285" i="7"/>
  <c r="H284" i="7" s="1"/>
  <c r="DI112" i="7"/>
  <c r="V297" i="7"/>
  <c r="V285" i="7"/>
  <c r="V284" i="7" s="1"/>
  <c r="AJ297" i="7"/>
  <c r="AJ285" i="7"/>
  <c r="AJ284" i="7" s="1"/>
  <c r="DA297" i="7"/>
  <c r="DA124" i="7"/>
  <c r="DB120" i="7"/>
  <c r="CT125" i="7"/>
  <c r="CU125" i="7" s="1"/>
  <c r="BS297" i="7"/>
  <c r="V164" i="7"/>
  <c r="V118" i="7"/>
  <c r="G237" i="7"/>
  <c r="DI125" i="7"/>
  <c r="AQ164" i="7"/>
  <c r="CG121" i="7"/>
  <c r="CH121" i="7" s="1"/>
  <c r="CE118" i="7"/>
  <c r="DG70" i="7"/>
  <c r="DJ68" i="7"/>
  <c r="DA105" i="7"/>
  <c r="DC70" i="7"/>
  <c r="DD69" i="7"/>
  <c r="W98" i="7"/>
  <c r="W105" i="7"/>
  <c r="W70" i="7"/>
  <c r="X68" i="7"/>
  <c r="DG148" i="7"/>
  <c r="CW105" i="7"/>
  <c r="F26" i="3" s="1"/>
  <c r="CW98" i="7"/>
  <c r="CW70" i="7"/>
  <c r="CV98" i="7"/>
  <c r="DE105" i="7"/>
  <c r="BA315" i="7"/>
  <c r="BA137" i="7"/>
  <c r="BA67" i="7"/>
  <c r="BA57" i="7"/>
  <c r="BA36" i="7"/>
  <c r="DU61" i="7"/>
  <c r="N17" i="7"/>
  <c r="BK315" i="7"/>
  <c r="BK137" i="7"/>
  <c r="BK57" i="7"/>
  <c r="BK67" i="7"/>
  <c r="BK36" i="7"/>
  <c r="FO19" i="7"/>
  <c r="FO61" i="7" s="1"/>
  <c r="BV158" i="7"/>
  <c r="CE17" i="7"/>
  <c r="CE233" i="7" s="1"/>
  <c r="T158" i="7"/>
  <c r="AP315" i="7"/>
  <c r="AP240" i="7"/>
  <c r="AP137" i="7"/>
  <c r="AP57" i="7"/>
  <c r="AP67" i="7"/>
  <c r="AP50" i="7"/>
  <c r="AP36" i="7"/>
  <c r="AW17" i="7"/>
  <c r="AI315" i="7"/>
  <c r="AI137" i="7"/>
  <c r="AI57" i="7"/>
  <c r="AI67" i="7"/>
  <c r="AI36" i="7"/>
  <c r="AI138" i="7" s="1"/>
  <c r="AN17" i="7"/>
  <c r="AI161" i="7"/>
  <c r="AI113" i="7"/>
  <c r="AW49" i="7"/>
  <c r="AG103" i="7"/>
  <c r="AM161" i="7"/>
  <c r="AM113" i="7"/>
  <c r="BW285" i="7"/>
  <c r="BX283" i="7"/>
  <c r="BX285" i="7" s="1"/>
  <c r="DI281" i="7"/>
  <c r="DJ279" i="7"/>
  <c r="AY269" i="7"/>
  <c r="AY268" i="7"/>
  <c r="AZ267" i="7"/>
  <c r="DD287" i="7"/>
  <c r="DD267" i="7"/>
  <c r="AT285" i="7"/>
  <c r="BZ232" i="7"/>
  <c r="BZ106" i="7" s="1"/>
  <c r="DB232" i="7"/>
  <c r="DB106" i="7" s="1"/>
  <c r="BT208" i="7"/>
  <c r="CO199" i="7"/>
  <c r="K209" i="7"/>
  <c r="K219" i="7" s="1"/>
  <c r="N209" i="7"/>
  <c r="N219" i="7" s="1"/>
  <c r="AN231" i="7"/>
  <c r="AO228" i="7"/>
  <c r="AO231" i="7" s="1"/>
  <c r="CL175" i="7"/>
  <c r="CK179" i="7"/>
  <c r="CK153" i="7"/>
  <c r="DJ175" i="7"/>
  <c r="DI179" i="7"/>
  <c r="DI189" i="7" s="1"/>
  <c r="DI153" i="7"/>
  <c r="DI154" i="7" s="1"/>
  <c r="DI155" i="7" s="1"/>
  <c r="CN236" i="7"/>
  <c r="CN237" i="7"/>
  <c r="CN238" i="7"/>
  <c r="CN135" i="7"/>
  <c r="AH237" i="7"/>
  <c r="AH236" i="7"/>
  <c r="AH238" i="7"/>
  <c r="AH135" i="7"/>
  <c r="AD141" i="7"/>
  <c r="AD144" i="7" s="1"/>
  <c r="AA144" i="7"/>
  <c r="AA145" i="7" s="1"/>
  <c r="AB141" i="7"/>
  <c r="AB144" i="7" s="1"/>
  <c r="AB145" i="7" s="1"/>
  <c r="BD237" i="7"/>
  <c r="BD236" i="7"/>
  <c r="BD238" i="7"/>
  <c r="DC144" i="7"/>
  <c r="DC145" i="7" s="1"/>
  <c r="CE179" i="7"/>
  <c r="CE189" i="7" s="1"/>
  <c r="CH152" i="7"/>
  <c r="CF152" i="7"/>
  <c r="CF154" i="7" s="1"/>
  <c r="CF155" i="7" s="1"/>
  <c r="CE153" i="7"/>
  <c r="DN141" i="7"/>
  <c r="DL141" i="7"/>
  <c r="BP141" i="7"/>
  <c r="BP144" i="7" s="1"/>
  <c r="BP145" i="7" s="1"/>
  <c r="CG125" i="7"/>
  <c r="H164" i="7"/>
  <c r="H118" i="7"/>
  <c r="F238" i="7"/>
  <c r="V122" i="7"/>
  <c r="DT105" i="7"/>
  <c r="CB69" i="7"/>
  <c r="CA70" i="7"/>
  <c r="AK315" i="7"/>
  <c r="AK57" i="7"/>
  <c r="AK36" i="7"/>
  <c r="DT158" i="7"/>
  <c r="AV158" i="7"/>
  <c r="AZ156" i="7"/>
  <c r="AF315" i="7"/>
  <c r="AF137" i="7"/>
  <c r="AF50" i="7"/>
  <c r="AF57" i="7"/>
  <c r="AF49" i="7"/>
  <c r="AF67" i="7"/>
  <c r="AF36" i="7"/>
  <c r="AF138" i="7" s="1"/>
  <c r="FH19" i="7"/>
  <c r="FH61" i="7" s="1"/>
  <c r="AJ17" i="7"/>
  <c r="AJ222" i="7" s="1"/>
  <c r="CY155" i="7"/>
  <c r="DA155" i="7" s="1"/>
  <c r="CY158" i="7"/>
  <c r="AX17" i="7"/>
  <c r="F70" i="7"/>
  <c r="Z315" i="7"/>
  <c r="Z137" i="7"/>
  <c r="Z57" i="7"/>
  <c r="Z49" i="7"/>
  <c r="Z67" i="7"/>
  <c r="Z50" i="7"/>
  <c r="Z36" i="7"/>
  <c r="AF17" i="7"/>
  <c r="AM86" i="7" s="1"/>
  <c r="BJ113" i="7"/>
  <c r="BJ164" i="7" s="1"/>
  <c r="K161" i="7"/>
  <c r="K113" i="7"/>
  <c r="AD158" i="7"/>
  <c r="Y161" i="7"/>
  <c r="Y113" i="7"/>
  <c r="AM169" i="7"/>
  <c r="AP297" i="7"/>
  <c r="AP124" i="7"/>
  <c r="AP127" i="7" s="1"/>
  <c r="BT279" i="7"/>
  <c r="F269" i="7"/>
  <c r="CU281" i="7"/>
  <c r="CY283" i="7" s="1"/>
  <c r="CV279" i="7"/>
  <c r="AE269" i="7"/>
  <c r="AR281" i="7"/>
  <c r="AS279" i="7"/>
  <c r="AS281" i="7" s="1"/>
  <c r="DJ232" i="7"/>
  <c r="CI295" i="7"/>
  <c r="AQ230" i="7"/>
  <c r="AQ231" i="7" s="1"/>
  <c r="AQ199" i="7"/>
  <c r="AJ295" i="7"/>
  <c r="AJ218" i="7"/>
  <c r="AY199" i="7"/>
  <c r="AY208" i="7" s="1"/>
  <c r="P199" i="7"/>
  <c r="P208" i="7" s="1"/>
  <c r="AG231" i="7"/>
  <c r="AQ179" i="7"/>
  <c r="AQ189" i="7" s="1"/>
  <c r="AQ174" i="7"/>
  <c r="AQ153" i="7"/>
  <c r="AQ154" i="7" s="1"/>
  <c r="AR231" i="7"/>
  <c r="W231" i="7"/>
  <c r="H230" i="7"/>
  <c r="H231" i="7" s="1"/>
  <c r="V179" i="7"/>
  <c r="V174" i="7"/>
  <c r="V153" i="7"/>
  <c r="V154" i="7" s="1"/>
  <c r="DD175" i="7"/>
  <c r="DC179" i="7"/>
  <c r="DC189" i="7" s="1"/>
  <c r="DC153" i="7"/>
  <c r="BN175" i="7"/>
  <c r="BM179" i="7"/>
  <c r="BM189" i="7" s="1"/>
  <c r="BM153" i="7"/>
  <c r="AB168" i="7"/>
  <c r="AB169" i="7" s="1"/>
  <c r="CF236" i="7"/>
  <c r="CF237" i="7"/>
  <c r="CF238" i="7"/>
  <c r="CF135" i="7"/>
  <c r="CV158" i="7"/>
  <c r="AV142" i="7"/>
  <c r="AV134" i="7"/>
  <c r="DI236" i="7"/>
  <c r="DI238" i="7"/>
  <c r="DI237" i="7"/>
  <c r="DI135" i="7"/>
  <c r="BK238" i="7"/>
  <c r="BK237" i="7"/>
  <c r="BK236" i="7"/>
  <c r="BK135" i="7"/>
  <c r="BA148" i="7"/>
  <c r="AN141" i="7"/>
  <c r="AN144" i="7" s="1"/>
  <c r="AN145" i="7" s="1"/>
  <c r="BH236" i="7"/>
  <c r="BH237" i="7"/>
  <c r="BH238" i="7"/>
  <c r="BH135" i="7"/>
  <c r="V123" i="7"/>
  <c r="BZ125" i="7"/>
  <c r="AD124" i="7"/>
  <c r="AD127" i="7" s="1"/>
  <c r="DK127" i="7"/>
  <c r="BV127" i="7"/>
  <c r="DM118" i="7"/>
  <c r="DM127" i="7" s="1"/>
  <c r="BT146" i="7"/>
  <c r="BU60" i="7"/>
  <c r="CL65" i="7"/>
  <c r="AZ105" i="7"/>
  <c r="AZ70" i="7"/>
  <c r="U137" i="7"/>
  <c r="U67" i="7"/>
  <c r="U36" i="7"/>
  <c r="U57" i="7"/>
  <c r="BJ85" i="7"/>
  <c r="BJ17" i="7"/>
  <c r="AR156" i="7"/>
  <c r="AS156" i="7" s="1"/>
  <c r="AR61" i="7"/>
  <c r="AS61" i="7" s="1"/>
  <c r="AQ19" i="7"/>
  <c r="CG17" i="7"/>
  <c r="BC315" i="7"/>
  <c r="BC137" i="7"/>
  <c r="BC49" i="7"/>
  <c r="BC57" i="7"/>
  <c r="BC58" i="7" s="1"/>
  <c r="BC90" i="7" s="1"/>
  <c r="BC67" i="7"/>
  <c r="BC36" i="7"/>
  <c r="W57" i="7"/>
  <c r="W36" i="7"/>
  <c r="CN85" i="7"/>
  <c r="CN51" i="7"/>
  <c r="CN17" i="7"/>
  <c r="AB17" i="7"/>
  <c r="AS69" i="7"/>
  <c r="AS70" i="7" s="1"/>
  <c r="J137" i="7"/>
  <c r="J57" i="7"/>
  <c r="J58" i="7" s="1"/>
  <c r="J90" i="7" s="1"/>
  <c r="J49" i="7"/>
  <c r="J67" i="7"/>
  <c r="J36" i="7"/>
  <c r="AA315" i="7"/>
  <c r="AA137" i="7"/>
  <c r="AA57" i="7"/>
  <c r="AA67" i="7"/>
  <c r="AA36" i="7"/>
  <c r="X17" i="7"/>
  <c r="FA19" i="7"/>
  <c r="FA61" i="7" s="1"/>
  <c r="BH113" i="7"/>
  <c r="BH164" i="7" s="1"/>
  <c r="J161" i="7"/>
  <c r="J113" i="7"/>
  <c r="X161" i="7"/>
  <c r="X113" i="7"/>
  <c r="AX156" i="7"/>
  <c r="AX61" i="7"/>
  <c r="AX65" i="7" s="1"/>
  <c r="BF268" i="7"/>
  <c r="BG287" i="7"/>
  <c r="BG264" i="7"/>
  <c r="BW281" i="7"/>
  <c r="BY283" i="7" s="1"/>
  <c r="BX279" i="7"/>
  <c r="BX281" i="7" s="1"/>
  <c r="DS281" i="7"/>
  <c r="DU279" i="7"/>
  <c r="DR269" i="7"/>
  <c r="AJ33" i="3" s="1"/>
  <c r="CN281" i="7"/>
  <c r="CR283" i="7" s="1"/>
  <c r="CO279" i="7"/>
  <c r="M268" i="7"/>
  <c r="CO246" i="7"/>
  <c r="CM246" i="7"/>
  <c r="CM247" i="7" s="1"/>
  <c r="CM253" i="7" s="1"/>
  <c r="CL250" i="7"/>
  <c r="CL251" i="7"/>
  <c r="BI255" i="7"/>
  <c r="BJ255" i="7" s="1"/>
  <c r="BL255" i="7" s="1"/>
  <c r="CY232" i="7"/>
  <c r="CY106" i="7" s="1"/>
  <c r="DT232" i="7"/>
  <c r="DT106" i="7" s="1"/>
  <c r="AQ207" i="7"/>
  <c r="AQ132" i="7"/>
  <c r="DL295" i="7"/>
  <c r="DR295" i="7"/>
  <c r="DK295" i="7"/>
  <c r="DK218" i="7"/>
  <c r="AJ207" i="7"/>
  <c r="AJ208" i="7" s="1"/>
  <c r="AJ132" i="7"/>
  <c r="CE208" i="7"/>
  <c r="DK208" i="7"/>
  <c r="AJ228" i="7"/>
  <c r="AJ231" i="7" s="1"/>
  <c r="AC229" i="7"/>
  <c r="AC231" i="7" s="1"/>
  <c r="S179" i="7"/>
  <c r="S189" i="7" s="1"/>
  <c r="S174" i="7"/>
  <c r="S153" i="7"/>
  <c r="S154" i="7" s="1"/>
  <c r="S155" i="7" s="1"/>
  <c r="AO209" i="7"/>
  <c r="AO219" i="7" s="1"/>
  <c r="AZ188" i="7"/>
  <c r="V231" i="7"/>
  <c r="W188" i="7"/>
  <c r="W189" i="7" s="1"/>
  <c r="CZ179" i="7"/>
  <c r="DC152" i="7"/>
  <c r="DA152" i="7"/>
  <c r="DA154" i="7" s="1"/>
  <c r="CZ153" i="7"/>
  <c r="AY175" i="7"/>
  <c r="AX179" i="7"/>
  <c r="AX153" i="7"/>
  <c r="AX154" i="7" s="1"/>
  <c r="R238" i="7"/>
  <c r="R237" i="7"/>
  <c r="R236" i="7"/>
  <c r="R135" i="7"/>
  <c r="DA238" i="7"/>
  <c r="DA237" i="7"/>
  <c r="DA236" i="7"/>
  <c r="AF237" i="7"/>
  <c r="AF238" i="7"/>
  <c r="AF236" i="7"/>
  <c r="AF135" i="7"/>
  <c r="BS125" i="7"/>
  <c r="BT125" i="7" s="1"/>
  <c r="D238" i="7"/>
  <c r="DD125" i="7"/>
  <c r="G39" i="3" s="1"/>
  <c r="BM124" i="7"/>
  <c r="CK112" i="7"/>
  <c r="CK118" i="7"/>
  <c r="DQ124" i="7"/>
  <c r="BL124" i="7"/>
  <c r="DP114" i="7"/>
  <c r="BW164" i="7"/>
  <c r="AP142" i="7"/>
  <c r="AP134" i="7"/>
  <c r="AO135" i="7"/>
  <c r="DH105" i="7"/>
  <c r="AS78" i="7"/>
  <c r="CV65" i="7"/>
  <c r="CV104" i="7" s="1"/>
  <c r="CW60" i="7"/>
  <c r="BS104" i="7"/>
  <c r="BT65" i="7"/>
  <c r="BT104" i="7" s="1"/>
  <c r="BX148" i="7"/>
  <c r="AY70" i="7"/>
  <c r="DD146" i="7"/>
  <c r="DC148" i="7"/>
  <c r="AD146" i="7"/>
  <c r="AC60" i="7"/>
  <c r="AD65" i="7"/>
  <c r="AD104" i="7" s="1"/>
  <c r="E137" i="7"/>
  <c r="E67" i="7"/>
  <c r="E57" i="7"/>
  <c r="E58" i="7" s="1"/>
  <c r="E90" i="7" s="1"/>
  <c r="E36" i="7"/>
  <c r="E49" i="7"/>
  <c r="DF158" i="7"/>
  <c r="DC65" i="7"/>
  <c r="DC104" i="7" s="1"/>
  <c r="CB156" i="7"/>
  <c r="BX158" i="7"/>
  <c r="CF17" i="7"/>
  <c r="BY315" i="7"/>
  <c r="BY137" i="7"/>
  <c r="BY67" i="7"/>
  <c r="BY57" i="7"/>
  <c r="BY36" i="7"/>
  <c r="AH17" i="7"/>
  <c r="AJ315" i="7"/>
  <c r="AJ50" i="7"/>
  <c r="AJ57" i="7"/>
  <c r="AJ49" i="7"/>
  <c r="AJ36" i="7"/>
  <c r="D137" i="7"/>
  <c r="D67" i="7"/>
  <c r="D57" i="7"/>
  <c r="D36" i="7"/>
  <c r="ET19" i="7"/>
  <c r="ET61" i="7" s="1"/>
  <c r="BS20" i="7"/>
  <c r="BM20" i="7"/>
  <c r="BN20" i="7" s="1"/>
  <c r="AW50" i="7"/>
  <c r="AN113" i="7"/>
  <c r="AN164" i="7" s="1"/>
  <c r="AN168" i="7" s="1"/>
  <c r="AN169" i="7" s="1"/>
  <c r="CD281" i="7"/>
  <c r="CE279" i="7"/>
  <c r="CE281" i="7" s="1"/>
  <c r="CG283" i="7" s="1"/>
  <c r="AO269" i="7"/>
  <c r="AO268" i="7"/>
  <c r="BC269" i="7"/>
  <c r="BC268" i="7"/>
  <c r="AD269" i="7"/>
  <c r="AD268" i="7"/>
  <c r="Q279" i="7"/>
  <c r="Q281" i="7" s="1"/>
  <c r="Q267" i="7"/>
  <c r="BI281" i="7"/>
  <c r="BJ279" i="7"/>
  <c r="BJ281" i="7" s="1"/>
  <c r="BL283" i="7" s="1"/>
  <c r="BQ279" i="7"/>
  <c r="BQ281" i="7" s="1"/>
  <c r="BP281" i="7"/>
  <c r="BR283" i="7" s="1"/>
  <c r="CO231" i="7"/>
  <c r="CP228" i="7"/>
  <c r="CP231" i="7" s="1"/>
  <c r="AK199" i="7"/>
  <c r="AK208" i="7" s="1"/>
  <c r="CI199" i="7"/>
  <c r="BI207" i="7"/>
  <c r="BI208" i="7" s="1"/>
  <c r="BI132" i="7"/>
  <c r="DP231" i="7"/>
  <c r="DQ228" i="7"/>
  <c r="BU229" i="7"/>
  <c r="BU231" i="7" s="1"/>
  <c r="Z231" i="7"/>
  <c r="E231" i="7"/>
  <c r="E233" i="7" s="1"/>
  <c r="AK231" i="7"/>
  <c r="CS179" i="7"/>
  <c r="CV152" i="7"/>
  <c r="CT152" i="7"/>
  <c r="CT154" i="7" s="1"/>
  <c r="CT155" i="7" s="1"/>
  <c r="CS153" i="7"/>
  <c r="AD179" i="7"/>
  <c r="AD189" i="7" s="1"/>
  <c r="AC175" i="7"/>
  <c r="AD174" i="7"/>
  <c r="AD153" i="7"/>
  <c r="BP236" i="7"/>
  <c r="BP237" i="7"/>
  <c r="BP238" i="7"/>
  <c r="CL148" i="7"/>
  <c r="X237" i="7"/>
  <c r="X236" i="7"/>
  <c r="X238" i="7"/>
  <c r="X135" i="7"/>
  <c r="AT141" i="7"/>
  <c r="AT144" i="7" s="1"/>
  <c r="AT145" i="7" s="1"/>
  <c r="AV141" i="7"/>
  <c r="DH236" i="7"/>
  <c r="DH238" i="7"/>
  <c r="DH237" i="7"/>
  <c r="AE238" i="7"/>
  <c r="AE237" i="7"/>
  <c r="AE236" i="7"/>
  <c r="AE135" i="7"/>
  <c r="CZ158" i="7"/>
  <c r="DM237" i="7"/>
  <c r="DM238" i="7"/>
  <c r="DM236" i="7"/>
  <c r="DM135" i="7"/>
  <c r="BB127" i="7"/>
  <c r="DJ165" i="7"/>
  <c r="DI116" i="7"/>
  <c r="DI165" i="7" s="1"/>
  <c r="E124" i="7"/>
  <c r="E127" i="7" s="1"/>
  <c r="DO113" i="7"/>
  <c r="DO118" i="7"/>
  <c r="O237" i="7"/>
  <c r="DB135" i="7"/>
  <c r="CO125" i="7"/>
  <c r="K31" i="3"/>
  <c r="DQ68" i="7"/>
  <c r="DN70" i="7"/>
  <c r="AK146" i="7"/>
  <c r="AJ60" i="7"/>
  <c r="AK65" i="7"/>
  <c r="AK104" i="7" s="1"/>
  <c r="CY105" i="7"/>
  <c r="DF17" i="7"/>
  <c r="AT85" i="7"/>
  <c r="AT17" i="7"/>
  <c r="CQ158" i="7"/>
  <c r="CS156" i="7"/>
  <c r="AE156" i="7"/>
  <c r="AA158" i="7"/>
  <c r="CA315" i="7"/>
  <c r="CA57" i="7"/>
  <c r="AU315" i="7"/>
  <c r="AU137" i="7"/>
  <c r="AU67" i="7"/>
  <c r="AU36" i="7"/>
  <c r="O57" i="7"/>
  <c r="O36" i="7"/>
  <c r="L85" i="7"/>
  <c r="L17" i="7"/>
  <c r="FV19" i="7"/>
  <c r="FV61" i="7" s="1"/>
  <c r="AO158" i="7"/>
  <c r="DK17" i="7"/>
  <c r="H7" i="3" s="1"/>
  <c r="DP146" i="7"/>
  <c r="Z17" i="7"/>
  <c r="CC17" i="7"/>
  <c r="AY315" i="7"/>
  <c r="AY57" i="7"/>
  <c r="AY36" i="7"/>
  <c r="S137" i="7"/>
  <c r="S57" i="7"/>
  <c r="S67" i="7"/>
  <c r="S36" i="7"/>
  <c r="BQ158" i="7"/>
  <c r="BU156" i="7"/>
  <c r="L161" i="7"/>
  <c r="L113" i="7"/>
  <c r="Z161" i="7"/>
  <c r="Z113" i="7"/>
  <c r="Q161" i="7"/>
  <c r="Q113" i="7"/>
  <c r="AG50" i="7"/>
  <c r="AY158" i="7"/>
  <c r="AE161" i="7"/>
  <c r="AE113" i="7"/>
  <c r="CS268" i="7"/>
  <c r="CS269" i="7"/>
  <c r="CZ268" i="7"/>
  <c r="BQ269" i="7"/>
  <c r="BQ268" i="7"/>
  <c r="AE283" i="7"/>
  <c r="AE284" i="7" s="1"/>
  <c r="AD284" i="7"/>
  <c r="W284" i="7"/>
  <c r="X283" i="7"/>
  <c r="X284" i="7" s="1"/>
  <c r="I284" i="7"/>
  <c r="J283" i="7"/>
  <c r="J284" i="7" s="1"/>
  <c r="BY246" i="7"/>
  <c r="BX250" i="7"/>
  <c r="BX251" i="7"/>
  <c r="CA246" i="7"/>
  <c r="CE232" i="7"/>
  <c r="CE106" i="7" s="1"/>
  <c r="BN207" i="7"/>
  <c r="BN132" i="7"/>
  <c r="AD231" i="7"/>
  <c r="CW175" i="7"/>
  <c r="CV179" i="7"/>
  <c r="CV153" i="7"/>
  <c r="BU175" i="7"/>
  <c r="BT179" i="7"/>
  <c r="BT153" i="7"/>
  <c r="AI236" i="7"/>
  <c r="AI238" i="7"/>
  <c r="AI237" i="7"/>
  <c r="AI135" i="7"/>
  <c r="CI156" i="7"/>
  <c r="CE158" i="7"/>
  <c r="DS236" i="7"/>
  <c r="DS238" i="7"/>
  <c r="DS237" i="7"/>
  <c r="DS135" i="7"/>
  <c r="CK236" i="7"/>
  <c r="CK238" i="7"/>
  <c r="CK237" i="7"/>
  <c r="CK135" i="7"/>
  <c r="AU207" i="7"/>
  <c r="AU208" i="7" s="1"/>
  <c r="AU132" i="7"/>
  <c r="K144" i="7"/>
  <c r="K145" i="7" s="1"/>
  <c r="L141" i="7"/>
  <c r="L144" i="7" s="1"/>
  <c r="L145" i="7" s="1"/>
  <c r="DE237" i="7"/>
  <c r="DE238" i="7"/>
  <c r="DE236" i="7"/>
  <c r="AB236" i="7"/>
  <c r="AB237" i="7"/>
  <c r="AB238" i="7"/>
  <c r="AB135" i="7"/>
  <c r="AO124" i="7"/>
  <c r="AO127" i="7" s="1"/>
  <c r="AR120" i="7"/>
  <c r="CL165" i="7"/>
  <c r="CP116" i="7"/>
  <c r="CP165" i="7" s="1"/>
  <c r="AC164" i="7"/>
  <c r="AC113" i="7"/>
  <c r="AC118" i="7"/>
  <c r="AZ124" i="7"/>
  <c r="CE237" i="7"/>
  <c r="DI117" i="7"/>
  <c r="CS113" i="7"/>
  <c r="I146" i="7"/>
  <c r="I148" i="7" s="1"/>
  <c r="H60" i="7"/>
  <c r="I65" i="7"/>
  <c r="CS148" i="7"/>
  <c r="CP60" i="7"/>
  <c r="CP65" i="7" s="1"/>
  <c r="CO65" i="7"/>
  <c r="CO104" i="7" s="1"/>
  <c r="CL105" i="7"/>
  <c r="CL98" i="7"/>
  <c r="CP68" i="7"/>
  <c r="CL70" i="7"/>
  <c r="AL105" i="7"/>
  <c r="AL98" i="7"/>
  <c r="AL70" i="7"/>
  <c r="CW146" i="7"/>
  <c r="CV148" i="7"/>
  <c r="Q105" i="7"/>
  <c r="Q98" i="7"/>
  <c r="Q70" i="7"/>
  <c r="CR158" i="7"/>
  <c r="CR155" i="7"/>
  <c r="AL17" i="7"/>
  <c r="W156" i="7"/>
  <c r="W61" i="7"/>
  <c r="W65" i="7" s="1"/>
  <c r="W104" i="7" s="1"/>
  <c r="V19" i="7"/>
  <c r="BP17" i="7"/>
  <c r="R17" i="7"/>
  <c r="BM104" i="7"/>
  <c r="BN65" i="7"/>
  <c r="AJ158" i="7"/>
  <c r="BL17" i="7"/>
  <c r="M158" i="7"/>
  <c r="Q156" i="7"/>
  <c r="V112" i="7"/>
  <c r="V161" i="7" s="1"/>
  <c r="AM311" i="7"/>
  <c r="AM227" i="7"/>
  <c r="AM222" i="7"/>
  <c r="AM223" i="7"/>
  <c r="AM224" i="7"/>
  <c r="AM225" i="7"/>
  <c r="AM226" i="7"/>
  <c r="BS85" i="7"/>
  <c r="AA169" i="7"/>
  <c r="P161" i="7"/>
  <c r="P113" i="7"/>
  <c r="CK281" i="7"/>
  <c r="CL279" i="7"/>
  <c r="CL281" i="7" s="1"/>
  <c r="CN283" i="7" s="1"/>
  <c r="I269" i="7"/>
  <c r="P268" i="7"/>
  <c r="CS279" i="7"/>
  <c r="CS281" i="7" s="1"/>
  <c r="CU283" i="7" s="1"/>
  <c r="CR281" i="7"/>
  <c r="CB287" i="7"/>
  <c r="BY279" i="7"/>
  <c r="BY281" i="7" s="1"/>
  <c r="BZ283" i="7" s="1"/>
  <c r="BZ285" i="7" s="1"/>
  <c r="AK284" i="7"/>
  <c r="AL283" i="7"/>
  <c r="AL284" i="7" s="1"/>
  <c r="CB255" i="7"/>
  <c r="CB254" i="7" s="1"/>
  <c r="CD232" i="7"/>
  <c r="CD106" i="7" s="1"/>
  <c r="DL232" i="7"/>
  <c r="DL106" i="7" s="1"/>
  <c r="BE295" i="7"/>
  <c r="BE218" i="7"/>
  <c r="CP199" i="7"/>
  <c r="AN208" i="7"/>
  <c r="AK179" i="7"/>
  <c r="AJ175" i="7"/>
  <c r="AK174" i="7"/>
  <c r="AK153" i="7"/>
  <c r="F209" i="7"/>
  <c r="F219" i="7" s="1"/>
  <c r="CM188" i="7"/>
  <c r="CM189" i="7" s="1"/>
  <c r="CN181" i="7"/>
  <c r="S231" i="7"/>
  <c r="BF179" i="7"/>
  <c r="BE175" i="7"/>
  <c r="BF153" i="7"/>
  <c r="BF154" i="7" s="1"/>
  <c r="DQ179" i="7"/>
  <c r="DP175" i="7"/>
  <c r="DQ153" i="7"/>
  <c r="DT236" i="7"/>
  <c r="DT237" i="7"/>
  <c r="DT238" i="7"/>
  <c r="DT135" i="7"/>
  <c r="CM236" i="7"/>
  <c r="CM238" i="7"/>
  <c r="CM237" i="7"/>
  <c r="CM135" i="7"/>
  <c r="AH141" i="7"/>
  <c r="AH144" i="7" s="1"/>
  <c r="AH145" i="7" s="1"/>
  <c r="AF141" i="7"/>
  <c r="AF144" i="7" s="1"/>
  <c r="AF145" i="7" s="1"/>
  <c r="DN158" i="7"/>
  <c r="DR141" i="7"/>
  <c r="DK144" i="7"/>
  <c r="CC236" i="7"/>
  <c r="CC238" i="7"/>
  <c r="CC237" i="7"/>
  <c r="CR237" i="7"/>
  <c r="CR238" i="7"/>
  <c r="CR236" i="7"/>
  <c r="CR135" i="7"/>
  <c r="DG158" i="7"/>
  <c r="N238" i="7"/>
  <c r="N237" i="7"/>
  <c r="N236" i="7"/>
  <c r="N135" i="7"/>
  <c r="T236" i="7"/>
  <c r="T237" i="7"/>
  <c r="T238" i="7"/>
  <c r="T135" i="7"/>
  <c r="O164" i="7"/>
  <c r="O113" i="7"/>
  <c r="O118" i="7"/>
  <c r="H123" i="7"/>
  <c r="H124" i="7" s="1"/>
  <c r="DP128" i="7"/>
  <c r="BC70" i="7"/>
  <c r="CB60" i="7"/>
  <c r="CA65" i="7"/>
  <c r="CA104" i="7" s="1"/>
  <c r="BX98" i="7"/>
  <c r="BX105" i="7"/>
  <c r="CB68" i="7"/>
  <c r="BX70" i="7"/>
  <c r="CO148" i="7"/>
  <c r="CP146" i="7"/>
  <c r="CO70" i="7"/>
  <c r="AD17" i="7"/>
  <c r="R137" i="7"/>
  <c r="R57" i="7"/>
  <c r="R49" i="7"/>
  <c r="R67" i="7"/>
  <c r="R50" i="7"/>
  <c r="R36" i="7"/>
  <c r="AM315" i="7"/>
  <c r="AM137" i="7"/>
  <c r="AM57" i="7"/>
  <c r="AM58" i="7" s="1"/>
  <c r="AM90" i="7" s="1"/>
  <c r="AM49" i="7"/>
  <c r="AM67" i="7"/>
  <c r="AM36" i="7"/>
  <c r="AM50" i="7"/>
  <c r="G137" i="7"/>
  <c r="G57" i="7"/>
  <c r="G67" i="7"/>
  <c r="G36" i="7"/>
  <c r="BH17" i="7"/>
  <c r="DP158" i="7"/>
  <c r="AC315" i="7"/>
  <c r="AC50" i="7"/>
  <c r="AC36" i="7"/>
  <c r="AC57" i="7"/>
  <c r="DN61" i="7"/>
  <c r="DM65" i="7"/>
  <c r="AK158" i="7"/>
  <c r="DI146" i="7"/>
  <c r="K240" i="7"/>
  <c r="K137" i="7"/>
  <c r="K57" i="7"/>
  <c r="K67" i="7"/>
  <c r="K36" i="7"/>
  <c r="AL156" i="7"/>
  <c r="AH158" i="7"/>
  <c r="BD85" i="7"/>
  <c r="BD17" i="7"/>
  <c r="AM85" i="7"/>
  <c r="CH50" i="7"/>
  <c r="BC311" i="7"/>
  <c r="BC222" i="7"/>
  <c r="BC223" i="7"/>
  <c r="BC224" i="7"/>
  <c r="S161" i="7"/>
  <c r="S113" i="7"/>
  <c r="E225" i="7"/>
  <c r="O155" i="7"/>
  <c r="O158" i="7"/>
  <c r="Q50" i="7"/>
  <c r="AL269" i="7"/>
  <c r="AL268" i="7"/>
  <c r="BF285" i="7"/>
  <c r="BG283" i="7"/>
  <c r="BG285" i="7" s="1"/>
  <c r="AK268" i="7"/>
  <c r="DL281" i="7"/>
  <c r="DN279" i="7"/>
  <c r="P284" i="7"/>
  <c r="Q283" i="7"/>
  <c r="Q284" i="7" s="1"/>
  <c r="DN232" i="7"/>
  <c r="DN106" i="7" s="1"/>
  <c r="Q294" i="7"/>
  <c r="K294" i="7"/>
  <c r="CQ295" i="7"/>
  <c r="CP295" i="7"/>
  <c r="CP218" i="7"/>
  <c r="V295" i="7"/>
  <c r="V218" i="7"/>
  <c r="AC208" i="7"/>
  <c r="BU208" i="7"/>
  <c r="E189" i="7"/>
  <c r="L231" i="7"/>
  <c r="DM189" i="7"/>
  <c r="DM209" i="7" s="1"/>
  <c r="DM219" i="7" s="1"/>
  <c r="Z179" i="7"/>
  <c r="Z189" i="7" s="1"/>
  <c r="Z174" i="7"/>
  <c r="Z153" i="7"/>
  <c r="Z154" i="7" s="1"/>
  <c r="Z155" i="7" s="1"/>
  <c r="CA188" i="7"/>
  <c r="BV231" i="7"/>
  <c r="O189" i="7"/>
  <c r="BX179" i="7"/>
  <c r="BX189" i="7" s="1"/>
  <c r="BY152" i="7"/>
  <c r="BY154" i="7" s="1"/>
  <c r="BY155" i="7" s="1"/>
  <c r="BX153" i="7"/>
  <c r="CA152" i="7"/>
  <c r="CH179" i="7"/>
  <c r="CH189" i="7" s="1"/>
  <c r="CH153" i="7"/>
  <c r="CI175" i="7"/>
  <c r="DL236" i="7"/>
  <c r="DL237" i="7"/>
  <c r="DL238" i="7"/>
  <c r="DU158" i="7"/>
  <c r="CJ237" i="7"/>
  <c r="CJ236" i="7"/>
  <c r="CJ238" i="7"/>
  <c r="CJ135" i="7"/>
  <c r="CG237" i="7"/>
  <c r="CG238" i="7"/>
  <c r="CG236" i="7"/>
  <c r="CG135" i="7"/>
  <c r="BM165" i="7"/>
  <c r="BN116" i="7"/>
  <c r="BN165" i="7" s="1"/>
  <c r="BW128" i="7"/>
  <c r="CF124" i="7"/>
  <c r="CM297" i="7"/>
  <c r="CM124" i="7"/>
  <c r="CN120" i="7"/>
  <c r="AJ164" i="7"/>
  <c r="AJ118" i="7"/>
  <c r="AJ113" i="7"/>
  <c r="CJ164" i="7"/>
  <c r="CL113" i="7"/>
  <c r="CK128" i="7"/>
  <c r="AO141" i="7"/>
  <c r="AO144" i="7" s="1"/>
  <c r="AO145" i="7" s="1"/>
  <c r="AM141" i="7"/>
  <c r="AM144" i="7" s="1"/>
  <c r="AM145" i="7" s="1"/>
  <c r="Y135" i="7"/>
  <c r="CF118" i="7"/>
  <c r="CG114" i="7"/>
  <c r="CF112" i="7"/>
  <c r="AE98" i="7"/>
  <c r="AE105" i="7"/>
  <c r="BN105" i="7"/>
  <c r="BN98" i="7"/>
  <c r="BN70" i="7"/>
  <c r="CZ148" i="7"/>
  <c r="BQ146" i="7"/>
  <c r="BQ65" i="7"/>
  <c r="BQ104" i="7" s="1"/>
  <c r="BG105" i="7"/>
  <c r="CB146" i="7"/>
  <c r="CA148" i="7"/>
  <c r="DD60" i="7"/>
  <c r="DM105" i="7"/>
  <c r="W78" i="7"/>
  <c r="X69" i="7"/>
  <c r="X78" i="7" s="1"/>
  <c r="BQ315" i="7"/>
  <c r="BQ57" i="7"/>
  <c r="BL156" i="7"/>
  <c r="BL61" i="7"/>
  <c r="BM61" i="7" s="1"/>
  <c r="BM19" i="7"/>
  <c r="BM156" i="7" s="1"/>
  <c r="V17" i="7"/>
  <c r="F158" i="7"/>
  <c r="J156" i="7"/>
  <c r="J158" i="7" s="1"/>
  <c r="DL17" i="7"/>
  <c r="BV65" i="7"/>
  <c r="BX61" i="7"/>
  <c r="CB61" i="7" s="1"/>
  <c r="DM155" i="7"/>
  <c r="DO155" i="7" s="1"/>
  <c r="DM158" i="7"/>
  <c r="BG60" i="7"/>
  <c r="P158" i="7"/>
  <c r="AV17" i="7"/>
  <c r="AL161" i="7"/>
  <c r="AL113" i="7"/>
  <c r="AL49" i="7"/>
  <c r="BC85" i="7"/>
  <c r="AC156" i="7"/>
  <c r="AC61" i="7"/>
  <c r="R161" i="7"/>
  <c r="R113" i="7"/>
  <c r="BM67" i="7"/>
  <c r="AF161" i="7"/>
  <c r="AF113" i="7"/>
  <c r="H112" i="7"/>
  <c r="H113" i="7" s="1"/>
  <c r="W161" i="7"/>
  <c r="W113" i="7"/>
  <c r="O16" i="7"/>
  <c r="O49" i="7" s="1"/>
  <c r="AP27" i="3" l="1"/>
  <c r="AN238" i="7"/>
  <c r="AN135" i="7"/>
  <c r="BB46" i="3"/>
  <c r="BB60" i="3" s="1"/>
  <c r="AS37" i="3"/>
  <c r="AR27" i="3"/>
  <c r="AR46" i="3"/>
  <c r="AR60" i="3" s="1"/>
  <c r="AR37" i="3"/>
  <c r="AP46" i="3"/>
  <c r="AP60" i="3" s="1"/>
  <c r="AS43" i="3"/>
  <c r="AP43" i="3"/>
  <c r="AS27" i="3"/>
  <c r="I20" i="3"/>
  <c r="AZ37" i="3"/>
  <c r="AZ27" i="3"/>
  <c r="AZ46" i="3"/>
  <c r="AZ60" i="3" s="1"/>
  <c r="AN236" i="7"/>
  <c r="AN241" i="7" s="1"/>
  <c r="AU46" i="3"/>
  <c r="AU60" i="3" s="1"/>
  <c r="AU27" i="3"/>
  <c r="AQ37" i="3"/>
  <c r="AQ43" i="3"/>
  <c r="AQ46" i="3"/>
  <c r="AQ60" i="3" s="1"/>
  <c r="BB37" i="3"/>
  <c r="BB43" i="3"/>
  <c r="AU43" i="3"/>
  <c r="AK161" i="7"/>
  <c r="EM289" i="7"/>
  <c r="AN27" i="3"/>
  <c r="AN43" i="3"/>
  <c r="EE83" i="7"/>
  <c r="DU82" i="7"/>
  <c r="AN37" i="3"/>
  <c r="FD247" i="7"/>
  <c r="CG85" i="7"/>
  <c r="EZ247" i="7"/>
  <c r="FJ255" i="7"/>
  <c r="FN247" i="7"/>
  <c r="EU255" i="7"/>
  <c r="N35" i="3" s="1"/>
  <c r="FS255" i="7"/>
  <c r="FI255" i="7"/>
  <c r="FT255" i="7"/>
  <c r="FG247" i="7"/>
  <c r="FK247" i="7"/>
  <c r="FB255" i="7"/>
  <c r="U35" i="3" s="1"/>
  <c r="FR247" i="7"/>
  <c r="FE255" i="7"/>
  <c r="X35" i="3" s="1"/>
  <c r="EV255" i="7"/>
  <c r="FQ255" i="7"/>
  <c r="FP255" i="7"/>
  <c r="CG57" i="7"/>
  <c r="CG58" i="7" s="1"/>
  <c r="CG90" i="7" s="1"/>
  <c r="EY255" i="7"/>
  <c r="FC255" i="7"/>
  <c r="FL255" i="7"/>
  <c r="EX255" i="7"/>
  <c r="Q35" i="3" s="1"/>
  <c r="FU247" i="7"/>
  <c r="O35" i="3"/>
  <c r="BL247" i="7"/>
  <c r="BJ253" i="7"/>
  <c r="EW247" i="7"/>
  <c r="FF255" i="7"/>
  <c r="FM255" i="7"/>
  <c r="R35" i="3"/>
  <c r="V35" i="3"/>
  <c r="AV255" i="7"/>
  <c r="AV254" i="7" s="1"/>
  <c r="S237" i="7"/>
  <c r="S241" i="7"/>
  <c r="FA113" i="7"/>
  <c r="T31" i="3" s="1"/>
  <c r="DC279" i="7"/>
  <c r="DD279" i="7" s="1"/>
  <c r="DD281" i="7" s="1"/>
  <c r="CE67" i="7"/>
  <c r="CE93" i="7" s="1"/>
  <c r="CE95" i="7" s="1"/>
  <c r="CE137" i="7"/>
  <c r="EF289" i="7"/>
  <c r="AI85" i="7"/>
  <c r="DD65" i="7"/>
  <c r="BZ17" i="7"/>
  <c r="Y103" i="7"/>
  <c r="Y109" i="7" s="1"/>
  <c r="BJ249" i="7"/>
  <c r="BK279" i="7" s="1"/>
  <c r="BK281" i="7" s="1"/>
  <c r="BO283" i="7" s="1"/>
  <c r="BO285" i="7" s="1"/>
  <c r="AS268" i="7"/>
  <c r="CS237" i="7"/>
  <c r="DU236" i="7"/>
  <c r="DV241" i="7" s="1"/>
  <c r="DV135" i="7"/>
  <c r="DU238" i="7"/>
  <c r="DU237" i="7"/>
  <c r="DU135" i="7"/>
  <c r="BM238" i="7"/>
  <c r="AO168" i="7"/>
  <c r="AO169" i="7" s="1"/>
  <c r="AT50" i="7"/>
  <c r="AH48" i="7"/>
  <c r="AO50" i="7" s="1"/>
  <c r="DS16" i="7"/>
  <c r="DS49" i="7" s="1"/>
  <c r="EB82" i="7"/>
  <c r="DX83" i="7"/>
  <c r="DT16" i="7"/>
  <c r="EA85" i="7" s="1"/>
  <c r="C20" i="3"/>
  <c r="N57" i="7"/>
  <c r="N58" i="7" s="1"/>
  <c r="N90" i="7" s="1"/>
  <c r="N67" i="7"/>
  <c r="N93" i="7" s="1"/>
  <c r="N95" i="7" s="1"/>
  <c r="N96" i="7" s="1"/>
  <c r="N97" i="7" s="1"/>
  <c r="N240" i="7"/>
  <c r="L236" i="7"/>
  <c r="L241" i="7" s="1"/>
  <c r="CO315" i="7"/>
  <c r="L238" i="7"/>
  <c r="AG72" i="7"/>
  <c r="AG242" i="7" s="1"/>
  <c r="CA49" i="7"/>
  <c r="CF141" i="7"/>
  <c r="CF144" i="7" s="1"/>
  <c r="CF145" i="7" s="1"/>
  <c r="AL50" i="7"/>
  <c r="N137" i="7"/>
  <c r="AE36" i="7"/>
  <c r="AE138" i="7" s="1"/>
  <c r="BM237" i="7"/>
  <c r="AL137" i="7"/>
  <c r="W225" i="7"/>
  <c r="DQ236" i="7"/>
  <c r="DB285" i="7"/>
  <c r="AL104" i="7"/>
  <c r="AL67" i="7"/>
  <c r="AL93" i="7" s="1"/>
  <c r="AL95" i="7" s="1"/>
  <c r="AL96" i="7" s="1"/>
  <c r="AL97" i="7" s="1"/>
  <c r="Y240" i="7"/>
  <c r="N36" i="7"/>
  <c r="N138" i="7" s="1"/>
  <c r="CJ50" i="7"/>
  <c r="DD237" i="7"/>
  <c r="AH39" i="3" s="1"/>
  <c r="Y49" i="7"/>
  <c r="U50" i="7"/>
  <c r="DM315" i="7"/>
  <c r="N241" i="7"/>
  <c r="CQ137" i="7"/>
  <c r="Y72" i="7"/>
  <c r="Y242" i="7" s="1"/>
  <c r="AK85" i="7"/>
  <c r="BL67" i="7"/>
  <c r="BL72" i="7" s="1"/>
  <c r="U241" i="7"/>
  <c r="CV50" i="7"/>
  <c r="AB50" i="7"/>
  <c r="S135" i="7"/>
  <c r="P57" i="7"/>
  <c r="P58" i="7" s="1"/>
  <c r="P90" i="7" s="1"/>
  <c r="AB241" i="7"/>
  <c r="BU269" i="7"/>
  <c r="S238" i="7"/>
  <c r="DO315" i="7"/>
  <c r="O124" i="7"/>
  <c r="O127" i="7" s="1"/>
  <c r="AS283" i="7"/>
  <c r="AS285" i="7" s="1"/>
  <c r="AO240" i="7"/>
  <c r="DT57" i="7"/>
  <c r="AX137" i="7"/>
  <c r="DS36" i="7"/>
  <c r="DS138" i="7" s="1"/>
  <c r="W50" i="7"/>
  <c r="X209" i="7"/>
  <c r="X219" i="7" s="1"/>
  <c r="DT127" i="7"/>
  <c r="CZ236" i="7"/>
  <c r="DA241" i="7" s="1"/>
  <c r="CN57" i="7"/>
  <c r="CN58" i="7" s="1"/>
  <c r="CN90" i="7" s="1"/>
  <c r="BP85" i="7"/>
  <c r="CZ237" i="7"/>
  <c r="CE315" i="7"/>
  <c r="CV315" i="7"/>
  <c r="AC238" i="7"/>
  <c r="DA135" i="7"/>
  <c r="CR50" i="7"/>
  <c r="AR208" i="7"/>
  <c r="AR209" i="7" s="1"/>
  <c r="AR219" i="7" s="1"/>
  <c r="CF50" i="7"/>
  <c r="AC49" i="7"/>
  <c r="CE36" i="7"/>
  <c r="CE103" i="7" s="1"/>
  <c r="DR67" i="7"/>
  <c r="DR93" i="7" s="1"/>
  <c r="DR95" i="7" s="1"/>
  <c r="BC146" i="7"/>
  <c r="BC145" i="7" s="1"/>
  <c r="L36" i="7"/>
  <c r="L138" i="7" s="1"/>
  <c r="DE137" i="7"/>
  <c r="AJ124" i="7"/>
  <c r="AJ127" i="7" s="1"/>
  <c r="CK50" i="7"/>
  <c r="AT135" i="7"/>
  <c r="CE57" i="7"/>
  <c r="CE58" i="7" s="1"/>
  <c r="CE90" i="7" s="1"/>
  <c r="U240" i="7"/>
  <c r="DL209" i="7"/>
  <c r="DL219" i="7" s="1"/>
  <c r="E209" i="7"/>
  <c r="E219" i="7" s="1"/>
  <c r="BF247" i="7"/>
  <c r="BG268" i="7"/>
  <c r="CQ67" i="7"/>
  <c r="CQ93" i="7" s="1"/>
  <c r="CQ95" i="7" s="1"/>
  <c r="AI240" i="7"/>
  <c r="BY120" i="7"/>
  <c r="BY297" i="7" s="1"/>
  <c r="BT238" i="7"/>
  <c r="DX30" i="7"/>
  <c r="DX21" i="7" s="1"/>
  <c r="DM17" i="7"/>
  <c r="BW17" i="7"/>
  <c r="Q72" i="7"/>
  <c r="Q242" i="7" s="1"/>
  <c r="F137" i="7"/>
  <c r="M67" i="7"/>
  <c r="M93" i="7" s="1"/>
  <c r="M95" i="7" s="1"/>
  <c r="M96" i="7" s="1"/>
  <c r="M97" i="7" s="1"/>
  <c r="AL85" i="7"/>
  <c r="AD236" i="7"/>
  <c r="AD241" i="7" s="1"/>
  <c r="DR16" i="7"/>
  <c r="DT315" i="7"/>
  <c r="AD237" i="7"/>
  <c r="CT16" i="7"/>
  <c r="DA85" i="7" s="1"/>
  <c r="AK189" i="7"/>
  <c r="AK209" i="7" s="1"/>
  <c r="AK219" i="7" s="1"/>
  <c r="AE225" i="7"/>
  <c r="C259" i="3"/>
  <c r="BE103" i="7"/>
  <c r="BE290" i="7" s="1"/>
  <c r="BB103" i="7"/>
  <c r="BB290" i="7" s="1"/>
  <c r="DT36" i="7"/>
  <c r="DT138" i="7" s="1"/>
  <c r="AE227" i="7"/>
  <c r="DT137" i="7"/>
  <c r="AE311" i="7"/>
  <c r="AE70" i="7"/>
  <c r="CU36" i="7"/>
  <c r="CU103" i="7" s="1"/>
  <c r="CU290" i="7" s="1"/>
  <c r="DU88" i="7"/>
  <c r="DD16" i="7"/>
  <c r="CM57" i="7"/>
  <c r="AF85" i="7"/>
  <c r="CU67" i="7"/>
  <c r="CU93" i="7" s="1"/>
  <c r="CU95" i="7" s="1"/>
  <c r="AA113" i="7"/>
  <c r="Y17" i="7"/>
  <c r="Y226" i="7" s="1"/>
  <c r="F67" i="7"/>
  <c r="F93" i="7" s="1"/>
  <c r="F95" i="7" s="1"/>
  <c r="F96" i="7" s="1"/>
  <c r="F97" i="7" s="1"/>
  <c r="BT135" i="7"/>
  <c r="CU57" i="7"/>
  <c r="DU48" i="7"/>
  <c r="EB50" i="7" s="1"/>
  <c r="F36" i="7"/>
  <c r="BT236" i="7"/>
  <c r="CU137" i="7"/>
  <c r="DH36" i="7"/>
  <c r="DH91" i="7" s="1"/>
  <c r="P237" i="7"/>
  <c r="AG85" i="7"/>
  <c r="CU315" i="7"/>
  <c r="AD36" i="7"/>
  <c r="AD138" i="7" s="1"/>
  <c r="BV89" i="7"/>
  <c r="DU89" i="7"/>
  <c r="BV57" i="7"/>
  <c r="BV49" i="7"/>
  <c r="P241" i="7"/>
  <c r="BE17" i="7"/>
  <c r="BE311" i="7" s="1"/>
  <c r="BE314" i="7" s="1"/>
  <c r="AB137" i="7"/>
  <c r="DH67" i="7"/>
  <c r="DH72" i="7" s="1"/>
  <c r="DE135" i="7"/>
  <c r="P238" i="7"/>
  <c r="BO67" i="7"/>
  <c r="BO72" i="7" s="1"/>
  <c r="AD49" i="7"/>
  <c r="DD236" i="7"/>
  <c r="DE241" i="7" s="1"/>
  <c r="BA135" i="7"/>
  <c r="AT237" i="7"/>
  <c r="DH57" i="7"/>
  <c r="DH58" i="7" s="1"/>
  <c r="DH90" i="7" s="1"/>
  <c r="AK50" i="7"/>
  <c r="AD57" i="7"/>
  <c r="AD58" i="7" s="1"/>
  <c r="AD90" i="7" s="1"/>
  <c r="BF237" i="7"/>
  <c r="CY50" i="7"/>
  <c r="DH49" i="7"/>
  <c r="AR237" i="7"/>
  <c r="AD50" i="7"/>
  <c r="BM135" i="7"/>
  <c r="BE85" i="7"/>
  <c r="BF238" i="7"/>
  <c r="BL85" i="7"/>
  <c r="DH137" i="7"/>
  <c r="DS241" i="7"/>
  <c r="O145" i="7"/>
  <c r="DO50" i="7"/>
  <c r="DG48" i="7"/>
  <c r="DG315" i="7" s="1"/>
  <c r="AA240" i="7"/>
  <c r="DK67" i="7"/>
  <c r="H12" i="3" s="1"/>
  <c r="DH315" i="7"/>
  <c r="H199" i="7"/>
  <c r="H208" i="7" s="1"/>
  <c r="H209" i="7" s="1"/>
  <c r="H219" i="7" s="1"/>
  <c r="DD238" i="7"/>
  <c r="AA17" i="7"/>
  <c r="AA226" i="7" s="1"/>
  <c r="CG67" i="7"/>
  <c r="CG93" i="7" s="1"/>
  <c r="CG95" i="7" s="1"/>
  <c r="CG99" i="7" s="1"/>
  <c r="P137" i="7"/>
  <c r="S50" i="7"/>
  <c r="CD36" i="7"/>
  <c r="H224" i="7"/>
  <c r="BR137" i="7"/>
  <c r="L49" i="7"/>
  <c r="CR315" i="7"/>
  <c r="CD240" i="7"/>
  <c r="BF57" i="7"/>
  <c r="BT57" i="7"/>
  <c r="CG137" i="7"/>
  <c r="P135" i="7"/>
  <c r="CW152" i="7"/>
  <c r="BY50" i="7"/>
  <c r="I237" i="7"/>
  <c r="CD57" i="7"/>
  <c r="DR289" i="7"/>
  <c r="L57" i="7"/>
  <c r="L58" i="7" s="1"/>
  <c r="L90" i="7" s="1"/>
  <c r="CT137" i="7"/>
  <c r="DU105" i="7"/>
  <c r="DX105" i="7" s="1"/>
  <c r="DW105" i="7" s="1"/>
  <c r="CG315" i="7"/>
  <c r="CC135" i="7"/>
  <c r="CP153" i="7"/>
  <c r="CD67" i="7"/>
  <c r="CD93" i="7" s="1"/>
  <c r="CD95" i="7" s="1"/>
  <c r="L67" i="7"/>
  <c r="L93" i="7" s="1"/>
  <c r="L95" i="7" s="1"/>
  <c r="L96" i="7" s="1"/>
  <c r="L97" i="7" s="1"/>
  <c r="CI238" i="7"/>
  <c r="CP289" i="7"/>
  <c r="BR50" i="7"/>
  <c r="CG36" i="7"/>
  <c r="X50" i="7"/>
  <c r="BV238" i="7"/>
  <c r="CJ17" i="7"/>
  <c r="CD137" i="7"/>
  <c r="CG49" i="7"/>
  <c r="P67" i="7"/>
  <c r="P93" i="7" s="1"/>
  <c r="P95" i="7" s="1"/>
  <c r="P96" i="7" s="1"/>
  <c r="P97" i="7" s="1"/>
  <c r="CJ49" i="7"/>
  <c r="CD315" i="7"/>
  <c r="CR36" i="7"/>
  <c r="CR138" i="7" s="1"/>
  <c r="L240" i="7"/>
  <c r="DZ144" i="7"/>
  <c r="DZ145" i="7" s="1"/>
  <c r="EA141" i="7"/>
  <c r="EA144" i="7" s="1"/>
  <c r="EA145" i="7" s="1"/>
  <c r="AW132" i="7"/>
  <c r="AW142" i="7" s="1"/>
  <c r="AW207" i="7"/>
  <c r="AW208" i="7" s="1"/>
  <c r="AW209" i="7" s="1"/>
  <c r="AW219" i="7" s="1"/>
  <c r="DK135" i="7"/>
  <c r="W226" i="7"/>
  <c r="M137" i="7"/>
  <c r="CY36" i="7"/>
  <c r="CY138" i="7" s="1"/>
  <c r="AD85" i="7"/>
  <c r="AK238" i="7"/>
  <c r="DT50" i="7"/>
  <c r="Q17" i="7"/>
  <c r="Q226" i="7" s="1"/>
  <c r="CJ137" i="7"/>
  <c r="T161" i="7"/>
  <c r="AE67" i="7"/>
  <c r="AE93" i="7" s="1"/>
  <c r="AE95" i="7" s="1"/>
  <c r="AE96" i="7" s="1"/>
  <c r="AE97" i="7" s="1"/>
  <c r="CY57" i="7"/>
  <c r="CY58" i="7" s="1"/>
  <c r="CY90" i="7" s="1"/>
  <c r="Q85" i="7"/>
  <c r="J236" i="7"/>
  <c r="Q241" i="7" s="1"/>
  <c r="BY49" i="7"/>
  <c r="BY17" i="7"/>
  <c r="CJ315" i="7"/>
  <c r="X85" i="7"/>
  <c r="CR49" i="7"/>
  <c r="BE67" i="7"/>
  <c r="BE93" i="7" s="1"/>
  <c r="BE95" i="7" s="1"/>
  <c r="AI49" i="7"/>
  <c r="AE49" i="7"/>
  <c r="BE19" i="7"/>
  <c r="BE156" i="7" s="1"/>
  <c r="BE158" i="7" s="1"/>
  <c r="BE104" i="7"/>
  <c r="CW207" i="7"/>
  <c r="C17" i="3"/>
  <c r="AT240" i="7"/>
  <c r="BH137" i="7"/>
  <c r="J238" i="7"/>
  <c r="CK127" i="7"/>
  <c r="DQ135" i="7"/>
  <c r="AE57" i="7"/>
  <c r="AE58" i="7" s="1"/>
  <c r="AE90" i="7" s="1"/>
  <c r="BF61" i="7"/>
  <c r="BG61" i="7" s="1"/>
  <c r="BG65" i="7" s="1"/>
  <c r="C264" i="3" s="1"/>
  <c r="DK236" i="7"/>
  <c r="DR241" i="7" s="1"/>
  <c r="BF89" i="7"/>
  <c r="DT240" i="7"/>
  <c r="M49" i="7"/>
  <c r="AN49" i="7"/>
  <c r="M36" i="7"/>
  <c r="M103" i="7" s="1"/>
  <c r="M109" i="7" s="1"/>
  <c r="BS67" i="7"/>
  <c r="BS93" i="7" s="1"/>
  <c r="BS95" i="7" s="1"/>
  <c r="BS99" i="7" s="1"/>
  <c r="J237" i="7"/>
  <c r="CJ67" i="7"/>
  <c r="CJ93" i="7" s="1"/>
  <c r="CJ95" i="7" s="1"/>
  <c r="J138" i="7"/>
  <c r="DQ237" i="7"/>
  <c r="AE137" i="7"/>
  <c r="E238" i="7"/>
  <c r="CY315" i="7"/>
  <c r="BS137" i="7"/>
  <c r="DM57" i="7"/>
  <c r="CJ57" i="7"/>
  <c r="CM36" i="7"/>
  <c r="CM138" i="7" s="1"/>
  <c r="CT50" i="7"/>
  <c r="BQ237" i="7"/>
  <c r="DQ238" i="7"/>
  <c r="AE315" i="7"/>
  <c r="CQ50" i="7"/>
  <c r="CJ36" i="7"/>
  <c r="BL36" i="7"/>
  <c r="F68" i="3"/>
  <c r="M240" i="7"/>
  <c r="CF67" i="7"/>
  <c r="CF93" i="7" s="1"/>
  <c r="CF95" i="7" s="1"/>
  <c r="BF50" i="7"/>
  <c r="W135" i="7"/>
  <c r="AR236" i="7"/>
  <c r="AD135" i="7"/>
  <c r="DE315" i="7"/>
  <c r="AS209" i="7"/>
  <c r="AS219" i="7" s="1"/>
  <c r="BO57" i="7"/>
  <c r="CE85" i="7"/>
  <c r="CR85" i="7"/>
  <c r="BF315" i="7"/>
  <c r="P49" i="7"/>
  <c r="W238" i="7"/>
  <c r="CK49" i="7"/>
  <c r="Z135" i="7"/>
  <c r="BO137" i="7"/>
  <c r="CI83" i="7"/>
  <c r="D17" i="3"/>
  <c r="BN112" i="7"/>
  <c r="CF57" i="7"/>
  <c r="CF58" i="7" s="1"/>
  <c r="CF90" i="7" s="1"/>
  <c r="CF137" i="7"/>
  <c r="V91" i="7"/>
  <c r="W236" i="7"/>
  <c r="W241" i="7" s="1"/>
  <c r="W138" i="7"/>
  <c r="Z237" i="7"/>
  <c r="DE36" i="7"/>
  <c r="DE138" i="7" s="1"/>
  <c r="BO315" i="7"/>
  <c r="CF315" i="7"/>
  <c r="CK17" i="7"/>
  <c r="CR18" i="7" s="1"/>
  <c r="Z238" i="7"/>
  <c r="CF241" i="7"/>
  <c r="Z138" i="7"/>
  <c r="DE57" i="7"/>
  <c r="AS275" i="7"/>
  <c r="AT275" i="7" s="1"/>
  <c r="DE49" i="7"/>
  <c r="AW91" i="7"/>
  <c r="CF36" i="7"/>
  <c r="CF49" i="7"/>
  <c r="BF36" i="7"/>
  <c r="BF103" i="7" s="1"/>
  <c r="DE67" i="7"/>
  <c r="DE93" i="7" s="1"/>
  <c r="DE95" i="7" s="1"/>
  <c r="AC17" i="7"/>
  <c r="AC223" i="7" s="1"/>
  <c r="BO36" i="7"/>
  <c r="AN57" i="7"/>
  <c r="AN58" i="7" s="1"/>
  <c r="AN90" i="7" s="1"/>
  <c r="CR241" i="7"/>
  <c r="DK57" i="7"/>
  <c r="DK58" i="7" s="1"/>
  <c r="DK90" i="7" s="1"/>
  <c r="AU50" i="7"/>
  <c r="CW65" i="7"/>
  <c r="CO49" i="7"/>
  <c r="DO36" i="7"/>
  <c r="U17" i="7"/>
  <c r="U226" i="7" s="1"/>
  <c r="K17" i="7"/>
  <c r="K222" i="7" s="1"/>
  <c r="DV50" i="7"/>
  <c r="AN50" i="7"/>
  <c r="CV36" i="7"/>
  <c r="CV103" i="7" s="1"/>
  <c r="DR50" i="7"/>
  <c r="DO67" i="7"/>
  <c r="U85" i="7"/>
  <c r="AN137" i="7"/>
  <c r="K49" i="7"/>
  <c r="CH266" i="7"/>
  <c r="CH267" i="7" s="1"/>
  <c r="DK137" i="7"/>
  <c r="AI40" i="3" s="1"/>
  <c r="DO57" i="7"/>
  <c r="BQ135" i="7"/>
  <c r="AE226" i="7"/>
  <c r="DK49" i="7"/>
  <c r="AN36" i="7"/>
  <c r="AN138" i="7" s="1"/>
  <c r="AN315" i="7"/>
  <c r="DK315" i="7"/>
  <c r="CS238" i="7"/>
  <c r="AW72" i="7"/>
  <c r="AW242" i="7" s="1"/>
  <c r="DO49" i="7"/>
  <c r="BQ236" i="7"/>
  <c r="BR241" i="7" s="1"/>
  <c r="AE223" i="7"/>
  <c r="BS124" i="7"/>
  <c r="CA237" i="7"/>
  <c r="AD161" i="7"/>
  <c r="AB85" i="7"/>
  <c r="DO137" i="7"/>
  <c r="AT209" i="7"/>
  <c r="AT219" i="7" s="1"/>
  <c r="AC237" i="7"/>
  <c r="DH85" i="7"/>
  <c r="CA236" i="7"/>
  <c r="O65" i="7"/>
  <c r="AT36" i="7"/>
  <c r="U209" i="7"/>
  <c r="U219" i="7" s="1"/>
  <c r="BV50" i="7"/>
  <c r="BS57" i="7"/>
  <c r="BZ49" i="7"/>
  <c r="CW232" i="7"/>
  <c r="CW106" i="7" s="1"/>
  <c r="F27" i="3" s="1"/>
  <c r="CM137" i="7"/>
  <c r="DS315" i="7"/>
  <c r="BN164" i="7"/>
  <c r="CT315" i="7"/>
  <c r="CI237" i="7"/>
  <c r="AE39" i="3" s="1"/>
  <c r="AK241" i="7"/>
  <c r="E237" i="7"/>
  <c r="E17" i="3"/>
  <c r="DK167" i="7"/>
  <c r="DK169" i="7" s="1"/>
  <c r="AT49" i="7"/>
  <c r="AT315" i="7"/>
  <c r="CZ57" i="7"/>
  <c r="AQ36" i="7"/>
  <c r="AQ103" i="7" s="1"/>
  <c r="BV315" i="7"/>
  <c r="BS49" i="7"/>
  <c r="DJ65" i="7"/>
  <c r="CC85" i="7"/>
  <c r="CS135" i="7"/>
  <c r="W209" i="7"/>
  <c r="W219" i="7" s="1"/>
  <c r="AG49" i="7"/>
  <c r="CM315" i="7"/>
  <c r="AG17" i="7"/>
  <c r="AG58" i="7" s="1"/>
  <c r="AG90" i="7" s="1"/>
  <c r="CA135" i="7"/>
  <c r="BH241" i="7"/>
  <c r="AJ85" i="7"/>
  <c r="CT36" i="7"/>
  <c r="CT103" i="7" s="1"/>
  <c r="CT290" i="7" s="1"/>
  <c r="BA50" i="7"/>
  <c r="CU199" i="7"/>
  <c r="CU208" i="7" s="1"/>
  <c r="CI236" i="7"/>
  <c r="CJ241" i="7" s="1"/>
  <c r="H9" i="3"/>
  <c r="AT67" i="7"/>
  <c r="AT93" i="7" s="1"/>
  <c r="AT95" i="7" s="1"/>
  <c r="AT96" i="7" s="1"/>
  <c r="AT97" i="7" s="1"/>
  <c r="BS315" i="7"/>
  <c r="BH50" i="7"/>
  <c r="BI49" i="7"/>
  <c r="DP237" i="7"/>
  <c r="CM50" i="7"/>
  <c r="DS57" i="7"/>
  <c r="CO57" i="7"/>
  <c r="CO58" i="7" s="1"/>
  <c r="CO90" i="7" s="1"/>
  <c r="CL118" i="7"/>
  <c r="CT67" i="7"/>
  <c r="CT93" i="7" s="1"/>
  <c r="CT95" i="7" s="1"/>
  <c r="CZ16" i="7"/>
  <c r="CZ85" i="7" s="1"/>
  <c r="AE38" i="3"/>
  <c r="AO138" i="7"/>
  <c r="DT209" i="7"/>
  <c r="DT219" i="7" s="1"/>
  <c r="AT236" i="7"/>
  <c r="AT241" i="7" s="1"/>
  <c r="AT137" i="7"/>
  <c r="L135" i="7"/>
  <c r="BU237" i="7"/>
  <c r="BV36" i="7"/>
  <c r="BS50" i="7"/>
  <c r="CX50" i="7"/>
  <c r="BH67" i="7"/>
  <c r="BH72" i="7" s="1"/>
  <c r="DK36" i="7"/>
  <c r="CM67" i="7"/>
  <c r="CM93" i="7" s="1"/>
  <c r="CM95" i="7" s="1"/>
  <c r="CT57" i="7"/>
  <c r="CU49" i="7"/>
  <c r="DV127" i="7"/>
  <c r="DS67" i="7"/>
  <c r="DS93" i="7" s="1"/>
  <c r="DS95" i="7" s="1"/>
  <c r="DZ50" i="7"/>
  <c r="AF32" i="3"/>
  <c r="BX209" i="7"/>
  <c r="BX219" i="7" s="1"/>
  <c r="DC237" i="7"/>
  <c r="DK161" i="7"/>
  <c r="DK291" i="7"/>
  <c r="CK85" i="7"/>
  <c r="BF16" i="7"/>
  <c r="BF17" i="7" s="1"/>
  <c r="BF224" i="7" s="1"/>
  <c r="CO36" i="7"/>
  <c r="CO138" i="7" s="1"/>
  <c r="DW124" i="7"/>
  <c r="CS67" i="7"/>
  <c r="CS93" i="7" s="1"/>
  <c r="CS95" i="7" s="1"/>
  <c r="CS99" i="7" s="1"/>
  <c r="BS241" i="7"/>
  <c r="CH167" i="7"/>
  <c r="CH169" i="7" s="1"/>
  <c r="BO49" i="7"/>
  <c r="CV167" i="7"/>
  <c r="CV169" i="7" s="1"/>
  <c r="CV161" i="7"/>
  <c r="DG135" i="7"/>
  <c r="DW118" i="7"/>
  <c r="DB85" i="7"/>
  <c r="DY146" i="7"/>
  <c r="DX148" i="7"/>
  <c r="DX145" i="7"/>
  <c r="DX285" i="7"/>
  <c r="DY283" i="7"/>
  <c r="DY285" i="7" s="1"/>
  <c r="BW67" i="7"/>
  <c r="BW93" i="7" s="1"/>
  <c r="BW95" i="7" s="1"/>
  <c r="BI57" i="7"/>
  <c r="BI58" i="7" s="1"/>
  <c r="BI90" i="7" s="1"/>
  <c r="AY17" i="7"/>
  <c r="AY91" i="7" s="1"/>
  <c r="BL57" i="7"/>
  <c r="BL58" i="7" s="1"/>
  <c r="BL90" i="7" s="1"/>
  <c r="DY257" i="7"/>
  <c r="DY260" i="7" s="1"/>
  <c r="EF262" i="7" s="1"/>
  <c r="DY296" i="7"/>
  <c r="DY298" i="7" s="1"/>
  <c r="DU65" i="7"/>
  <c r="DX61" i="7"/>
  <c r="BJ49" i="7"/>
  <c r="BI50" i="7"/>
  <c r="BL49" i="7"/>
  <c r="DY290" i="7"/>
  <c r="BI67" i="7"/>
  <c r="BI93" i="7" s="1"/>
  <c r="BI95" i="7" s="1"/>
  <c r="BL50" i="7"/>
  <c r="AM240" i="7"/>
  <c r="AV137" i="7"/>
  <c r="BI137" i="7"/>
  <c r="CS49" i="7"/>
  <c r="BL315" i="7"/>
  <c r="CU132" i="7"/>
  <c r="CU134" i="7" s="1"/>
  <c r="CB208" i="7"/>
  <c r="DY50" i="7"/>
  <c r="DX98" i="7"/>
  <c r="DW68" i="7"/>
  <c r="DX70" i="7"/>
  <c r="BI36" i="7"/>
  <c r="BI315" i="7"/>
  <c r="AO49" i="7"/>
  <c r="DX89" i="7"/>
  <c r="BG289" i="7"/>
  <c r="DU281" i="7"/>
  <c r="DW279" i="7"/>
  <c r="CB268" i="7"/>
  <c r="BM241" i="7"/>
  <c r="BX237" i="7"/>
  <c r="BX236" i="7"/>
  <c r="CE135" i="7"/>
  <c r="BX135" i="7"/>
  <c r="CX232" i="7"/>
  <c r="CX106" i="7" s="1"/>
  <c r="BB189" i="7"/>
  <c r="BB209" i="7" s="1"/>
  <c r="BB219" i="7" s="1"/>
  <c r="BM152" i="7"/>
  <c r="BM154" i="7" s="1"/>
  <c r="BM155" i="7" s="1"/>
  <c r="BJ153" i="7"/>
  <c r="BJ154" i="7" s="1"/>
  <c r="BJ155" i="7" s="1"/>
  <c r="F169" i="7"/>
  <c r="BF135" i="7"/>
  <c r="L209" i="7"/>
  <c r="L219" i="7" s="1"/>
  <c r="BK241" i="7"/>
  <c r="DV240" i="7"/>
  <c r="BF146" i="7"/>
  <c r="DV158" i="7"/>
  <c r="DX156" i="7"/>
  <c r="DY156" i="7" s="1"/>
  <c r="G168" i="7"/>
  <c r="G169" i="7" s="1"/>
  <c r="DS240" i="7"/>
  <c r="DY240" i="7"/>
  <c r="CS137" i="7"/>
  <c r="CY223" i="7"/>
  <c r="BW137" i="7"/>
  <c r="CU17" i="7"/>
  <c r="BJ50" i="7"/>
  <c r="AV315" i="7"/>
  <c r="BP57" i="7"/>
  <c r="BP58" i="7" s="1"/>
  <c r="BP90" i="7" s="1"/>
  <c r="DB17" i="7"/>
  <c r="H233" i="7"/>
  <c r="AY238" i="7"/>
  <c r="CO135" i="7"/>
  <c r="CY226" i="7"/>
  <c r="BJ67" i="7"/>
  <c r="BN67" i="7" s="1"/>
  <c r="DA50" i="7"/>
  <c r="CD50" i="7"/>
  <c r="CH135" i="7"/>
  <c r="BT50" i="7"/>
  <c r="CZ50" i="7"/>
  <c r="BQ50" i="7"/>
  <c r="CY227" i="7"/>
  <c r="BJ137" i="7"/>
  <c r="CH237" i="7"/>
  <c r="DF85" i="7"/>
  <c r="V189" i="7"/>
  <c r="V209" i="7" s="1"/>
  <c r="V219" i="7" s="1"/>
  <c r="AO17" i="7"/>
  <c r="AO91" i="7" s="1"/>
  <c r="Q240" i="7"/>
  <c r="BV237" i="7"/>
  <c r="BJ57" i="7"/>
  <c r="BJ58" i="7" s="1"/>
  <c r="BJ90" i="7" s="1"/>
  <c r="BJ241" i="7"/>
  <c r="R240" i="7"/>
  <c r="H226" i="7"/>
  <c r="AO85" i="7"/>
  <c r="BJ36" i="7"/>
  <c r="BJ91" i="7" s="1"/>
  <c r="AY135" i="7"/>
  <c r="AV67" i="7"/>
  <c r="AV93" i="7" s="1"/>
  <c r="AV95" i="7" s="1"/>
  <c r="DF67" i="7"/>
  <c r="DF93" i="7" s="1"/>
  <c r="DF95" i="7" s="1"/>
  <c r="CY241" i="7"/>
  <c r="M209" i="7"/>
  <c r="M219" i="7" s="1"/>
  <c r="BI85" i="7"/>
  <c r="W49" i="7"/>
  <c r="W58" i="7"/>
  <c r="W90" i="7" s="1"/>
  <c r="DL49" i="7"/>
  <c r="AU85" i="7"/>
  <c r="CY225" i="7"/>
  <c r="CY311" i="7"/>
  <c r="CY49" i="7"/>
  <c r="BH36" i="7"/>
  <c r="BH240" i="7"/>
  <c r="AV49" i="7"/>
  <c r="CQ152" i="7"/>
  <c r="CQ154" i="7" s="1"/>
  <c r="CQ155" i="7" s="1"/>
  <c r="DM36" i="7"/>
  <c r="DM138" i="7" s="1"/>
  <c r="AA241" i="7"/>
  <c r="BB17" i="7"/>
  <c r="DQ127" i="7"/>
  <c r="DR137" i="7"/>
  <c r="AJ40" i="3" s="1"/>
  <c r="BB72" i="7"/>
  <c r="BB242" i="7" s="1"/>
  <c r="AK49" i="7"/>
  <c r="AE240" i="7"/>
  <c r="CQ315" i="7"/>
  <c r="C61" i="3"/>
  <c r="C60" i="3" s="1"/>
  <c r="AK237" i="7"/>
  <c r="BT315" i="7"/>
  <c r="BU238" i="7"/>
  <c r="BW57" i="7"/>
  <c r="CY18" i="7"/>
  <c r="K85" i="7"/>
  <c r="CR67" i="7"/>
  <c r="CR93" i="7" s="1"/>
  <c r="CR95" i="7" s="1"/>
  <c r="DL137" i="7"/>
  <c r="M58" i="7"/>
  <c r="M90" i="7" s="1"/>
  <c r="H49" i="7"/>
  <c r="CZ36" i="7"/>
  <c r="CZ138" i="7" s="1"/>
  <c r="CG241" i="7"/>
  <c r="CY224" i="7"/>
  <c r="AL103" i="7"/>
  <c r="AL290" i="7" s="1"/>
  <c r="BW49" i="7"/>
  <c r="BV17" i="7"/>
  <c r="CG240" i="7"/>
  <c r="H225" i="7"/>
  <c r="BH49" i="7"/>
  <c r="BH315" i="7"/>
  <c r="AV50" i="7"/>
  <c r="CS152" i="7"/>
  <c r="CS154" i="7" s="1"/>
  <c r="CS155" i="7" s="1"/>
  <c r="CA50" i="7"/>
  <c r="AX57" i="7"/>
  <c r="AX58" i="7" s="1"/>
  <c r="AX90" i="7" s="1"/>
  <c r="DM49" i="7"/>
  <c r="DP124" i="7"/>
  <c r="BK152" i="7"/>
  <c r="BK154" i="7" s="1"/>
  <c r="BK155" i="7" s="1"/>
  <c r="DR36" i="7"/>
  <c r="DR315" i="7"/>
  <c r="Z241" i="7"/>
  <c r="DE50" i="7"/>
  <c r="CR57" i="7"/>
  <c r="CR58" i="7" s="1"/>
  <c r="CR90" i="7" s="1"/>
  <c r="AE224" i="7"/>
  <c r="BO50" i="7"/>
  <c r="CQ36" i="7"/>
  <c r="CQ91" i="7" s="1"/>
  <c r="CZ137" i="7"/>
  <c r="BU289" i="7"/>
  <c r="D11" i="3"/>
  <c r="H17" i="3"/>
  <c r="AO241" i="7"/>
  <c r="AL138" i="7"/>
  <c r="CL238" i="7"/>
  <c r="CY85" i="7"/>
  <c r="DO156" i="7"/>
  <c r="DO158" i="7" s="1"/>
  <c r="BU236" i="7"/>
  <c r="BW36" i="7"/>
  <c r="BW315" i="7"/>
  <c r="BH57" i="7"/>
  <c r="BH58" i="7" s="1"/>
  <c r="BH90" i="7" s="1"/>
  <c r="AV36" i="7"/>
  <c r="AV138" i="7" s="1"/>
  <c r="AL91" i="7"/>
  <c r="DF241" i="7"/>
  <c r="CP179" i="7"/>
  <c r="AL240" i="7"/>
  <c r="AR135" i="7"/>
  <c r="AH85" i="7"/>
  <c r="Q103" i="7"/>
  <c r="Q290" i="7" s="1"/>
  <c r="CA227" i="7"/>
  <c r="DR57" i="7"/>
  <c r="DS50" i="7"/>
  <c r="AF240" i="7"/>
  <c r="CR137" i="7"/>
  <c r="CQ57" i="7"/>
  <c r="CQ58" i="7" s="1"/>
  <c r="CQ90" i="7" s="1"/>
  <c r="AN240" i="7"/>
  <c r="CI104" i="7"/>
  <c r="D25" i="3" s="1"/>
  <c r="DC208" i="7"/>
  <c r="DC209" i="7" s="1"/>
  <c r="DC219" i="7" s="1"/>
  <c r="BR209" i="7"/>
  <c r="BR219" i="7" s="1"/>
  <c r="BV236" i="7"/>
  <c r="BW241" i="7" s="1"/>
  <c r="CL236" i="7"/>
  <c r="CO241" i="7" s="1"/>
  <c r="AQ50" i="7"/>
  <c r="AM241" i="7"/>
  <c r="CY67" i="7"/>
  <c r="CY93" i="7" s="1"/>
  <c r="CY95" i="7" s="1"/>
  <c r="CN137" i="7"/>
  <c r="BZ50" i="7"/>
  <c r="BP137" i="7"/>
  <c r="X240" i="7"/>
  <c r="AQ240" i="7"/>
  <c r="CU50" i="7"/>
  <c r="BZ241" i="7"/>
  <c r="CH36" i="7"/>
  <c r="CH238" i="7"/>
  <c r="BB138" i="7"/>
  <c r="CZ67" i="7"/>
  <c r="CZ72" i="7" s="1"/>
  <c r="AQ57" i="7"/>
  <c r="CN36" i="7"/>
  <c r="CN138" i="7" s="1"/>
  <c r="CN315" i="7"/>
  <c r="CD17" i="7"/>
  <c r="CD226" i="7" s="1"/>
  <c r="BZ67" i="7"/>
  <c r="BZ93" i="7" s="1"/>
  <c r="BZ95" i="7" s="1"/>
  <c r="H237" i="7"/>
  <c r="BT189" i="7"/>
  <c r="BT209" i="7" s="1"/>
  <c r="BT219" i="7" s="1"/>
  <c r="BQ17" i="7"/>
  <c r="BQ86" i="7" s="1"/>
  <c r="BP36" i="7"/>
  <c r="BP315" i="7"/>
  <c r="CD49" i="7"/>
  <c r="CZ21" i="7"/>
  <c r="CZ167" i="7"/>
  <c r="CZ169" i="7" s="1"/>
  <c r="CM17" i="7"/>
  <c r="CC50" i="7"/>
  <c r="CM51" i="7"/>
  <c r="CG50" i="7"/>
  <c r="CM209" i="7"/>
  <c r="CM219" i="7" s="1"/>
  <c r="CN49" i="7"/>
  <c r="CD85" i="7"/>
  <c r="BZ137" i="7"/>
  <c r="S49" i="7"/>
  <c r="Z85" i="7"/>
  <c r="BX85" i="7"/>
  <c r="BQ85" i="7"/>
  <c r="AL241" i="7"/>
  <c r="BP241" i="7"/>
  <c r="BP49" i="7"/>
  <c r="X36" i="7"/>
  <c r="X138" i="7" s="1"/>
  <c r="CM49" i="7"/>
  <c r="CO208" i="7"/>
  <c r="CY137" i="7"/>
  <c r="CN50" i="7"/>
  <c r="BZ315" i="7"/>
  <c r="BB237" i="7"/>
  <c r="BP50" i="7"/>
  <c r="X49" i="7"/>
  <c r="M113" i="7"/>
  <c r="CV85" i="7"/>
  <c r="S17" i="7"/>
  <c r="S58" i="7" s="1"/>
  <c r="S90" i="7" s="1"/>
  <c r="X137" i="7"/>
  <c r="I209" i="7"/>
  <c r="I219" i="7" s="1"/>
  <c r="AI38" i="3"/>
  <c r="DR135" i="7"/>
  <c r="CH72" i="7"/>
  <c r="CH242" i="7" s="1"/>
  <c r="BW50" i="7"/>
  <c r="CN67" i="7"/>
  <c r="CN93" i="7" s="1"/>
  <c r="CN95" i="7" s="1"/>
  <c r="BZ57" i="7"/>
  <c r="BP67" i="7"/>
  <c r="BP93" i="7" s="1"/>
  <c r="BP95" i="7" s="1"/>
  <c r="X57" i="7"/>
  <c r="X58" i="7" s="1"/>
  <c r="X90" i="7" s="1"/>
  <c r="AE50" i="7"/>
  <c r="AB124" i="7"/>
  <c r="AB127" i="7" s="1"/>
  <c r="H222" i="7"/>
  <c r="BB238" i="7"/>
  <c r="CT208" i="7"/>
  <c r="DC238" i="7"/>
  <c r="BK85" i="7"/>
  <c r="CI17" i="7"/>
  <c r="CI223" i="7" s="1"/>
  <c r="DO17" i="7"/>
  <c r="DV85" i="7"/>
  <c r="DO127" i="7"/>
  <c r="DV164" i="7"/>
  <c r="J31" i="3"/>
  <c r="BC238" i="7"/>
  <c r="BC236" i="7"/>
  <c r="BF241" i="7" s="1"/>
  <c r="BC135" i="7"/>
  <c r="BC237" i="7"/>
  <c r="BC138" i="7"/>
  <c r="BD148" i="7"/>
  <c r="CN232" i="7"/>
  <c r="CN106" i="7" s="1"/>
  <c r="BT154" i="7"/>
  <c r="BT155" i="7" s="1"/>
  <c r="W168" i="7"/>
  <c r="W169" i="7" s="1"/>
  <c r="T169" i="7"/>
  <c r="CK154" i="7"/>
  <c r="CK155" i="7" s="1"/>
  <c r="BL240" i="7"/>
  <c r="AY237" i="7"/>
  <c r="DS209" i="7"/>
  <c r="DS219" i="7" s="1"/>
  <c r="DC135" i="7"/>
  <c r="M85" i="7"/>
  <c r="AC135" i="7"/>
  <c r="AK135" i="7"/>
  <c r="CL135" i="7"/>
  <c r="DD30" i="7"/>
  <c r="DD291" i="7" s="1"/>
  <c r="AG209" i="7"/>
  <c r="AG219" i="7" s="1"/>
  <c r="BB241" i="7"/>
  <c r="P240" i="7"/>
  <c r="BM49" i="7"/>
  <c r="BT85" i="7"/>
  <c r="CN241" i="7"/>
  <c r="DC85" i="7"/>
  <c r="DB49" i="7"/>
  <c r="AX315" i="7"/>
  <c r="DF137" i="7"/>
  <c r="BO17" i="7"/>
  <c r="BU124" i="7"/>
  <c r="CC209" i="7"/>
  <c r="CC219" i="7" s="1"/>
  <c r="P209" i="7"/>
  <c r="P219" i="7" s="1"/>
  <c r="BK50" i="7"/>
  <c r="CW289" i="7"/>
  <c r="BF113" i="7"/>
  <c r="BG113" i="7" s="1"/>
  <c r="AG240" i="7"/>
  <c r="BH85" i="7"/>
  <c r="H227" i="7"/>
  <c r="AV240" i="7"/>
  <c r="DF57" i="7"/>
  <c r="DF58" i="7" s="1"/>
  <c r="DF90" i="7" s="1"/>
  <c r="DF315" i="7"/>
  <c r="BO85" i="7"/>
  <c r="BA49" i="7"/>
  <c r="BV85" i="7"/>
  <c r="BA17" i="7"/>
  <c r="AX36" i="7"/>
  <c r="DM50" i="7"/>
  <c r="CV49" i="7"/>
  <c r="DF36" i="7"/>
  <c r="DF91" i="7" s="1"/>
  <c r="DP135" i="7"/>
  <c r="CQ222" i="7"/>
  <c r="AP89" i="7"/>
  <c r="AW240" i="7"/>
  <c r="BE50" i="7"/>
  <c r="AX50" i="7"/>
  <c r="D49" i="7"/>
  <c r="DF49" i="7"/>
  <c r="BD50" i="7"/>
  <c r="DP238" i="7"/>
  <c r="V168" i="7"/>
  <c r="V169" i="7" s="1"/>
  <c r="D58" i="7"/>
  <c r="D90" i="7" s="1"/>
  <c r="DF50" i="7"/>
  <c r="X67" i="7"/>
  <c r="X93" i="7" s="1"/>
  <c r="X95" i="7" s="1"/>
  <c r="DP236" i="7"/>
  <c r="BS240" i="7"/>
  <c r="BI189" i="7"/>
  <c r="BI240" i="7" s="1"/>
  <c r="AI124" i="7"/>
  <c r="AI127" i="7" s="1"/>
  <c r="BM83" i="7"/>
  <c r="BT83" i="7"/>
  <c r="BM89" i="7"/>
  <c r="DJ236" i="7"/>
  <c r="DJ238" i="7"/>
  <c r="DJ237" i="7"/>
  <c r="T48" i="7"/>
  <c r="T241" i="7" s="1"/>
  <c r="T89" i="7"/>
  <c r="DC167" i="7"/>
  <c r="DC169" i="7" s="1"/>
  <c r="DC21" i="7"/>
  <c r="DC161" i="7"/>
  <c r="DG113" i="7"/>
  <c r="DF164" i="7"/>
  <c r="AA83" i="7"/>
  <c r="T83" i="7"/>
  <c r="T16" i="7"/>
  <c r="DC48" i="7"/>
  <c r="DC89" i="7"/>
  <c r="DQ285" i="7"/>
  <c r="DR283" i="7"/>
  <c r="DR285" i="7" s="1"/>
  <c r="CC141" i="7"/>
  <c r="CC144" i="7" s="1"/>
  <c r="CC145" i="7" s="1"/>
  <c r="CE141" i="7"/>
  <c r="CE144" i="7" s="1"/>
  <c r="CE145" i="7" s="1"/>
  <c r="I16" i="7"/>
  <c r="I89" i="7"/>
  <c r="P83" i="7"/>
  <c r="DB36" i="7"/>
  <c r="DB103" i="7" s="1"/>
  <c r="DB290" i="7" s="1"/>
  <c r="DG65" i="7"/>
  <c r="DG104" i="7" s="1"/>
  <c r="DJ104" i="7" s="1"/>
  <c r="DI104" i="7" s="1"/>
  <c r="H127" i="7"/>
  <c r="CC49" i="7"/>
  <c r="DB57" i="7"/>
  <c r="CA58" i="7"/>
  <c r="CA90" i="7" s="1"/>
  <c r="BD49" i="7"/>
  <c r="CA225" i="7"/>
  <c r="CQ223" i="7"/>
  <c r="DE85" i="7"/>
  <c r="DB137" i="7"/>
  <c r="BD137" i="7"/>
  <c r="DA67" i="7"/>
  <c r="DA93" i="7" s="1"/>
  <c r="DA95" i="7" s="1"/>
  <c r="CA311" i="7"/>
  <c r="CA314" i="7" s="1"/>
  <c r="DA49" i="7"/>
  <c r="CQ227" i="7"/>
  <c r="CB135" i="7"/>
  <c r="CA233" i="7"/>
  <c r="AF48" i="3"/>
  <c r="BK223" i="7"/>
  <c r="BK229" i="7" s="1"/>
  <c r="BK226" i="7" s="1"/>
  <c r="DB240" i="7"/>
  <c r="BK224" i="7"/>
  <c r="BK230" i="7" s="1"/>
  <c r="BK227" i="7" s="1"/>
  <c r="BP240" i="7"/>
  <c r="BD36" i="7"/>
  <c r="BD91" i="7" s="1"/>
  <c r="BD240" i="7"/>
  <c r="DB241" i="7"/>
  <c r="CQ226" i="7"/>
  <c r="CQ311" i="7"/>
  <c r="BK58" i="7"/>
  <c r="BK90" i="7" s="1"/>
  <c r="CB236" i="7"/>
  <c r="CE241" i="7" s="1"/>
  <c r="V238" i="7"/>
  <c r="G49" i="7"/>
  <c r="DH50" i="7"/>
  <c r="V138" i="7"/>
  <c r="DB50" i="7"/>
  <c r="DB315" i="7"/>
  <c r="BK222" i="7"/>
  <c r="BK228" i="7" s="1"/>
  <c r="BK225" i="7" s="1"/>
  <c r="BD67" i="7"/>
  <c r="BD93" i="7" s="1"/>
  <c r="BD95" i="7" s="1"/>
  <c r="BD315" i="7"/>
  <c r="CQ225" i="7"/>
  <c r="BK49" i="7"/>
  <c r="V135" i="7"/>
  <c r="G58" i="7"/>
  <c r="G90" i="7" s="1"/>
  <c r="BF189" i="7"/>
  <c r="BF209" i="7" s="1"/>
  <c r="BF219" i="7" s="1"/>
  <c r="CX85" i="7"/>
  <c r="V236" i="7"/>
  <c r="V241" i="7" s="1"/>
  <c r="DB67" i="7"/>
  <c r="DB93" i="7" s="1"/>
  <c r="DB95" i="7" s="1"/>
  <c r="BD57" i="7"/>
  <c r="BD58" i="7" s="1"/>
  <c r="BD90" i="7" s="1"/>
  <c r="CA226" i="7"/>
  <c r="CQ49" i="7"/>
  <c r="N85" i="7"/>
  <c r="BD114" i="7"/>
  <c r="BD118" i="7" s="1"/>
  <c r="BD127" i="7" s="1"/>
  <c r="AU222" i="7"/>
  <c r="AU228" i="7" s="1"/>
  <c r="AV228" i="7" s="1"/>
  <c r="AV225" i="7" s="1"/>
  <c r="AC122" i="7"/>
  <c r="AC124" i="7" s="1"/>
  <c r="AC127" i="7" s="1"/>
  <c r="BR49" i="7"/>
  <c r="CX137" i="7"/>
  <c r="DL50" i="7"/>
  <c r="H57" i="7"/>
  <c r="H58" i="7" s="1"/>
  <c r="H90" i="7" s="1"/>
  <c r="CO238" i="7"/>
  <c r="AB36" i="7"/>
  <c r="AB138" i="7" s="1"/>
  <c r="AB240" i="7"/>
  <c r="BE135" i="7"/>
  <c r="CG297" i="7"/>
  <c r="AU18" i="7"/>
  <c r="AI50" i="7"/>
  <c r="BT232" i="7"/>
  <c r="BT106" i="7" s="1"/>
  <c r="AU224" i="7"/>
  <c r="AU230" i="7" s="1"/>
  <c r="AV230" i="7" s="1"/>
  <c r="AV227" i="7" s="1"/>
  <c r="DL67" i="7"/>
  <c r="CO237" i="7"/>
  <c r="AB49" i="7"/>
  <c r="AB315" i="7"/>
  <c r="BY85" i="7"/>
  <c r="BR17" i="7"/>
  <c r="CH124" i="7"/>
  <c r="DL57" i="7"/>
  <c r="DL58" i="7" s="1"/>
  <c r="DL90" i="7" s="1"/>
  <c r="DE17" i="7"/>
  <c r="AB57" i="7"/>
  <c r="AB58" i="7" s="1"/>
  <c r="AB90" i="7" s="1"/>
  <c r="DT67" i="7"/>
  <c r="DT93" i="7" s="1"/>
  <c r="DT95" i="7" s="1"/>
  <c r="AU49" i="7"/>
  <c r="P233" i="7"/>
  <c r="BB85" i="7"/>
  <c r="BR85" i="7"/>
  <c r="DL36" i="7"/>
  <c r="DL315" i="7"/>
  <c r="AZ208" i="7"/>
  <c r="AX67" i="7"/>
  <c r="AX93" i="7" s="1"/>
  <c r="AX95" i="7" s="1"/>
  <c r="AX97" i="7" s="1"/>
  <c r="AY97" i="7" s="1"/>
  <c r="CX315" i="7"/>
  <c r="CX36" i="7"/>
  <c r="CX91" i="7" s="1"/>
  <c r="CX57" i="7"/>
  <c r="CX58" i="7" s="1"/>
  <c r="CX90" i="7" s="1"/>
  <c r="CK67" i="7"/>
  <c r="CK36" i="7"/>
  <c r="CK315" i="7"/>
  <c r="CK137" i="7"/>
  <c r="CK57" i="7"/>
  <c r="CX49" i="7"/>
  <c r="DJ135" i="7"/>
  <c r="DG236" i="7"/>
  <c r="DH241" i="7" s="1"/>
  <c r="DG238" i="7"/>
  <c r="DG237" i="7"/>
  <c r="BO164" i="7"/>
  <c r="W85" i="7"/>
  <c r="R58" i="7"/>
  <c r="R90" i="7" s="1"/>
  <c r="W86" i="7"/>
  <c r="BJ240" i="7"/>
  <c r="DJ167" i="7"/>
  <c r="DJ169" i="7" s="1"/>
  <c r="DJ21" i="7"/>
  <c r="R241" i="7"/>
  <c r="I138" i="7"/>
  <c r="CJ189" i="7"/>
  <c r="CJ209" i="7" s="1"/>
  <c r="CJ219" i="7" s="1"/>
  <c r="CI135" i="7"/>
  <c r="CS315" i="7"/>
  <c r="CS57" i="7"/>
  <c r="CS58" i="7" s="1"/>
  <c r="CS90" i="7" s="1"/>
  <c r="CS36" i="7"/>
  <c r="CS91" i="7" s="1"/>
  <c r="W222" i="7"/>
  <c r="W223" i="7"/>
  <c r="W224" i="7"/>
  <c r="CS161" i="7"/>
  <c r="CS167" i="7"/>
  <c r="CS169" i="7" s="1"/>
  <c r="CS21" i="7"/>
  <c r="I238" i="7"/>
  <c r="CO21" i="7"/>
  <c r="CO167" i="7"/>
  <c r="CO169" i="7" s="1"/>
  <c r="X269" i="7"/>
  <c r="BR315" i="7"/>
  <c r="BR57" i="7"/>
  <c r="BR36" i="7"/>
  <c r="BN113" i="7"/>
  <c r="CG124" i="7"/>
  <c r="AU223" i="7"/>
  <c r="AU229" i="7" s="1"/>
  <c r="CB144" i="7"/>
  <c r="CB145" i="7" s="1"/>
  <c r="CI141" i="7"/>
  <c r="F17" i="7"/>
  <c r="M86" i="7" s="1"/>
  <c r="F49" i="7"/>
  <c r="O135" i="7"/>
  <c r="H236" i="7"/>
  <c r="DJ89" i="7"/>
  <c r="DJ48" i="7"/>
  <c r="CW83" i="7"/>
  <c r="BE241" i="7"/>
  <c r="BE138" i="7"/>
  <c r="DN236" i="7"/>
  <c r="DN135" i="7"/>
  <c r="DO135" i="7"/>
  <c r="DN238" i="7"/>
  <c r="DN237" i="7"/>
  <c r="BM17" i="7"/>
  <c r="BM58" i="7" s="1"/>
  <c r="BM90" i="7" s="1"/>
  <c r="DQ208" i="7"/>
  <c r="DI30" i="7"/>
  <c r="DI21" i="7" s="1"/>
  <c r="AI241" i="7"/>
  <c r="DN49" i="7"/>
  <c r="AX189" i="7"/>
  <c r="AX209" i="7" s="1"/>
  <c r="AX219" i="7" s="1"/>
  <c r="DN189" i="7"/>
  <c r="DO240" i="7" s="1"/>
  <c r="DL85" i="7"/>
  <c r="CE209" i="7"/>
  <c r="CE219" i="7" s="1"/>
  <c r="BT137" i="7"/>
  <c r="CB112" i="7"/>
  <c r="AV283" i="7"/>
  <c r="AV285" i="7" s="1"/>
  <c r="BU88" i="7"/>
  <c r="AO65" i="7"/>
  <c r="CO83" i="7"/>
  <c r="CH89" i="7"/>
  <c r="CH16" i="7"/>
  <c r="BE297" i="7"/>
  <c r="BE124" i="7"/>
  <c r="AY146" i="7"/>
  <c r="AY148" i="7" s="1"/>
  <c r="AZ60" i="7"/>
  <c r="AY65" i="7"/>
  <c r="CA223" i="7"/>
  <c r="AL48" i="3"/>
  <c r="DN21" i="7"/>
  <c r="DN291" i="7"/>
  <c r="DN167" i="7"/>
  <c r="DN169" i="7" s="1"/>
  <c r="DT241" i="7"/>
  <c r="CA222" i="7"/>
  <c r="CW30" i="7"/>
  <c r="BK138" i="7"/>
  <c r="DG17" i="7"/>
  <c r="DN85" i="7"/>
  <c r="S209" i="7"/>
  <c r="S219" i="7" s="1"/>
  <c r="S240" i="7"/>
  <c r="CV67" i="7"/>
  <c r="CV93" i="7" s="1"/>
  <c r="CV95" i="7" s="1"/>
  <c r="CV99" i="7" s="1"/>
  <c r="CV58" i="7"/>
  <c r="CV90" i="7" s="1"/>
  <c r="BL241" i="7"/>
  <c r="X241" i="7"/>
  <c r="AQ208" i="7"/>
  <c r="AQ209" i="7" s="1"/>
  <c r="AQ219" i="7" s="1"/>
  <c r="BS209" i="7"/>
  <c r="BS219" i="7" s="1"/>
  <c r="CT142" i="7"/>
  <c r="CT134" i="7"/>
  <c r="AR146" i="7"/>
  <c r="AQ60" i="7"/>
  <c r="AQ146" i="7" s="1"/>
  <c r="AQ148" i="7" s="1"/>
  <c r="BQ209" i="7"/>
  <c r="BQ219" i="7" s="1"/>
  <c r="BR240" i="7"/>
  <c r="AZ291" i="7"/>
  <c r="AZ167" i="7"/>
  <c r="AZ21" i="7"/>
  <c r="BZ291" i="7"/>
  <c r="BZ167" i="7"/>
  <c r="BZ21" i="7"/>
  <c r="BZ36" i="7"/>
  <c r="BT167" i="7"/>
  <c r="BT21" i="7"/>
  <c r="BT36" i="7"/>
  <c r="BT138" i="7" s="1"/>
  <c r="BS291" i="7"/>
  <c r="BS167" i="7"/>
  <c r="BS21" i="7"/>
  <c r="BS36" i="7"/>
  <c r="DF209" i="7"/>
  <c r="DF219" i="7" s="1"/>
  <c r="DF240" i="7"/>
  <c r="CF240" i="7"/>
  <c r="BV104" i="7"/>
  <c r="C266" i="3"/>
  <c r="DM241" i="7"/>
  <c r="AM314" i="7"/>
  <c r="AN209" i="7"/>
  <c r="AN219" i="7" s="1"/>
  <c r="DD208" i="7"/>
  <c r="G61" i="3"/>
  <c r="G60" i="3" s="1"/>
  <c r="AJ58" i="7"/>
  <c r="AJ90" i="7" s="1"/>
  <c r="G20" i="3"/>
  <c r="CB238" i="7"/>
  <c r="DK82" i="7"/>
  <c r="DD82" i="7"/>
  <c r="DD89" i="7"/>
  <c r="CW89" i="7"/>
  <c r="CP30" i="7"/>
  <c r="BN83" i="7"/>
  <c r="CJ291" i="7"/>
  <c r="CJ167" i="7"/>
  <c r="CJ169" i="7" s="1"/>
  <c r="CJ161" i="7"/>
  <c r="CJ21" i="7"/>
  <c r="ER205" i="7"/>
  <c r="ES205" i="7" s="1"/>
  <c r="ET205" i="7" s="1"/>
  <c r="L66" i="3"/>
  <c r="CQ233" i="7"/>
  <c r="ER178" i="7"/>
  <c r="ES178" i="7" s="1"/>
  <c r="ET178" i="7" s="1"/>
  <c r="L46" i="3"/>
  <c r="CC315" i="7"/>
  <c r="CC137" i="7"/>
  <c r="CC57" i="7"/>
  <c r="CC58" i="7" s="1"/>
  <c r="CC90" i="7" s="1"/>
  <c r="CC67" i="7"/>
  <c r="CC36" i="7"/>
  <c r="CC91" i="7" s="1"/>
  <c r="BQ167" i="7"/>
  <c r="BQ21" i="7"/>
  <c r="ER182" i="7"/>
  <c r="ES182" i="7" s="1"/>
  <c r="ET182" i="7" s="1"/>
  <c r="L48" i="3"/>
  <c r="DO85" i="7"/>
  <c r="DR209" i="7"/>
  <c r="DR219" i="7" s="1"/>
  <c r="D43" i="3"/>
  <c r="D47" i="3" s="1"/>
  <c r="D54" i="3" s="1"/>
  <c r="BK86" i="7"/>
  <c r="F43" i="3"/>
  <c r="F47" i="3" s="1"/>
  <c r="F54" i="3" s="1"/>
  <c r="AD209" i="7"/>
  <c r="AD219" i="7" s="1"/>
  <c r="V124" i="7"/>
  <c r="V127" i="7" s="1"/>
  <c r="CK189" i="7"/>
  <c r="C245" i="3"/>
  <c r="BG82" i="7"/>
  <c r="BG16" i="7"/>
  <c r="CL48" i="7"/>
  <c r="CL88" i="7"/>
  <c r="DI89" i="7"/>
  <c r="BN89" i="7"/>
  <c r="ER203" i="7"/>
  <c r="ES203" i="7" s="1"/>
  <c r="ET203" i="7" s="1"/>
  <c r="L64" i="3"/>
  <c r="BI113" i="7"/>
  <c r="BI164" i="7" s="1"/>
  <c r="J17" i="3"/>
  <c r="DD168" i="7"/>
  <c r="G50" i="3"/>
  <c r="G53" i="3" s="1"/>
  <c r="DD188" i="7"/>
  <c r="CP142" i="7"/>
  <c r="CP134" i="7"/>
  <c r="CP237" i="7" s="1"/>
  <c r="AF39" i="3" s="1"/>
  <c r="L72" i="3"/>
  <c r="DN36" i="7"/>
  <c r="DN91" i="7" s="1"/>
  <c r="DN315" i="7"/>
  <c r="DN57" i="7"/>
  <c r="DN58" i="7" s="1"/>
  <c r="DN90" i="7" s="1"/>
  <c r="AW164" i="7"/>
  <c r="AW114" i="7"/>
  <c r="AW118" i="7" s="1"/>
  <c r="AW127" i="7" s="1"/>
  <c r="AE85" i="7"/>
  <c r="AU189" i="7"/>
  <c r="AU240" i="7" s="1"/>
  <c r="CQ85" i="7"/>
  <c r="CZ104" i="7"/>
  <c r="CP208" i="7"/>
  <c r="E61" i="3"/>
  <c r="E60" i="3" s="1"/>
  <c r="BN104" i="7"/>
  <c r="CI208" i="7"/>
  <c r="D61" i="3"/>
  <c r="F13" i="3"/>
  <c r="AF33" i="3"/>
  <c r="X104" i="7"/>
  <c r="DA315" i="7"/>
  <c r="DA57" i="7"/>
  <c r="DA58" i="7" s="1"/>
  <c r="DA90" i="7" s="1"/>
  <c r="DA36" i="7"/>
  <c r="DA91" i="7" s="1"/>
  <c r="BX165" i="7"/>
  <c r="BY116" i="7"/>
  <c r="AE233" i="7"/>
  <c r="BQ164" i="7"/>
  <c r="BQ114" i="7"/>
  <c r="BV113" i="7"/>
  <c r="BX113" i="7" s="1"/>
  <c r="CP82" i="7"/>
  <c r="CO89" i="7"/>
  <c r="ER194" i="7"/>
  <c r="ES194" i="7" s="1"/>
  <c r="ET194" i="7" s="1"/>
  <c r="L58" i="3"/>
  <c r="AR167" i="7"/>
  <c r="AR21" i="7"/>
  <c r="I69" i="3"/>
  <c r="I70" i="3" s="1"/>
  <c r="AU114" i="7"/>
  <c r="AU118" i="7" s="1"/>
  <c r="AU127" i="7" s="1"/>
  <c r="AU164" i="7"/>
  <c r="AU168" i="7" s="1"/>
  <c r="AU169" i="7" s="1"/>
  <c r="CA85" i="7"/>
  <c r="O209" i="7"/>
  <c r="O219" i="7" s="1"/>
  <c r="DM104" i="7"/>
  <c r="AC241" i="7"/>
  <c r="CP104" i="7"/>
  <c r="E25" i="3" s="1"/>
  <c r="E11" i="3"/>
  <c r="DF233" i="7"/>
  <c r="CL104" i="7"/>
  <c r="AW58" i="7"/>
  <c r="AW90" i="7" s="1"/>
  <c r="CW82" i="7"/>
  <c r="CL89" i="7"/>
  <c r="CL83" i="7"/>
  <c r="CL16" i="7"/>
  <c r="J56" i="3"/>
  <c r="ER202" i="7"/>
  <c r="ES202" i="7" s="1"/>
  <c r="ET202" i="7" s="1"/>
  <c r="L63" i="3"/>
  <c r="CY233" i="7"/>
  <c r="CL167" i="7"/>
  <c r="CL169" i="7" s="1"/>
  <c r="CL21" i="7"/>
  <c r="BG291" i="7"/>
  <c r="BG167" i="7"/>
  <c r="BG21" i="7"/>
  <c r="BM167" i="7"/>
  <c r="BM21" i="7"/>
  <c r="BM36" i="7"/>
  <c r="CA153" i="7"/>
  <c r="CA154" i="7" s="1"/>
  <c r="CA155" i="7" s="1"/>
  <c r="CB175" i="7"/>
  <c r="CA179" i="7"/>
  <c r="CA189" i="7" s="1"/>
  <c r="AS112" i="7"/>
  <c r="AS21" i="7"/>
  <c r="AS291" i="7"/>
  <c r="AS167" i="7"/>
  <c r="AS169" i="7" s="1"/>
  <c r="K51" i="3"/>
  <c r="AH167" i="7"/>
  <c r="AH112" i="7"/>
  <c r="AH21" i="7"/>
  <c r="G225" i="7"/>
  <c r="G227" i="7"/>
  <c r="G233" i="7"/>
  <c r="G222" i="7"/>
  <c r="G223" i="7"/>
  <c r="G224" i="7"/>
  <c r="G226" i="7"/>
  <c r="CW48" i="7"/>
  <c r="CW88" i="7"/>
  <c r="CI30" i="7"/>
  <c r="CB82" i="7"/>
  <c r="CB16" i="7"/>
  <c r="CI82" i="7"/>
  <c r="AL58" i="7"/>
  <c r="AL90" i="7" s="1"/>
  <c r="DP118" i="7"/>
  <c r="DC154" i="7"/>
  <c r="AE86" i="7"/>
  <c r="DT104" i="7"/>
  <c r="AZ82" i="7"/>
  <c r="AS82" i="7"/>
  <c r="AV164" i="7"/>
  <c r="AV168" i="7" s="1"/>
  <c r="AV114" i="7"/>
  <c r="AV118" i="7" s="1"/>
  <c r="AV127" i="7" s="1"/>
  <c r="BL146" i="7"/>
  <c r="BM60" i="7"/>
  <c r="BM146" i="7" s="1"/>
  <c r="BN30" i="7"/>
  <c r="DU291" i="7"/>
  <c r="DU167" i="7"/>
  <c r="DU169" i="7" s="1"/>
  <c r="DU21" i="7"/>
  <c r="AZ142" i="7"/>
  <c r="AZ134" i="7"/>
  <c r="D224" i="7"/>
  <c r="D227" i="7"/>
  <c r="D222" i="7"/>
  <c r="D223" i="7"/>
  <c r="D225" i="7"/>
  <c r="D226" i="7"/>
  <c r="D233" i="7"/>
  <c r="BL291" i="7"/>
  <c r="BL21" i="7"/>
  <c r="BX167" i="7"/>
  <c r="BX21" i="7"/>
  <c r="ER187" i="7"/>
  <c r="ES187" i="7" s="1"/>
  <c r="ET187" i="7" s="1"/>
  <c r="L52" i="3"/>
  <c r="I17" i="3"/>
  <c r="CS232" i="7"/>
  <c r="CS106" i="7" s="1"/>
  <c r="AF241" i="7"/>
  <c r="J57" i="3"/>
  <c r="AX104" i="7"/>
  <c r="G43" i="3"/>
  <c r="G47" i="3" s="1"/>
  <c r="CY86" i="7"/>
  <c r="CB237" i="7"/>
  <c r="AD39" i="3" s="1"/>
  <c r="AD33" i="3"/>
  <c r="ER183" i="7"/>
  <c r="ES183" i="7" s="1"/>
  <c r="ET183" i="7" s="1"/>
  <c r="L49" i="3"/>
  <c r="BG112" i="7"/>
  <c r="CA167" i="7"/>
  <c r="CA21" i="7"/>
  <c r="ER215" i="7"/>
  <c r="ES215" i="7" s="1"/>
  <c r="ET215" i="7" s="1"/>
  <c r="L74" i="3"/>
  <c r="BZ189" i="7"/>
  <c r="DP83" i="7"/>
  <c r="BN48" i="7"/>
  <c r="BN137" i="7" s="1"/>
  <c r="DG21" i="7"/>
  <c r="DG291" i="7"/>
  <c r="DG167" i="7"/>
  <c r="DG169" i="7" s="1"/>
  <c r="DP30" i="7"/>
  <c r="ER195" i="7"/>
  <c r="ES195" i="7" s="1"/>
  <c r="ET195" i="7" s="1"/>
  <c r="L59" i="3"/>
  <c r="DG179" i="7"/>
  <c r="DJ152" i="7"/>
  <c r="DH152" i="7"/>
  <c r="DH154" i="7" s="1"/>
  <c r="DH156" i="7" s="1"/>
  <c r="DG153" i="7"/>
  <c r="BC114" i="7"/>
  <c r="BC118" i="7" s="1"/>
  <c r="BC127" i="7" s="1"/>
  <c r="BC164" i="7"/>
  <c r="ER206" i="7"/>
  <c r="ES206" i="7" s="1"/>
  <c r="ET206" i="7" s="1"/>
  <c r="L67" i="3"/>
  <c r="DJ82" i="7"/>
  <c r="DQ82" i="7"/>
  <c r="DJ88" i="7"/>
  <c r="BV189" i="7"/>
  <c r="AK48" i="3"/>
  <c r="AG48" i="3"/>
  <c r="AU86" i="7"/>
  <c r="DD289" i="7"/>
  <c r="AH31" i="3"/>
  <c r="CB289" i="7"/>
  <c r="AD31" i="3"/>
  <c r="AK58" i="7"/>
  <c r="AK90" i="7" s="1"/>
  <c r="DJ16" i="7"/>
  <c r="DQ16" i="7"/>
  <c r="Z209" i="7"/>
  <c r="Z219" i="7" s="1"/>
  <c r="Z240" i="7"/>
  <c r="CH209" i="7"/>
  <c r="CH219" i="7" s="1"/>
  <c r="CH240" i="7"/>
  <c r="BX232" i="7"/>
  <c r="BX106" i="7" s="1"/>
  <c r="CB232" i="7"/>
  <c r="CB106" i="7" s="1"/>
  <c r="C27" i="3" s="1"/>
  <c r="V227" i="7"/>
  <c r="V226" i="7"/>
  <c r="V225" i="7"/>
  <c r="V22" i="7"/>
  <c r="V223" i="7"/>
  <c r="V222" i="7"/>
  <c r="V224" i="7"/>
  <c r="BL158" i="7"/>
  <c r="BL155" i="7"/>
  <c r="CB148" i="7"/>
  <c r="BV67" i="7"/>
  <c r="DQ61" i="7"/>
  <c r="DN65" i="7"/>
  <c r="G93" i="7"/>
  <c r="G95" i="7" s="1"/>
  <c r="G96" i="7" s="1"/>
  <c r="G72" i="7"/>
  <c r="BE179" i="7"/>
  <c r="BE153" i="7"/>
  <c r="BE154" i="7" s="1"/>
  <c r="R227" i="7"/>
  <c r="R224" i="7"/>
  <c r="R225" i="7"/>
  <c r="R226" i="7"/>
  <c r="R223" i="7"/>
  <c r="R222" i="7"/>
  <c r="R22" i="7"/>
  <c r="R233" i="7"/>
  <c r="DC311" i="7"/>
  <c r="DC227" i="7"/>
  <c r="DC226" i="7"/>
  <c r="DC225" i="7"/>
  <c r="DC86" i="7"/>
  <c r="DC18" i="7"/>
  <c r="DC222" i="7"/>
  <c r="DC224" i="7"/>
  <c r="DC223" i="7"/>
  <c r="P103" i="7"/>
  <c r="P109" i="7" s="1"/>
  <c r="P91" i="7"/>
  <c r="AU93" i="7"/>
  <c r="AU95" i="7" s="1"/>
  <c r="AU96" i="7" s="1"/>
  <c r="AU72" i="7"/>
  <c r="CA103" i="7"/>
  <c r="CA91" i="7"/>
  <c r="CA138" i="7"/>
  <c r="CS158" i="7"/>
  <c r="CW156" i="7"/>
  <c r="DM240" i="7"/>
  <c r="DP113" i="7"/>
  <c r="DP164" i="7" s="1"/>
  <c r="DO164" i="7"/>
  <c r="AJ103" i="7"/>
  <c r="AJ91" i="7"/>
  <c r="M226" i="7"/>
  <c r="M227" i="7"/>
  <c r="M222" i="7"/>
  <c r="M223" i="7"/>
  <c r="M224" i="7"/>
  <c r="M225" i="7"/>
  <c r="M233" i="7"/>
  <c r="BX65" i="7"/>
  <c r="AP138" i="7"/>
  <c r="AP135" i="7"/>
  <c r="AQ134" i="7"/>
  <c r="AQ142" i="7"/>
  <c r="CO281" i="7"/>
  <c r="CP279" i="7"/>
  <c r="CP281" i="7" s="1"/>
  <c r="CO67" i="7"/>
  <c r="W240" i="7"/>
  <c r="DD179" i="7"/>
  <c r="DE152" i="7"/>
  <c r="DE154" i="7" s="1"/>
  <c r="DE155" i="7" s="1"/>
  <c r="DD153" i="7"/>
  <c r="DK152" i="7"/>
  <c r="DG152" i="7"/>
  <c r="AG232" i="7"/>
  <c r="AG106" i="7" s="1"/>
  <c r="AG109" i="7" s="1"/>
  <c r="V58" i="7"/>
  <c r="V90" i="7" s="1"/>
  <c r="Z103" i="7"/>
  <c r="Z91" i="7"/>
  <c r="AJ311" i="7"/>
  <c r="AJ314" i="7" s="1"/>
  <c r="AJ226" i="7"/>
  <c r="AJ227" i="7"/>
  <c r="AJ225" i="7"/>
  <c r="AJ224" i="7"/>
  <c r="AJ223" i="7"/>
  <c r="CO311" i="7"/>
  <c r="CO226" i="7"/>
  <c r="CO227" i="7"/>
  <c r="CO225" i="7"/>
  <c r="CO223" i="7"/>
  <c r="CO222" i="7"/>
  <c r="CO224" i="7"/>
  <c r="CH154" i="7"/>
  <c r="CH155" i="7" s="1"/>
  <c r="CL179" i="7"/>
  <c r="CO152" i="7"/>
  <c r="CO154" i="7" s="1"/>
  <c r="CO155" i="7" s="1"/>
  <c r="CM152" i="7"/>
  <c r="CM154" i="7" s="1"/>
  <c r="CM155" i="7" s="1"/>
  <c r="CL153" i="7"/>
  <c r="AG290" i="7"/>
  <c r="AI58" i="7"/>
  <c r="AI90" i="7" s="1"/>
  <c r="N227" i="7"/>
  <c r="N222" i="7"/>
  <c r="N223" i="7"/>
  <c r="N224" i="7"/>
  <c r="N225" i="7"/>
  <c r="N226" i="7"/>
  <c r="N86" i="7"/>
  <c r="N233" i="7"/>
  <c r="BA103" i="7"/>
  <c r="BA138" i="7"/>
  <c r="DG105" i="7"/>
  <c r="DJ105" i="7" s="1"/>
  <c r="DI105" i="7" s="1"/>
  <c r="CW192" i="7"/>
  <c r="CV132" i="7"/>
  <c r="CV199" i="7"/>
  <c r="CV208" i="7" s="1"/>
  <c r="AG237" i="7"/>
  <c r="AG236" i="7"/>
  <c r="AG241" i="7" s="1"/>
  <c r="AG238" i="7"/>
  <c r="AG138" i="7"/>
  <c r="AG135" i="7"/>
  <c r="DC232" i="7"/>
  <c r="DC106" i="7" s="1"/>
  <c r="DC233" i="7"/>
  <c r="Y241" i="7"/>
  <c r="V85" i="7"/>
  <c r="CU285" i="7"/>
  <c r="CV283" i="7"/>
  <c r="V156" i="7"/>
  <c r="V61" i="7"/>
  <c r="V65" i="7" s="1"/>
  <c r="P138" i="7"/>
  <c r="AD233" i="7"/>
  <c r="AD232" i="7"/>
  <c r="AD106" i="7" s="1"/>
  <c r="BY248" i="7"/>
  <c r="CA248" i="7" s="1"/>
  <c r="CB248" i="7" s="1"/>
  <c r="CG279" i="7"/>
  <c r="CG269" i="7"/>
  <c r="CG268" i="7"/>
  <c r="CN268" i="7"/>
  <c r="BU158" i="7"/>
  <c r="CC311" i="7"/>
  <c r="CC227" i="7"/>
  <c r="CC223" i="7"/>
  <c r="CC224" i="7"/>
  <c r="CC225" i="7"/>
  <c r="CC226" i="7"/>
  <c r="CC222" i="7"/>
  <c r="CC233" i="7"/>
  <c r="DK311" i="7"/>
  <c r="DK226" i="7"/>
  <c r="DK227" i="7"/>
  <c r="DK225" i="7"/>
  <c r="DK223" i="7"/>
  <c r="DK224" i="7"/>
  <c r="L227" i="7"/>
  <c r="L226" i="7"/>
  <c r="L225" i="7"/>
  <c r="L86" i="7"/>
  <c r="L223" i="7"/>
  <c r="L222" i="7"/>
  <c r="L224" i="7"/>
  <c r="CA67" i="7"/>
  <c r="AJ146" i="7"/>
  <c r="AJ65" i="7"/>
  <c r="CV154" i="7"/>
  <c r="CV155" i="7" s="1"/>
  <c r="DQ231" i="7"/>
  <c r="DR228" i="7"/>
  <c r="DR231" i="7" s="1"/>
  <c r="DY232" i="7" s="1"/>
  <c r="DY106" i="7" s="1"/>
  <c r="DY109" i="7" s="1"/>
  <c r="P168" i="7"/>
  <c r="P169" i="7" s="1"/>
  <c r="N168" i="7"/>
  <c r="BK18" i="7"/>
  <c r="CF311" i="7"/>
  <c r="CF226" i="7"/>
  <c r="CF227" i="7"/>
  <c r="CF222" i="7"/>
  <c r="CG222" i="7" s="1"/>
  <c r="CG228" i="7" s="1"/>
  <c r="CG225" i="7" s="1"/>
  <c r="CF223" i="7"/>
  <c r="CF225" i="7"/>
  <c r="CF224" i="7"/>
  <c r="CF233" i="7"/>
  <c r="E103" i="7"/>
  <c r="E91" i="7"/>
  <c r="E138" i="7"/>
  <c r="E22" i="7"/>
  <c r="AQ141" i="7"/>
  <c r="AP144" i="7"/>
  <c r="AP145" i="7" s="1"/>
  <c r="CR285" i="7"/>
  <c r="CS283" i="7"/>
  <c r="CS285" i="7" s="1"/>
  <c r="AA93" i="7"/>
  <c r="AA95" i="7" s="1"/>
  <c r="AA96" i="7" s="1"/>
  <c r="AA97" i="7" s="1"/>
  <c r="AA72" i="7"/>
  <c r="J103" i="7"/>
  <c r="J91" i="7"/>
  <c r="CO137" i="7"/>
  <c r="BC314" i="7"/>
  <c r="AC168" i="7"/>
  <c r="AC169" i="7" s="1"/>
  <c r="AF311" i="7"/>
  <c r="AF314" i="7" s="1"/>
  <c r="AF226" i="7"/>
  <c r="AF222" i="7"/>
  <c r="AF223" i="7"/>
  <c r="AF224" i="7"/>
  <c r="AF227" i="7"/>
  <c r="AF225" i="7"/>
  <c r="AF233" i="7"/>
  <c r="DA311" i="7"/>
  <c r="DA227" i="7"/>
  <c r="DA223" i="7"/>
  <c r="DA226" i="7"/>
  <c r="DA224" i="7"/>
  <c r="DA225" i="7"/>
  <c r="DA222" i="7"/>
  <c r="DA233" i="7"/>
  <c r="DA156" i="7"/>
  <c r="AF58" i="7"/>
  <c r="AF90" i="7" s="1"/>
  <c r="AZ268" i="7"/>
  <c r="AZ269" i="7"/>
  <c r="AE18" i="7"/>
  <c r="U169" i="7"/>
  <c r="AD67" i="7"/>
  <c r="BK93" i="7"/>
  <c r="BK95" i="7" s="1"/>
  <c r="BK72" i="7"/>
  <c r="AK311" i="7"/>
  <c r="AK314" i="7" s="1"/>
  <c r="AK226" i="7"/>
  <c r="AK227" i="7"/>
  <c r="AK225" i="7"/>
  <c r="AK86" i="7"/>
  <c r="AK223" i="7"/>
  <c r="AK224" i="7"/>
  <c r="AK222" i="7"/>
  <c r="DD70" i="7"/>
  <c r="G13" i="3" s="1"/>
  <c r="DD98" i="7"/>
  <c r="CV125" i="7"/>
  <c r="H103" i="7"/>
  <c r="H91" i="7"/>
  <c r="H138" i="7"/>
  <c r="AC158" i="7"/>
  <c r="BQ103" i="7"/>
  <c r="CF164" i="7"/>
  <c r="CH112" i="7"/>
  <c r="BV232" i="7"/>
  <c r="BV106" i="7" s="1"/>
  <c r="BW232" i="7"/>
  <c r="BW106" i="7" s="1"/>
  <c r="L233" i="7"/>
  <c r="L232" i="7"/>
  <c r="L106" i="7" s="1"/>
  <c r="DN281" i="7"/>
  <c r="DP279" i="7"/>
  <c r="BV137" i="7"/>
  <c r="AC103" i="7"/>
  <c r="AC138" i="7"/>
  <c r="AI311" i="7"/>
  <c r="AI314" i="7" s="1"/>
  <c r="AI227" i="7"/>
  <c r="AI226" i="7"/>
  <c r="AI225" i="7"/>
  <c r="AI222" i="7"/>
  <c r="AI224" i="7"/>
  <c r="AI223" i="7"/>
  <c r="AI86" i="7"/>
  <c r="AI233" i="7"/>
  <c r="CB98" i="7"/>
  <c r="CB105" i="7"/>
  <c r="C26" i="3" s="1"/>
  <c r="CB70" i="7"/>
  <c r="DU141" i="7"/>
  <c r="DS141" i="7"/>
  <c r="DR144" i="7"/>
  <c r="CW148" i="7"/>
  <c r="CP105" i="7"/>
  <c r="E26" i="3" s="1"/>
  <c r="CP98" i="7"/>
  <c r="CP70" i="7"/>
  <c r="AR124" i="7"/>
  <c r="AR127" i="7" s="1"/>
  <c r="AQ120" i="7"/>
  <c r="CK241" i="7"/>
  <c r="CW179" i="7"/>
  <c r="CX152" i="7"/>
  <c r="CX154" i="7" s="1"/>
  <c r="CX155" i="7" s="1"/>
  <c r="CW153" i="7"/>
  <c r="DD152" i="7"/>
  <c r="CZ152" i="7"/>
  <c r="CZ154" i="7" s="1"/>
  <c r="CZ155" i="7" s="1"/>
  <c r="BN142" i="7"/>
  <c r="BN134" i="7"/>
  <c r="AK148" i="7"/>
  <c r="AK145" i="7"/>
  <c r="DP232" i="7"/>
  <c r="M169" i="7"/>
  <c r="BY103" i="7"/>
  <c r="BY290" i="7" s="1"/>
  <c r="DD148" i="7"/>
  <c r="AJ142" i="7"/>
  <c r="AJ144" i="7" s="1"/>
  <c r="AJ134" i="7"/>
  <c r="J93" i="7"/>
  <c r="J95" i="7" s="1"/>
  <c r="J96" i="7" s="1"/>
  <c r="J97" i="7" s="1"/>
  <c r="J72" i="7"/>
  <c r="AB311" i="7"/>
  <c r="AB226" i="7"/>
  <c r="AB227" i="7"/>
  <c r="AB222" i="7"/>
  <c r="AB223" i="7"/>
  <c r="AB225" i="7"/>
  <c r="AB224" i="7"/>
  <c r="AB233" i="7"/>
  <c r="W103" i="7"/>
  <c r="W91" i="7"/>
  <c r="BC103" i="7"/>
  <c r="BC91" i="7"/>
  <c r="AQ156" i="7"/>
  <c r="AQ61" i="7"/>
  <c r="CA125" i="7"/>
  <c r="DK222" i="7"/>
  <c r="CV281" i="7"/>
  <c r="CW279" i="7"/>
  <c r="CW281" i="7" s="1"/>
  <c r="Z93" i="7"/>
  <c r="Z95" i="7" s="1"/>
  <c r="Z96" i="7" s="1"/>
  <c r="Z97" i="7" s="1"/>
  <c r="Z72" i="7"/>
  <c r="AX311" i="7"/>
  <c r="CV311" i="7"/>
  <c r="CV226" i="7"/>
  <c r="CV227" i="7"/>
  <c r="CV225" i="7"/>
  <c r="CV86" i="7"/>
  <c r="CV18" i="7"/>
  <c r="CV223" i="7"/>
  <c r="CV224" i="7"/>
  <c r="CV233" i="7"/>
  <c r="CV222" i="7"/>
  <c r="CH125" i="7"/>
  <c r="DU209" i="7"/>
  <c r="DU219" i="7" s="1"/>
  <c r="DK233" i="7"/>
  <c r="EV20" i="7"/>
  <c r="AD137" i="7"/>
  <c r="X98" i="7"/>
  <c r="X105" i="7"/>
  <c r="X70" i="7"/>
  <c r="DC105" i="7"/>
  <c r="DB297" i="7"/>
  <c r="DB124" i="7"/>
  <c r="DQ154" i="7"/>
  <c r="AV311" i="7"/>
  <c r="AV222" i="7"/>
  <c r="AV223" i="7"/>
  <c r="AV224" i="7"/>
  <c r="O85" i="7"/>
  <c r="O17" i="7"/>
  <c r="V86" i="7" s="1"/>
  <c r="AW290" i="7"/>
  <c r="V290" i="7"/>
  <c r="CG118" i="7"/>
  <c r="CG113" i="7"/>
  <c r="CH114" i="7"/>
  <c r="J35" i="3"/>
  <c r="AL158" i="7"/>
  <c r="BH311" i="7"/>
  <c r="BH226" i="7"/>
  <c r="BH227" i="7"/>
  <c r="BH222" i="7"/>
  <c r="BH223" i="7"/>
  <c r="BH225" i="7"/>
  <c r="BH224" i="7"/>
  <c r="BH233" i="7"/>
  <c r="R91" i="7"/>
  <c r="R103" i="7"/>
  <c r="AD311" i="7"/>
  <c r="AD314" i="7" s="1"/>
  <c r="AD227" i="7"/>
  <c r="AD226" i="7"/>
  <c r="AD225" i="7"/>
  <c r="AD86" i="7"/>
  <c r="AD223" i="7"/>
  <c r="AD222" i="7"/>
  <c r="AD224" i="7"/>
  <c r="S232" i="7"/>
  <c r="S106" i="7" s="1"/>
  <c r="Q158" i="7"/>
  <c r="Q155" i="7"/>
  <c r="W155" i="7"/>
  <c r="W158" i="7"/>
  <c r="AL311" i="7"/>
  <c r="AL314" i="7" s="1"/>
  <c r="AL227" i="7"/>
  <c r="AL222" i="7"/>
  <c r="AL223" i="7"/>
  <c r="AL224" i="7"/>
  <c r="AL225" i="7"/>
  <c r="AL226" i="7"/>
  <c r="AL86" i="7"/>
  <c r="AL18" i="7"/>
  <c r="AL233" i="7"/>
  <c r="CS114" i="7"/>
  <c r="CS164" i="7"/>
  <c r="V237" i="7"/>
  <c r="AC232" i="7"/>
  <c r="AC106" i="7" s="1"/>
  <c r="BX311" i="7"/>
  <c r="BX226" i="7"/>
  <c r="BX227" i="7"/>
  <c r="BX225" i="7"/>
  <c r="BX233" i="7"/>
  <c r="BX222" i="7"/>
  <c r="BX224" i="7"/>
  <c r="BX223" i="7"/>
  <c r="DN105" i="7"/>
  <c r="DQ105" i="7" s="1"/>
  <c r="DP105" i="7" s="1"/>
  <c r="AE153" i="7"/>
  <c r="AD154" i="7"/>
  <c r="AD155" i="7" s="1"/>
  <c r="Z233" i="7"/>
  <c r="Z232" i="7"/>
  <c r="Z106" i="7" s="1"/>
  <c r="BI142" i="7"/>
  <c r="BI144" i="7" s="1"/>
  <c r="BI134" i="7"/>
  <c r="CQ232" i="7"/>
  <c r="CQ106" i="7" s="1"/>
  <c r="BT283" i="7"/>
  <c r="BR285" i="7"/>
  <c r="CH283" i="7"/>
  <c r="CG285" i="7"/>
  <c r="D103" i="7"/>
  <c r="D91" i="7"/>
  <c r="D22" i="7"/>
  <c r="D138" i="7"/>
  <c r="AH311" i="7"/>
  <c r="AH227" i="7"/>
  <c r="AH224" i="7"/>
  <c r="AH226" i="7"/>
  <c r="AH225" i="7"/>
  <c r="AH223" i="7"/>
  <c r="AH222" i="7"/>
  <c r="AH233" i="7"/>
  <c r="E93" i="7"/>
  <c r="E95" i="7" s="1"/>
  <c r="E96" i="7" s="1"/>
  <c r="E97" i="7" s="1"/>
  <c r="E72" i="7"/>
  <c r="CA283" i="7"/>
  <c r="BY285" i="7"/>
  <c r="W67" i="7"/>
  <c r="BC93" i="7"/>
  <c r="BC95" i="7" s="1"/>
  <c r="BC96" i="7" s="1"/>
  <c r="BC97" i="7" s="1"/>
  <c r="BC72" i="7"/>
  <c r="U103" i="7"/>
  <c r="U138" i="7"/>
  <c r="AV236" i="7"/>
  <c r="AV238" i="7"/>
  <c r="AV237" i="7"/>
  <c r="AV135" i="7"/>
  <c r="CZ283" i="7"/>
  <c r="CZ285" i="7" s="1"/>
  <c r="CY285" i="7"/>
  <c r="BB96" i="7"/>
  <c r="BB97" i="7" s="1"/>
  <c r="BB99" i="7"/>
  <c r="CR311" i="7"/>
  <c r="CR226" i="7"/>
  <c r="CR222" i="7"/>
  <c r="CR223" i="7"/>
  <c r="CR224" i="7"/>
  <c r="CR227" i="7"/>
  <c r="CR225" i="7"/>
  <c r="CR233" i="7"/>
  <c r="AK103" i="7"/>
  <c r="AK91" i="7"/>
  <c r="AK138" i="7"/>
  <c r="DI209" i="7"/>
  <c r="DI219" i="7" s="1"/>
  <c r="BR93" i="7"/>
  <c r="BR95" i="7" s="1"/>
  <c r="BR72" i="7"/>
  <c r="AD240" i="7"/>
  <c r="V113" i="7"/>
  <c r="DC120" i="7"/>
  <c r="K103" i="7"/>
  <c r="K138" i="7"/>
  <c r="AB93" i="7"/>
  <c r="AB95" i="7" s="1"/>
  <c r="AB96" i="7" s="1"/>
  <c r="AB72" i="7"/>
  <c r="BI311" i="7"/>
  <c r="BI223" i="7"/>
  <c r="BI229" i="7" s="1"/>
  <c r="BJ229" i="7" s="1"/>
  <c r="BJ226" i="7" s="1"/>
  <c r="BI224" i="7"/>
  <c r="BI230" i="7" s="1"/>
  <c r="BJ230" i="7" s="1"/>
  <c r="BJ227" i="7" s="1"/>
  <c r="BI222" i="7"/>
  <c r="BI228" i="7" s="1"/>
  <c r="CI158" i="7"/>
  <c r="S103" i="7"/>
  <c r="S138" i="7"/>
  <c r="AY138" i="7"/>
  <c r="AS155" i="7"/>
  <c r="AS158" i="7"/>
  <c r="O240" i="7"/>
  <c r="CA137" i="7"/>
  <c r="AT311" i="7"/>
  <c r="AT222" i="7"/>
  <c r="AT228" i="7" s="1"/>
  <c r="AT223" i="7"/>
  <c r="AT229" i="7" s="1"/>
  <c r="AT226" i="7" s="1"/>
  <c r="AT224" i="7"/>
  <c r="AT230" i="7" s="1"/>
  <c r="AT227" i="7" s="1"/>
  <c r="AT86" i="7"/>
  <c r="AT18" i="7"/>
  <c r="DQ98" i="7"/>
  <c r="DQ70" i="7"/>
  <c r="DP68" i="7"/>
  <c r="CO233" i="7"/>
  <c r="CO232" i="7"/>
  <c r="CO106" i="7" s="1"/>
  <c r="DN311" i="7"/>
  <c r="DN227" i="7"/>
  <c r="DN226" i="7"/>
  <c r="DN225" i="7"/>
  <c r="DN222" i="7"/>
  <c r="DN224" i="7"/>
  <c r="DN223" i="7"/>
  <c r="R138" i="7"/>
  <c r="AJ233" i="7"/>
  <c r="AJ232" i="7"/>
  <c r="AJ106" i="7" s="1"/>
  <c r="DK238" i="7"/>
  <c r="DK237" i="7"/>
  <c r="AI39" i="3" s="1"/>
  <c r="CN311" i="7"/>
  <c r="CN226" i="7"/>
  <c r="CN227" i="7"/>
  <c r="CN222" i="7"/>
  <c r="CN223" i="7"/>
  <c r="CN225" i="7"/>
  <c r="CN224" i="7"/>
  <c r="CN86" i="7"/>
  <c r="CN18" i="7"/>
  <c r="AR155" i="7"/>
  <c r="AR158" i="7"/>
  <c r="CD241" i="7"/>
  <c r="BU146" i="7"/>
  <c r="BU65" i="7"/>
  <c r="AV144" i="7"/>
  <c r="AV145" i="7" s="1"/>
  <c r="AW141" i="7"/>
  <c r="AY141" i="7"/>
  <c r="AY144" i="7" s="1"/>
  <c r="BM240" i="7"/>
  <c r="Z58" i="7"/>
  <c r="Z90" i="7" s="1"/>
  <c r="DM141" i="7"/>
  <c r="DM144" i="7" s="1"/>
  <c r="DM145" i="7" s="1"/>
  <c r="DL144" i="7"/>
  <c r="DL145" i="7" s="1"/>
  <c r="DK175" i="7"/>
  <c r="H43" i="3" s="1"/>
  <c r="H47" i="3" s="1"/>
  <c r="H54" i="3" s="1"/>
  <c r="H70" i="3" s="1"/>
  <c r="DJ179" i="7"/>
  <c r="DJ189" i="7" s="1"/>
  <c r="DJ153" i="7"/>
  <c r="AO232" i="7"/>
  <c r="AO106" i="7" s="1"/>
  <c r="AN311" i="7"/>
  <c r="AN226" i="7"/>
  <c r="AN227" i="7"/>
  <c r="AN225" i="7"/>
  <c r="AN223" i="7"/>
  <c r="AN222" i="7"/>
  <c r="AN224" i="7"/>
  <c r="X156" i="7"/>
  <c r="BA93" i="7"/>
  <c r="BA95" i="7" s="1"/>
  <c r="BA96" i="7" s="1"/>
  <c r="BA97" i="7" s="1"/>
  <c r="BA72" i="7"/>
  <c r="BY138" i="7"/>
  <c r="AV246" i="7"/>
  <c r="AV249" i="7" s="1"/>
  <c r="AR249" i="7"/>
  <c r="AZ246" i="7"/>
  <c r="AZ247" i="7" s="1"/>
  <c r="AT246" i="7"/>
  <c r="AT249" i="7" s="1"/>
  <c r="BM93" i="7"/>
  <c r="BM95" i="7" s="1"/>
  <c r="BM72" i="7"/>
  <c r="BQ67" i="7"/>
  <c r="BQ148" i="7"/>
  <c r="ER20" i="7"/>
  <c r="BC18" i="7"/>
  <c r="BD311" i="7"/>
  <c r="BD222" i="7"/>
  <c r="BD228" i="7" s="1"/>
  <c r="BD223" i="7"/>
  <c r="BD229" i="7" s="1"/>
  <c r="BD226" i="7" s="1"/>
  <c r="BD224" i="7"/>
  <c r="BD230" i="7" s="1"/>
  <c r="BD227" i="7" s="1"/>
  <c r="BD86" i="7"/>
  <c r="BD18" i="7"/>
  <c r="K93" i="7"/>
  <c r="K95" i="7" s="1"/>
  <c r="K96" i="7" s="1"/>
  <c r="K97" i="7" s="1"/>
  <c r="K72" i="7"/>
  <c r="AM103" i="7"/>
  <c r="AM91" i="7"/>
  <c r="AM138" i="7"/>
  <c r="R93" i="7"/>
  <c r="R95" i="7" s="1"/>
  <c r="R96" i="7" s="1"/>
  <c r="R97" i="7" s="1"/>
  <c r="R72" i="7"/>
  <c r="DP179" i="7"/>
  <c r="DP189" i="7" s="1"/>
  <c r="DP153" i="7"/>
  <c r="DP154" i="7" s="1"/>
  <c r="DP155" i="7" s="1"/>
  <c r="CN188" i="7"/>
  <c r="CN189" i="7" s="1"/>
  <c r="CO181" i="7"/>
  <c r="AL153" i="7"/>
  <c r="AM152" i="7" s="1"/>
  <c r="AM154" i="7" s="1"/>
  <c r="AM155" i="7" s="1"/>
  <c r="AK154" i="7"/>
  <c r="AK155" i="7" s="1"/>
  <c r="CN285" i="7"/>
  <c r="CO283" i="7"/>
  <c r="BP311" i="7"/>
  <c r="BP226" i="7"/>
  <c r="BP227" i="7"/>
  <c r="BP222" i="7"/>
  <c r="BP223" i="7"/>
  <c r="BP225" i="7"/>
  <c r="BP224" i="7"/>
  <c r="BP86" i="7"/>
  <c r="BP18" i="7"/>
  <c r="BP233" i="7"/>
  <c r="CX311" i="7"/>
  <c r="CX227" i="7"/>
  <c r="CX226" i="7"/>
  <c r="CX222" i="7"/>
  <c r="CX223" i="7"/>
  <c r="CX224" i="7"/>
  <c r="CX225" i="7"/>
  <c r="CX86" i="7"/>
  <c r="CX18" i="7"/>
  <c r="O241" i="7"/>
  <c r="AC179" i="7"/>
  <c r="AC189" i="7" s="1"/>
  <c r="AC174" i="7"/>
  <c r="AC153" i="7"/>
  <c r="AC154" i="7" s="1"/>
  <c r="AC155" i="7" s="1"/>
  <c r="AK232" i="7"/>
  <c r="AK106" i="7" s="1"/>
  <c r="AK233" i="7"/>
  <c r="BM283" i="7"/>
  <c r="BL285" i="7"/>
  <c r="BY93" i="7"/>
  <c r="BY95" i="7" s="1"/>
  <c r="BY72" i="7"/>
  <c r="CK161" i="7"/>
  <c r="CK164" i="7"/>
  <c r="CL112" i="7"/>
  <c r="CO247" i="7"/>
  <c r="AX155" i="7"/>
  <c r="AX158" i="7"/>
  <c r="CS311" i="7"/>
  <c r="CS227" i="7"/>
  <c r="CS225" i="7"/>
  <c r="CS226" i="7"/>
  <c r="CS224" i="7"/>
  <c r="CS222" i="7"/>
  <c r="CS223" i="7"/>
  <c r="BT145" i="7"/>
  <c r="BT148" i="7"/>
  <c r="CM112" i="7"/>
  <c r="CM118" i="7"/>
  <c r="CN114" i="7"/>
  <c r="BN179" i="7"/>
  <c r="BQ152" i="7"/>
  <c r="BQ154" i="7" s="1"/>
  <c r="BQ155" i="7" s="1"/>
  <c r="BO152" i="7"/>
  <c r="BO154" i="7" s="1"/>
  <c r="BO155" i="7" s="1"/>
  <c r="BN153" i="7"/>
  <c r="BN154" i="7" s="1"/>
  <c r="BU152" i="7"/>
  <c r="DO141" i="7"/>
  <c r="DO144" i="7" s="1"/>
  <c r="DO145" i="7" s="1"/>
  <c r="DN144" i="7"/>
  <c r="DN145" i="7" s="1"/>
  <c r="AN232" i="7"/>
  <c r="AN106" i="7" s="1"/>
  <c r="AN233" i="7"/>
  <c r="CN233" i="7"/>
  <c r="AI103" i="7"/>
  <c r="AI91" i="7"/>
  <c r="AP103" i="7"/>
  <c r="AE241" i="7"/>
  <c r="BK240" i="7"/>
  <c r="BQ141" i="7"/>
  <c r="BQ144" i="7" s="1"/>
  <c r="BQ145" i="7" s="1"/>
  <c r="BO141" i="7"/>
  <c r="BO144" i="7" s="1"/>
  <c r="BO145" i="7" s="1"/>
  <c r="DB114" i="7"/>
  <c r="DB113" i="7" s="1"/>
  <c r="DB164" i="7" s="1"/>
  <c r="DA118" i="7"/>
  <c r="DB118" i="7" s="1"/>
  <c r="DA113" i="7"/>
  <c r="DQ167" i="7"/>
  <c r="DQ169" i="7" s="1"/>
  <c r="DQ21" i="7"/>
  <c r="DQ161" i="7"/>
  <c r="DH311" i="7"/>
  <c r="DH226" i="7"/>
  <c r="DH222" i="7"/>
  <c r="DH227" i="7"/>
  <c r="DH223" i="7"/>
  <c r="DH224" i="7"/>
  <c r="DH225" i="7"/>
  <c r="DH86" i="7"/>
  <c r="DH18" i="7"/>
  <c r="DH233" i="7"/>
  <c r="BM158" i="7"/>
  <c r="BN156" i="7"/>
  <c r="BQ137" i="7"/>
  <c r="CN297" i="7"/>
  <c r="CN124" i="7"/>
  <c r="BC86" i="7"/>
  <c r="CX93" i="7"/>
  <c r="CX95" i="7" s="1"/>
  <c r="CX72" i="7"/>
  <c r="AM93" i="7"/>
  <c r="AM95" i="7" s="1"/>
  <c r="AM96" i="7" s="1"/>
  <c r="AM97" i="7" s="1"/>
  <c r="AM72" i="7"/>
  <c r="CP148" i="7"/>
  <c r="CB65" i="7"/>
  <c r="H22" i="7"/>
  <c r="BL311" i="7"/>
  <c r="BL222" i="7"/>
  <c r="BL223" i="7"/>
  <c r="BL224" i="7"/>
  <c r="BL230" i="7" s="1"/>
  <c r="BM230" i="7" s="1"/>
  <c r="Q96" i="7"/>
  <c r="Q97" i="7" s="1"/>
  <c r="I104" i="7"/>
  <c r="I109" i="7" s="1"/>
  <c r="I137" i="7"/>
  <c r="I67" i="7"/>
  <c r="S93" i="7"/>
  <c r="S95" i="7" s="1"/>
  <c r="S96" i="7" s="1"/>
  <c r="S97" i="7" s="1"/>
  <c r="S72" i="7"/>
  <c r="Z311" i="7"/>
  <c r="Z314" i="7" s="1"/>
  <c r="Z227" i="7"/>
  <c r="Z225" i="7"/>
  <c r="Z226" i="7"/>
  <c r="Z223" i="7"/>
  <c r="Z222" i="7"/>
  <c r="Z224" i="7"/>
  <c r="DP145" i="7"/>
  <c r="DP148" i="7"/>
  <c r="DQ146" i="7"/>
  <c r="AU314" i="7"/>
  <c r="DF311" i="7"/>
  <c r="DF227" i="7"/>
  <c r="DF226" i="7"/>
  <c r="DF222" i="7"/>
  <c r="DF223" i="7"/>
  <c r="DF224" i="7"/>
  <c r="DF225" i="7"/>
  <c r="DF86" i="7"/>
  <c r="DF18" i="7"/>
  <c r="DM67" i="7"/>
  <c r="BT20" i="7"/>
  <c r="BS17" i="7"/>
  <c r="P226" i="7"/>
  <c r="P225" i="7"/>
  <c r="P227" i="7"/>
  <c r="P223" i="7"/>
  <c r="P222" i="7"/>
  <c r="P224" i="7"/>
  <c r="D93" i="7"/>
  <c r="D95" i="7" s="1"/>
  <c r="D96" i="7" s="1"/>
  <c r="D97" i="7" s="1"/>
  <c r="D72" i="7"/>
  <c r="AC146" i="7"/>
  <c r="AC65" i="7"/>
  <c r="CX233" i="7"/>
  <c r="X226" i="7"/>
  <c r="X222" i="7"/>
  <c r="X223" i="7"/>
  <c r="X224" i="7"/>
  <c r="X225" i="7"/>
  <c r="X227" i="7"/>
  <c r="X233" i="7"/>
  <c r="W137" i="7"/>
  <c r="CG311" i="7"/>
  <c r="BJ311" i="7"/>
  <c r="BJ314" i="7" s="1"/>
  <c r="BJ222" i="7"/>
  <c r="BJ223" i="7"/>
  <c r="BJ224" i="7"/>
  <c r="BJ86" i="7"/>
  <c r="BJ18" i="7"/>
  <c r="U93" i="7"/>
  <c r="U95" i="7" s="1"/>
  <c r="U96" i="7" s="1"/>
  <c r="U72" i="7"/>
  <c r="W233" i="7"/>
  <c r="W232" i="7"/>
  <c r="W106" i="7" s="1"/>
  <c r="BU279" i="7"/>
  <c r="BU281" i="7" s="1"/>
  <c r="BT281" i="7"/>
  <c r="AF103" i="7"/>
  <c r="AF91" i="7"/>
  <c r="AZ158" i="7"/>
  <c r="AK67" i="7"/>
  <c r="BQ138" i="7"/>
  <c r="DD269" i="7"/>
  <c r="DD268" i="7"/>
  <c r="DC285" i="7"/>
  <c r="AI93" i="7"/>
  <c r="AI95" i="7" s="1"/>
  <c r="AI96" i="7" s="1"/>
  <c r="AI97" i="7" s="1"/>
  <c r="AI72" i="7"/>
  <c r="DQ189" i="7"/>
  <c r="BN128" i="7"/>
  <c r="BL114" i="7"/>
  <c r="BN117" i="7"/>
  <c r="BL117" i="7" s="1"/>
  <c r="BM117" i="7" s="1"/>
  <c r="BM118" i="7" s="1"/>
  <c r="BM127" i="7" s="1"/>
  <c r="DL311" i="7"/>
  <c r="DL226" i="7"/>
  <c r="DL227" i="7"/>
  <c r="DL222" i="7"/>
  <c r="DL223" i="7"/>
  <c r="DL225" i="7"/>
  <c r="DL224" i="7"/>
  <c r="DL233" i="7"/>
  <c r="AN93" i="7"/>
  <c r="AN95" i="7" s="1"/>
  <c r="AN72" i="7"/>
  <c r="AO67" i="7"/>
  <c r="CO120" i="7"/>
  <c r="CO124" i="7" s="1"/>
  <c r="CI179" i="7"/>
  <c r="CI153" i="7"/>
  <c r="CP152" i="7"/>
  <c r="CL152" i="7"/>
  <c r="CJ152" i="7"/>
  <c r="CJ154" i="7" s="1"/>
  <c r="CJ155" i="7" s="1"/>
  <c r="DI145" i="7"/>
  <c r="DI148" i="7"/>
  <c r="DJ146" i="7"/>
  <c r="G103" i="7"/>
  <c r="G91" i="7"/>
  <c r="G138" i="7"/>
  <c r="G22" i="7"/>
  <c r="AJ179" i="7"/>
  <c r="AJ189" i="7" s="1"/>
  <c r="AJ174" i="7"/>
  <c r="AJ153" i="7"/>
  <c r="AJ154" i="7" s="1"/>
  <c r="AJ155" i="7" s="1"/>
  <c r="BE237" i="7"/>
  <c r="BE238" i="7"/>
  <c r="H146" i="7"/>
  <c r="H148" i="7" s="1"/>
  <c r="H65" i="7"/>
  <c r="AU134" i="7"/>
  <c r="AU142" i="7"/>
  <c r="AU144" i="7" s="1"/>
  <c r="AU145" i="7" s="1"/>
  <c r="BU179" i="7"/>
  <c r="BX152" i="7"/>
  <c r="BX154" i="7" s="1"/>
  <c r="BX155" i="7" s="1"/>
  <c r="BV152" i="7"/>
  <c r="BV154" i="7" s="1"/>
  <c r="BV155" i="7" s="1"/>
  <c r="CB152" i="7"/>
  <c r="BU153" i="7"/>
  <c r="O103" i="7"/>
  <c r="O138" i="7"/>
  <c r="AU91" i="7"/>
  <c r="AE158" i="7"/>
  <c r="DM137" i="7"/>
  <c r="Q269" i="7"/>
  <c r="Q268" i="7"/>
  <c r="X268" i="7"/>
  <c r="CV137" i="7"/>
  <c r="BY240" i="7"/>
  <c r="CB158" i="7"/>
  <c r="AD148" i="7"/>
  <c r="AD145" i="7"/>
  <c r="AZ175" i="7"/>
  <c r="AY179" i="7"/>
  <c r="AY189" i="7" s="1"/>
  <c r="AY153" i="7"/>
  <c r="AY154" i="7" s="1"/>
  <c r="AY155" i="7" s="1"/>
  <c r="V233" i="7"/>
  <c r="V232" i="7"/>
  <c r="V106" i="7" s="1"/>
  <c r="AA103" i="7"/>
  <c r="AA109" i="7" s="1"/>
  <c r="AA138" i="7"/>
  <c r="AR232" i="7"/>
  <c r="AR106" i="7" s="1"/>
  <c r="AF93" i="7"/>
  <c r="AF95" i="7" s="1"/>
  <c r="AF96" i="7" s="1"/>
  <c r="AF97" i="7" s="1"/>
  <c r="AF72" i="7"/>
  <c r="AK137" i="7"/>
  <c r="DJ281" i="7"/>
  <c r="AW311" i="7"/>
  <c r="AW314" i="7" s="1"/>
  <c r="AW227" i="7"/>
  <c r="AW226" i="7"/>
  <c r="AW224" i="7"/>
  <c r="AW225" i="7"/>
  <c r="AW233" i="7"/>
  <c r="AW223" i="7"/>
  <c r="AW222" i="7"/>
  <c r="AP93" i="7"/>
  <c r="AP95" i="7" s="1"/>
  <c r="AP96" i="7" s="1"/>
  <c r="AP97" i="7" s="1"/>
  <c r="AP72" i="7"/>
  <c r="CE311" i="7"/>
  <c r="CE227" i="7"/>
  <c r="CE225" i="7"/>
  <c r="CE226" i="7"/>
  <c r="CE86" i="7"/>
  <c r="CE18" i="7"/>
  <c r="CE224" i="7"/>
  <c r="CE223" i="7"/>
  <c r="CE222" i="7"/>
  <c r="BK103" i="7"/>
  <c r="BK91" i="7"/>
  <c r="BK314" i="7"/>
  <c r="V148" i="7"/>
  <c r="V145" i="7"/>
  <c r="DJ98" i="7"/>
  <c r="DJ70" i="7"/>
  <c r="DI68" i="7"/>
  <c r="CV124" i="7"/>
  <c r="CW120" i="7"/>
  <c r="F34" i="3" s="1"/>
  <c r="F38" i="3" s="1"/>
  <c r="BR232" i="7"/>
  <c r="BR106" i="7" s="1"/>
  <c r="DD232" i="7"/>
  <c r="DD106" i="7" s="1"/>
  <c r="G27" i="3" s="1"/>
  <c r="DG232" i="7"/>
  <c r="DG106" i="7" s="1"/>
  <c r="DJ106" i="7" s="1"/>
  <c r="DI106" i="7" s="1"/>
  <c r="DE232" i="7"/>
  <c r="DE106" i="7" s="1"/>
  <c r="ER212" i="7" l="1"/>
  <c r="ES212" i="7" s="1"/>
  <c r="ET212" i="7" s="1"/>
  <c r="EU212" i="7" s="1"/>
  <c r="EV212" i="7" s="1"/>
  <c r="AV48" i="3"/>
  <c r="AU48" i="3"/>
  <c r="BB48" i="3"/>
  <c r="DR17" i="7"/>
  <c r="DY18" i="7" s="1"/>
  <c r="ED83" i="7"/>
  <c r="EE82" i="7"/>
  <c r="FH247" i="7"/>
  <c r="FK255" i="7"/>
  <c r="FU255" i="7"/>
  <c r="FA247" i="7"/>
  <c r="EW255" i="7"/>
  <c r="P35" i="3" s="1"/>
  <c r="FO247" i="7"/>
  <c r="FR255" i="7"/>
  <c r="FN255" i="7"/>
  <c r="FV247" i="7"/>
  <c r="FD255" i="7"/>
  <c r="W35" i="3" s="1"/>
  <c r="EZ255" i="7"/>
  <c r="CP247" i="7"/>
  <c r="CP253" i="7" s="1"/>
  <c r="CO253" i="7"/>
  <c r="Y35" i="3"/>
  <c r="FG255" i="7"/>
  <c r="BM247" i="7"/>
  <c r="BM253" i="7" s="1"/>
  <c r="BM255" i="7" s="1"/>
  <c r="BL253" i="7"/>
  <c r="BL254" i="7" s="1"/>
  <c r="AY247" i="7"/>
  <c r="AZ253" i="7"/>
  <c r="BE247" i="7"/>
  <c r="BE253" i="7" s="1"/>
  <c r="BF253" i="7"/>
  <c r="DC281" i="7"/>
  <c r="DW30" i="7"/>
  <c r="DW291" i="7" s="1"/>
  <c r="AR48" i="7"/>
  <c r="AR50" i="7" s="1"/>
  <c r="G11" i="3"/>
  <c r="BM246" i="7"/>
  <c r="CR86" i="7"/>
  <c r="BK246" i="7"/>
  <c r="BK249" i="7" s="1"/>
  <c r="BL246" i="7" s="1"/>
  <c r="BL250" i="7" s="1"/>
  <c r="CE72" i="7"/>
  <c r="CE79" i="7" s="1"/>
  <c r="CE257" i="7" s="1"/>
  <c r="CE260" i="7" s="1"/>
  <c r="CK226" i="7"/>
  <c r="AW73" i="7"/>
  <c r="AW76" i="7" s="1"/>
  <c r="AW258" i="7" s="1"/>
  <c r="AW261" i="7" s="1"/>
  <c r="DD104" i="7"/>
  <c r="G25" i="3" s="1"/>
  <c r="BZ225" i="7"/>
  <c r="AK240" i="7"/>
  <c r="BZ226" i="7"/>
  <c r="CV314" i="7"/>
  <c r="Y290" i="7"/>
  <c r="BZ223" i="7"/>
  <c r="CG223" i="7" s="1"/>
  <c r="CG229" i="7" s="1"/>
  <c r="CH229" i="7" s="1"/>
  <c r="CI229" i="7" s="1"/>
  <c r="CI226" i="7" s="1"/>
  <c r="BZ222" i="7"/>
  <c r="BZ58" i="7"/>
  <c r="BZ90" i="7" s="1"/>
  <c r="BZ224" i="7"/>
  <c r="CG224" i="7" s="1"/>
  <c r="CG230" i="7" s="1"/>
  <c r="CH230" i="7" s="1"/>
  <c r="CI230" i="7" s="1"/>
  <c r="CI227" i="7" s="1"/>
  <c r="BZ227" i="7"/>
  <c r="BZ311" i="7"/>
  <c r="BZ314" i="7" s="1"/>
  <c r="BZ233" i="7"/>
  <c r="BZ120" i="7"/>
  <c r="CA120" i="7" s="1"/>
  <c r="BY124" i="7"/>
  <c r="CG18" i="7"/>
  <c r="CG86" i="7"/>
  <c r="BL93" i="7"/>
  <c r="BL95" i="7" s="1"/>
  <c r="BL99" i="7" s="1"/>
  <c r="AE103" i="7"/>
  <c r="AE109" i="7" s="1"/>
  <c r="N103" i="7"/>
  <c r="N290" i="7" s="1"/>
  <c r="AH49" i="7"/>
  <c r="AH67" i="7"/>
  <c r="AH93" i="7" s="1"/>
  <c r="AH95" i="7" s="1"/>
  <c r="AH96" i="7" s="1"/>
  <c r="AH97" i="7" s="1"/>
  <c r="N91" i="7"/>
  <c r="AE91" i="7"/>
  <c r="AH240" i="7"/>
  <c r="AH241" i="7"/>
  <c r="AH57" i="7"/>
  <c r="AH58" i="7" s="1"/>
  <c r="AH90" i="7" s="1"/>
  <c r="Y225" i="7"/>
  <c r="AH50" i="7"/>
  <c r="N22" i="7"/>
  <c r="AH36" i="7"/>
  <c r="AH138" i="7" s="1"/>
  <c r="Y58" i="7"/>
  <c r="Y90" i="7" s="1"/>
  <c r="AH315" i="7"/>
  <c r="AH314" i="7" s="1"/>
  <c r="BW138" i="7"/>
  <c r="AH137" i="7"/>
  <c r="N72" i="7"/>
  <c r="N242" i="7" s="1"/>
  <c r="DH93" i="7"/>
  <c r="DH95" i="7" s="1"/>
  <c r="DH99" i="7" s="1"/>
  <c r="M241" i="7"/>
  <c r="K241" i="7"/>
  <c r="CO314" i="7"/>
  <c r="DS85" i="7"/>
  <c r="AR168" i="7"/>
  <c r="AR169" i="7" s="1"/>
  <c r="I12" i="3"/>
  <c r="DR72" i="7"/>
  <c r="DR79" i="7" s="1"/>
  <c r="CU72" i="7"/>
  <c r="CU242" i="7" s="1"/>
  <c r="DU50" i="7"/>
  <c r="DU36" i="7"/>
  <c r="DU240" i="7"/>
  <c r="L72" i="7"/>
  <c r="L73" i="7" s="1"/>
  <c r="DU241" i="7"/>
  <c r="AQ83" i="7"/>
  <c r="DU57" i="7"/>
  <c r="DU315" i="7"/>
  <c r="DS17" i="7"/>
  <c r="DZ86" i="7" s="1"/>
  <c r="DZ85" i="7"/>
  <c r="BW233" i="7"/>
  <c r="DH103" i="7"/>
  <c r="DH290" i="7" s="1"/>
  <c r="DP82" i="7"/>
  <c r="DG85" i="7"/>
  <c r="CS72" i="7"/>
  <c r="CS242" i="7" s="1"/>
  <c r="CZ49" i="7"/>
  <c r="AG73" i="7"/>
  <c r="AG76" i="7" s="1"/>
  <c r="AG258" i="7" s="1"/>
  <c r="AG261" i="7" s="1"/>
  <c r="AG79" i="7"/>
  <c r="AG296" i="7" s="1"/>
  <c r="AG298" i="7" s="1"/>
  <c r="CZ17" i="7"/>
  <c r="CZ58" i="7" s="1"/>
  <c r="CZ90" i="7" s="1"/>
  <c r="BV138" i="7"/>
  <c r="BV103" i="7"/>
  <c r="BV290" i="7" s="1"/>
  <c r="DT85" i="7"/>
  <c r="DT17" i="7"/>
  <c r="DT224" i="7" s="1"/>
  <c r="DX82" i="7"/>
  <c r="DT49" i="7"/>
  <c r="Y73" i="7"/>
  <c r="Y76" i="7" s="1"/>
  <c r="Y258" i="7" s="1"/>
  <c r="Y261" i="7" s="1"/>
  <c r="DU104" i="7"/>
  <c r="DX104" i="7" s="1"/>
  <c r="DW104" i="7" s="1"/>
  <c r="Y79" i="7"/>
  <c r="Y296" i="7" s="1"/>
  <c r="Y298" i="7" s="1"/>
  <c r="DH138" i="7"/>
  <c r="DU16" i="7"/>
  <c r="EB85" i="7" s="1"/>
  <c r="DX48" i="7"/>
  <c r="DW83" i="7"/>
  <c r="BL103" i="7"/>
  <c r="BL290" i="7" s="1"/>
  <c r="BJ72" i="7"/>
  <c r="BJ242" i="7" s="1"/>
  <c r="DM224" i="7"/>
  <c r="CY314" i="7"/>
  <c r="CZ93" i="7"/>
  <c r="CZ95" i="7" s="1"/>
  <c r="CZ99" i="7" s="1"/>
  <c r="AY145" i="7"/>
  <c r="F72" i="7"/>
  <c r="F79" i="7" s="1"/>
  <c r="F257" i="7" s="1"/>
  <c r="F260" i="7" s="1"/>
  <c r="CQ72" i="7"/>
  <c r="CQ242" i="7" s="1"/>
  <c r="DC241" i="7"/>
  <c r="CE138" i="7"/>
  <c r="CJ227" i="7"/>
  <c r="CE91" i="7"/>
  <c r="CJ311" i="7"/>
  <c r="CJ314" i="7" s="1"/>
  <c r="BY226" i="7"/>
  <c r="F11" i="3"/>
  <c r="AN91" i="7"/>
  <c r="CR314" i="7"/>
  <c r="CF18" i="7"/>
  <c r="Q225" i="7"/>
  <c r="AL72" i="7"/>
  <c r="AL242" i="7" s="1"/>
  <c r="DM58" i="7"/>
  <c r="DM90" i="7" s="1"/>
  <c r="BI18" i="7"/>
  <c r="BB222" i="7"/>
  <c r="BB228" i="7" s="1"/>
  <c r="BB225" i="7" s="1"/>
  <c r="DM223" i="7"/>
  <c r="DS103" i="7"/>
  <c r="DS290" i="7" s="1"/>
  <c r="CC314" i="7"/>
  <c r="P72" i="7"/>
  <c r="P242" i="7" s="1"/>
  <c r="DM233" i="7"/>
  <c r="DM222" i="7"/>
  <c r="U58" i="7"/>
  <c r="U90" i="7" s="1"/>
  <c r="DM18" i="7"/>
  <c r="DM227" i="7"/>
  <c r="CZ103" i="7"/>
  <c r="U225" i="7"/>
  <c r="BI86" i="7"/>
  <c r="AA58" i="7"/>
  <c r="AA90" i="7" s="1"/>
  <c r="AH86" i="7"/>
  <c r="AA225" i="7"/>
  <c r="DM86" i="7"/>
  <c r="DM226" i="7"/>
  <c r="CR72" i="7"/>
  <c r="CR242" i="7" s="1"/>
  <c r="AA233" i="7"/>
  <c r="U91" i="7"/>
  <c r="DM225" i="7"/>
  <c r="DM311" i="7"/>
  <c r="DM314" i="7" s="1"/>
  <c r="BV224" i="7"/>
  <c r="BV241" i="7"/>
  <c r="DE226" i="7"/>
  <c r="CC18" i="7"/>
  <c r="BV311" i="7"/>
  <c r="BV314" i="7" s="1"/>
  <c r="CY91" i="7"/>
  <c r="AN103" i="7"/>
  <c r="AN290" i="7" s="1"/>
  <c r="CM103" i="7"/>
  <c r="CM290" i="7" s="1"/>
  <c r="DB226" i="7"/>
  <c r="BG146" i="7"/>
  <c r="BG148" i="7" s="1"/>
  <c r="CY103" i="7"/>
  <c r="CY290" i="7" s="1"/>
  <c r="BI91" i="7"/>
  <c r="AO222" i="7"/>
  <c r="AC225" i="7"/>
  <c r="BI103" i="7"/>
  <c r="BI290" i="7" s="1"/>
  <c r="CW154" i="7"/>
  <c r="CW155" i="7" s="1"/>
  <c r="BE91" i="7"/>
  <c r="BW103" i="7"/>
  <c r="BW290" i="7" s="1"/>
  <c r="AC227" i="7"/>
  <c r="AC233" i="7"/>
  <c r="DB222" i="7"/>
  <c r="DX161" i="7"/>
  <c r="DB311" i="7"/>
  <c r="DB314" i="7" s="1"/>
  <c r="AC226" i="7"/>
  <c r="BC148" i="7"/>
  <c r="CG314" i="7"/>
  <c r="BJ93" i="7"/>
  <c r="BJ95" i="7" s="1"/>
  <c r="BJ99" i="7" s="1"/>
  <c r="DB223" i="7"/>
  <c r="DK72" i="7"/>
  <c r="H15" i="3" s="1"/>
  <c r="DB233" i="7"/>
  <c r="AC224" i="7"/>
  <c r="AC311" i="7"/>
  <c r="AC314" i="7" s="1"/>
  <c r="AC91" i="7"/>
  <c r="AJ86" i="7"/>
  <c r="DB225" i="7"/>
  <c r="DK93" i="7"/>
  <c r="DK95" i="7" s="1"/>
  <c r="DK96" i="7" s="1"/>
  <c r="AC222" i="7"/>
  <c r="BD103" i="7"/>
  <c r="BD290" i="7" s="1"/>
  <c r="V240" i="7"/>
  <c r="BE18" i="7"/>
  <c r="DB224" i="7"/>
  <c r="AV72" i="7"/>
  <c r="AV242" i="7" s="1"/>
  <c r="AC86" i="7"/>
  <c r="DB227" i="7"/>
  <c r="BW222" i="7"/>
  <c r="BE72" i="7"/>
  <c r="BE242" i="7" s="1"/>
  <c r="AG225" i="7"/>
  <c r="CC86" i="7"/>
  <c r="BV223" i="7"/>
  <c r="BW227" i="7"/>
  <c r="BW91" i="7"/>
  <c r="BV233" i="7"/>
  <c r="BV222" i="7"/>
  <c r="CF91" i="7"/>
  <c r="BI72" i="7"/>
  <c r="BI242" i="7" s="1"/>
  <c r="AD103" i="7"/>
  <c r="AD109" i="7" s="1"/>
  <c r="CF138" i="7"/>
  <c r="BV91" i="7"/>
  <c r="BV225" i="7"/>
  <c r="CF103" i="7"/>
  <c r="CF290" i="7" s="1"/>
  <c r="BV226" i="7"/>
  <c r="DG36" i="7"/>
  <c r="DG103" i="7" s="1"/>
  <c r="DG290" i="7" s="1"/>
  <c r="BL91" i="7"/>
  <c r="BW18" i="7"/>
  <c r="CG72" i="7"/>
  <c r="CG242" i="7" s="1"/>
  <c r="BV227" i="7"/>
  <c r="AC58" i="7"/>
  <c r="AC90" i="7" s="1"/>
  <c r="BZ72" i="7"/>
  <c r="BZ79" i="7" s="1"/>
  <c r="BO138" i="7"/>
  <c r="AD91" i="7"/>
  <c r="BW223" i="7"/>
  <c r="BW311" i="7"/>
  <c r="BW314" i="7" s="1"/>
  <c r="U224" i="7"/>
  <c r="BP72" i="7"/>
  <c r="BP73" i="7" s="1"/>
  <c r="CP154" i="7"/>
  <c r="CP155" i="7" s="1"/>
  <c r="BW224" i="7"/>
  <c r="AB86" i="7"/>
  <c r="DR85" i="7"/>
  <c r="CJ91" i="7"/>
  <c r="BO103" i="7"/>
  <c r="BO290" i="7" s="1"/>
  <c r="U223" i="7"/>
  <c r="CE314" i="7"/>
  <c r="BW226" i="7"/>
  <c r="U233" i="7"/>
  <c r="U222" i="7"/>
  <c r="AX314" i="7"/>
  <c r="CJ72" i="7"/>
  <c r="CJ242" i="7" s="1"/>
  <c r="DY85" i="7"/>
  <c r="U22" i="7"/>
  <c r="W22" i="7" s="1"/>
  <c r="U227" i="7"/>
  <c r="DG49" i="7"/>
  <c r="DN50" i="7"/>
  <c r="DG50" i="7"/>
  <c r="BW86" i="7"/>
  <c r="BW225" i="7"/>
  <c r="U86" i="7"/>
  <c r="DR49" i="7"/>
  <c r="AO311" i="7"/>
  <c r="AO314" i="7" s="1"/>
  <c r="BL18" i="7"/>
  <c r="K233" i="7"/>
  <c r="BE58" i="7"/>
  <c r="BE90" i="7" s="1"/>
  <c r="CU18" i="7"/>
  <c r="CQ103" i="7"/>
  <c r="CQ290" i="7" s="1"/>
  <c r="L91" i="7"/>
  <c r="M72" i="7"/>
  <c r="M242" i="7" s="1"/>
  <c r="BL86" i="7"/>
  <c r="L22" i="7"/>
  <c r="CT49" i="7"/>
  <c r="BE86" i="7"/>
  <c r="BO93" i="7"/>
  <c r="BO95" i="7" s="1"/>
  <c r="BO96" i="7" s="1"/>
  <c r="BO97" i="7" s="1"/>
  <c r="L103" i="7"/>
  <c r="L290" i="7" s="1"/>
  <c r="DL91" i="7"/>
  <c r="CT85" i="7"/>
  <c r="DX167" i="7"/>
  <c r="DX169" i="7" s="1"/>
  <c r="CT17" i="7"/>
  <c r="CT311" i="7" s="1"/>
  <c r="CT314" i="7" s="1"/>
  <c r="CU225" i="7"/>
  <c r="BY18" i="7"/>
  <c r="BW58" i="7"/>
  <c r="BW90" i="7" s="1"/>
  <c r="CU91" i="7"/>
  <c r="Q73" i="7"/>
  <c r="Q76" i="7" s="1"/>
  <c r="Q258" i="7" s="1"/>
  <c r="Q261" i="7" s="1"/>
  <c r="AO226" i="7"/>
  <c r="DE72" i="7"/>
  <c r="DE73" i="7" s="1"/>
  <c r="DH314" i="7"/>
  <c r="Y224" i="7"/>
  <c r="CU86" i="7"/>
  <c r="CU227" i="7"/>
  <c r="AA227" i="7"/>
  <c r="AV18" i="7"/>
  <c r="DM91" i="7"/>
  <c r="DB18" i="7"/>
  <c r="AW79" i="7"/>
  <c r="AW296" i="7" s="1"/>
  <c r="AW298" i="7" s="1"/>
  <c r="Q79" i="7"/>
  <c r="Q296" i="7" s="1"/>
  <c r="AO225" i="7"/>
  <c r="AO233" i="7"/>
  <c r="Y233" i="7"/>
  <c r="Y223" i="7"/>
  <c r="BI314" i="7"/>
  <c r="CU223" i="7"/>
  <c r="CU311" i="7"/>
  <c r="CU314" i="7" s="1"/>
  <c r="AA223" i="7"/>
  <c r="AA311" i="7"/>
  <c r="AA314" i="7" s="1"/>
  <c r="AV86" i="7"/>
  <c r="DB86" i="7"/>
  <c r="BT67" i="7"/>
  <c r="BT72" i="7" s="1"/>
  <c r="Y91" i="7"/>
  <c r="Y86" i="7"/>
  <c r="Y227" i="7"/>
  <c r="CU224" i="7"/>
  <c r="CF72" i="7"/>
  <c r="CF242" i="7" s="1"/>
  <c r="AA224" i="7"/>
  <c r="AF86" i="7"/>
  <c r="BF19" i="7"/>
  <c r="BG19" i="7" s="1"/>
  <c r="AO224" i="7"/>
  <c r="AO223" i="7"/>
  <c r="BS72" i="7"/>
  <c r="BS79" i="7" s="1"/>
  <c r="S22" i="7"/>
  <c r="T22" i="7" s="1"/>
  <c r="Y222" i="7"/>
  <c r="Y311" i="7"/>
  <c r="Y314" i="7" s="1"/>
  <c r="AT314" i="7"/>
  <c r="CU222" i="7"/>
  <c r="CM72" i="7"/>
  <c r="CM242" i="7" s="1"/>
  <c r="AA222" i="7"/>
  <c r="AO58" i="7"/>
  <c r="AO90" i="7" s="1"/>
  <c r="CW104" i="7"/>
  <c r="F25" i="3" s="1"/>
  <c r="AO86" i="7"/>
  <c r="AO227" i="7"/>
  <c r="AA91" i="7"/>
  <c r="CU233" i="7"/>
  <c r="CU226" i="7"/>
  <c r="CU58" i="7"/>
  <c r="CU90" i="7" s="1"/>
  <c r="CJ103" i="7"/>
  <c r="CJ290" i="7" s="1"/>
  <c r="CM233" i="7"/>
  <c r="CQ86" i="7"/>
  <c r="CJ225" i="7"/>
  <c r="CJ58" i="7"/>
  <c r="CJ90" i="7" s="1"/>
  <c r="CJ138" i="7"/>
  <c r="CM18" i="7"/>
  <c r="BH86" i="7"/>
  <c r="AE72" i="7"/>
  <c r="AE73" i="7" s="1"/>
  <c r="CD72" i="7"/>
  <c r="CD242" i="7" s="1"/>
  <c r="CJ224" i="7"/>
  <c r="AW134" i="7"/>
  <c r="CJ233" i="7"/>
  <c r="CJ223" i="7"/>
  <c r="AE314" i="7"/>
  <c r="CU142" i="7"/>
  <c r="CM86" i="7"/>
  <c r="AN314" i="7"/>
  <c r="Q109" i="7"/>
  <c r="DO138" i="7"/>
  <c r="CQ18" i="7"/>
  <c r="CJ18" i="7"/>
  <c r="CJ222" i="7"/>
  <c r="DO103" i="7"/>
  <c r="DO290" i="7" s="1"/>
  <c r="DT103" i="7"/>
  <c r="DT109" i="7" s="1"/>
  <c r="CT72" i="7"/>
  <c r="CT242" i="7" s="1"/>
  <c r="CV91" i="7"/>
  <c r="CJ86" i="7"/>
  <c r="CJ226" i="7"/>
  <c r="F138" i="7"/>
  <c r="F103" i="7"/>
  <c r="F109" i="7" s="1"/>
  <c r="DG57" i="7"/>
  <c r="DG58" i="7" s="1"/>
  <c r="DG90" i="7" s="1"/>
  <c r="S86" i="7"/>
  <c r="K226" i="7"/>
  <c r="BB73" i="7"/>
  <c r="BB76" i="7" s="1"/>
  <c r="BB258" i="7" s="1"/>
  <c r="BB261" i="7" s="1"/>
  <c r="DS72" i="7"/>
  <c r="DS79" i="7" s="1"/>
  <c r="BH93" i="7"/>
  <c r="BH95" i="7" s="1"/>
  <c r="BH99" i="7" s="1"/>
  <c r="BB79" i="7"/>
  <c r="BB257" i="7" s="1"/>
  <c r="BB260" i="7" s="1"/>
  <c r="CD18" i="7"/>
  <c r="CD103" i="7"/>
  <c r="CD109" i="7" s="1"/>
  <c r="DF138" i="7"/>
  <c r="CD224" i="7"/>
  <c r="AW83" i="7"/>
  <c r="CD138" i="7"/>
  <c r="DM103" i="7"/>
  <c r="DM290" i="7" s="1"/>
  <c r="BF222" i="7"/>
  <c r="CR91" i="7"/>
  <c r="DF103" i="7"/>
  <c r="DF290" i="7" s="1"/>
  <c r="X91" i="7"/>
  <c r="DE18" i="7"/>
  <c r="S91" i="7"/>
  <c r="AP16" i="7"/>
  <c r="AP17" i="7" s="1"/>
  <c r="X103" i="7"/>
  <c r="X109" i="7" s="1"/>
  <c r="DE227" i="7"/>
  <c r="AG91" i="7"/>
  <c r="Q233" i="7"/>
  <c r="Q224" i="7"/>
  <c r="BF311" i="7"/>
  <c r="BF314" i="7" s="1"/>
  <c r="CK225" i="7"/>
  <c r="BW72" i="7"/>
  <c r="BW242" i="7" s="1"/>
  <c r="DR138" i="7"/>
  <c r="AG226" i="7"/>
  <c r="BY225" i="7"/>
  <c r="BY311" i="7"/>
  <c r="BY314" i="7" s="1"/>
  <c r="CF86" i="7"/>
  <c r="I8" i="3"/>
  <c r="Q91" i="7"/>
  <c r="CK224" i="7"/>
  <c r="DK138" i="7"/>
  <c r="AI41" i="3" s="1"/>
  <c r="AN86" i="7"/>
  <c r="AT138" i="7"/>
  <c r="AG223" i="7"/>
  <c r="AG227" i="7"/>
  <c r="BF91" i="7"/>
  <c r="BY224" i="7"/>
  <c r="BY91" i="7"/>
  <c r="BR227" i="7"/>
  <c r="CG91" i="7"/>
  <c r="AG233" i="7"/>
  <c r="AT72" i="7"/>
  <c r="AT242" i="7" s="1"/>
  <c r="CG138" i="7"/>
  <c r="AX138" i="7"/>
  <c r="Q86" i="7"/>
  <c r="X18" i="7"/>
  <c r="CK233" i="7"/>
  <c r="CK223" i="7"/>
  <c r="DK91" i="7"/>
  <c r="DR103" i="7"/>
  <c r="I24" i="3" s="1"/>
  <c r="M138" i="7"/>
  <c r="AT91" i="7"/>
  <c r="DE103" i="7"/>
  <c r="DE109" i="7" s="1"/>
  <c r="AG224" i="7"/>
  <c r="AG311" i="7"/>
  <c r="AG314" i="7" s="1"/>
  <c r="BF138" i="7"/>
  <c r="BY223" i="7"/>
  <c r="CG103" i="7"/>
  <c r="CG290" i="7" s="1"/>
  <c r="DG154" i="7"/>
  <c r="DG155" i="7" s="1"/>
  <c r="Q58" i="7"/>
  <c r="Q90" i="7" s="1"/>
  <c r="BF58" i="7"/>
  <c r="BF90" i="7" s="1"/>
  <c r="Q18" i="7"/>
  <c r="Q223" i="7"/>
  <c r="BD72" i="7"/>
  <c r="BD242" i="7" s="1"/>
  <c r="Q227" i="7"/>
  <c r="BH138" i="7"/>
  <c r="Q222" i="7"/>
  <c r="BM222" i="7"/>
  <c r="BF223" i="7"/>
  <c r="X86" i="7"/>
  <c r="CK86" i="7"/>
  <c r="CK227" i="7"/>
  <c r="DK103" i="7"/>
  <c r="H24" i="3" s="1"/>
  <c r="BL314" i="7"/>
  <c r="M91" i="7"/>
  <c r="AG222" i="7"/>
  <c r="BY222" i="7"/>
  <c r="BH91" i="7"/>
  <c r="CK58" i="7"/>
  <c r="CK90" i="7" s="1"/>
  <c r="DK241" i="7"/>
  <c r="CK222" i="7"/>
  <c r="CK311" i="7"/>
  <c r="CK314" i="7" s="1"/>
  <c r="AG86" i="7"/>
  <c r="BY58" i="7"/>
  <c r="BY90" i="7" s="1"/>
  <c r="BY233" i="7"/>
  <c r="BY227" i="7"/>
  <c r="BQ225" i="7"/>
  <c r="BH103" i="7"/>
  <c r="BH290" i="7" s="1"/>
  <c r="DU137" i="7"/>
  <c r="DU67" i="7"/>
  <c r="AP83" i="7"/>
  <c r="DO91" i="7"/>
  <c r="BT241" i="7"/>
  <c r="CK91" i="7"/>
  <c r="DL241" i="7"/>
  <c r="BF86" i="7"/>
  <c r="DG137" i="7"/>
  <c r="DE86" i="7"/>
  <c r="DG67" i="7"/>
  <c r="DG93" i="7" s="1"/>
  <c r="DG95" i="7" s="1"/>
  <c r="DG99" i="7" s="1"/>
  <c r="DJ67" i="7"/>
  <c r="DJ93" i="7" s="1"/>
  <c r="DJ95" i="7" s="1"/>
  <c r="DJ99" i="7" s="1"/>
  <c r="K22" i="7"/>
  <c r="K225" i="7"/>
  <c r="BA222" i="7"/>
  <c r="BA228" i="7" s="1"/>
  <c r="BA225" i="7" s="1"/>
  <c r="BO18" i="7"/>
  <c r="DO72" i="7"/>
  <c r="CO91" i="7"/>
  <c r="K86" i="7"/>
  <c r="K227" i="7"/>
  <c r="BJ138" i="7"/>
  <c r="BG104" i="7"/>
  <c r="AS277" i="7"/>
  <c r="BA311" i="7"/>
  <c r="BA314" i="7" s="1"/>
  <c r="BO225" i="7"/>
  <c r="DO93" i="7"/>
  <c r="DO95" i="7" s="1"/>
  <c r="DO96" i="7" s="1"/>
  <c r="DO97" i="7" s="1"/>
  <c r="CO103" i="7"/>
  <c r="K223" i="7"/>
  <c r="BJ103" i="7"/>
  <c r="R86" i="7"/>
  <c r="CH73" i="7"/>
  <c r="CH76" i="7" s="1"/>
  <c r="CH258" i="7" s="1"/>
  <c r="CH261" i="7" s="1"/>
  <c r="CH273" i="7" s="1"/>
  <c r="AY58" i="7"/>
  <c r="AY90" i="7" s="1"/>
  <c r="AY222" i="7"/>
  <c r="K224" i="7"/>
  <c r="CF314" i="7"/>
  <c r="DK314" i="7"/>
  <c r="CH79" i="7"/>
  <c r="CH257" i="7" s="1"/>
  <c r="K58" i="7"/>
  <c r="K90" i="7" s="1"/>
  <c r="AY224" i="7"/>
  <c r="BM223" i="7"/>
  <c r="K91" i="7"/>
  <c r="BH18" i="7"/>
  <c r="BF65" i="7"/>
  <c r="BF85" i="7"/>
  <c r="H8" i="3"/>
  <c r="DB58" i="7"/>
  <c r="DB90" i="7" s="1"/>
  <c r="BM85" i="7"/>
  <c r="CA241" i="7"/>
  <c r="O104" i="7"/>
  <c r="O109" i="7" s="1"/>
  <c r="O137" i="7"/>
  <c r="O67" i="7"/>
  <c r="BB240" i="7"/>
  <c r="BF49" i="7"/>
  <c r="AY223" i="7"/>
  <c r="CK18" i="7"/>
  <c r="CD225" i="7"/>
  <c r="CD227" i="7"/>
  <c r="CM241" i="7"/>
  <c r="CD233" i="7"/>
  <c r="CD86" i="7"/>
  <c r="CD58" i="7"/>
  <c r="CD90" i="7" s="1"/>
  <c r="CD91" i="7"/>
  <c r="DB138" i="7"/>
  <c r="CD222" i="7"/>
  <c r="CD311" i="7"/>
  <c r="CD314" i="7" s="1"/>
  <c r="AB91" i="7"/>
  <c r="DQ156" i="7"/>
  <c r="DQ155" i="7" s="1"/>
  <c r="AY311" i="7"/>
  <c r="AY314" i="7" s="1"/>
  <c r="BF18" i="7"/>
  <c r="DB91" i="7"/>
  <c r="BP314" i="7"/>
  <c r="BZ138" i="7"/>
  <c r="CD223" i="7"/>
  <c r="AB103" i="7"/>
  <c r="AB290" i="7" s="1"/>
  <c r="DI161" i="7"/>
  <c r="BB91" i="7"/>
  <c r="BN88" i="7"/>
  <c r="BV58" i="7"/>
  <c r="BV90" i="7" s="1"/>
  <c r="DX88" i="7"/>
  <c r="DP127" i="7"/>
  <c r="DP126" i="7" s="1"/>
  <c r="DQ126" i="7" s="1"/>
  <c r="DR126" i="7" s="1"/>
  <c r="DY148" i="7"/>
  <c r="DY145" i="7"/>
  <c r="DW89" i="7"/>
  <c r="DW98" i="7"/>
  <c r="DW70" i="7"/>
  <c r="DW61" i="7"/>
  <c r="DW65" i="7" s="1"/>
  <c r="DX65" i="7"/>
  <c r="DW281" i="7"/>
  <c r="DX279" i="7"/>
  <c r="BY241" i="7"/>
  <c r="C69" i="3"/>
  <c r="BF148" i="7"/>
  <c r="H168" i="7"/>
  <c r="H169" i="7" s="1"/>
  <c r="DX158" i="7"/>
  <c r="DX155" i="7"/>
  <c r="BP138" i="7"/>
  <c r="AV91" i="7"/>
  <c r="BM18" i="7"/>
  <c r="DT72" i="7"/>
  <c r="DT242" i="7" s="1"/>
  <c r="BH314" i="7"/>
  <c r="AV314" i="7"/>
  <c r="X72" i="7"/>
  <c r="X242" i="7" s="1"/>
  <c r="BB18" i="7"/>
  <c r="DF72" i="7"/>
  <c r="DF242" i="7" s="1"/>
  <c r="BP91" i="7"/>
  <c r="BD138" i="7"/>
  <c r="BQ58" i="7"/>
  <c r="BQ90" i="7" s="1"/>
  <c r="BM86" i="7"/>
  <c r="CX314" i="7"/>
  <c r="BB86" i="7"/>
  <c r="AX240" i="7"/>
  <c r="BP103" i="7"/>
  <c r="BP290" i="7" s="1"/>
  <c r="BM311" i="7"/>
  <c r="BM314" i="7" s="1"/>
  <c r="BB311" i="7"/>
  <c r="BB314" i="7" s="1"/>
  <c r="CP238" i="7"/>
  <c r="BM227" i="7"/>
  <c r="CN314" i="7"/>
  <c r="BR86" i="7"/>
  <c r="BN82" i="7"/>
  <c r="CQ314" i="7"/>
  <c r="AL109" i="7"/>
  <c r="DE225" i="7"/>
  <c r="CN103" i="7"/>
  <c r="CN290" i="7" s="1"/>
  <c r="BQ223" i="7"/>
  <c r="BQ226" i="7"/>
  <c r="BE155" i="7"/>
  <c r="BT240" i="7"/>
  <c r="D7" i="3"/>
  <c r="CN91" i="7"/>
  <c r="CM226" i="7"/>
  <c r="BQ233" i="7"/>
  <c r="DB72" i="7"/>
  <c r="DB242" i="7" s="1"/>
  <c r="BA86" i="7"/>
  <c r="DL18" i="7"/>
  <c r="S224" i="7"/>
  <c r="S225" i="7"/>
  <c r="DA72" i="7"/>
  <c r="DA79" i="7" s="1"/>
  <c r="CN72" i="7"/>
  <c r="CN242" i="7" s="1"/>
  <c r="BD314" i="7"/>
  <c r="DE224" i="7"/>
  <c r="CM223" i="7"/>
  <c r="CM225" i="7"/>
  <c r="DE58" i="7"/>
  <c r="DE90" i="7" s="1"/>
  <c r="CM58" i="7"/>
  <c r="CM90" i="7" s="1"/>
  <c r="DE91" i="7"/>
  <c r="AX103" i="7"/>
  <c r="AX290" i="7" s="1"/>
  <c r="BX18" i="7"/>
  <c r="BB224" i="7"/>
  <c r="BB230" i="7" s="1"/>
  <c r="BC230" i="7" s="1"/>
  <c r="BC227" i="7" s="1"/>
  <c r="CM91" i="7"/>
  <c r="BQ222" i="7"/>
  <c r="BQ311" i="7"/>
  <c r="BQ314" i="7" s="1"/>
  <c r="BQ224" i="7"/>
  <c r="BA18" i="7"/>
  <c r="Z86" i="7"/>
  <c r="S226" i="7"/>
  <c r="DE311" i="7"/>
  <c r="DE314" i="7" s="1"/>
  <c r="BA224" i="7"/>
  <c r="BA230" i="7" s="1"/>
  <c r="BA227" i="7" s="1"/>
  <c r="DL86" i="7"/>
  <c r="S222" i="7"/>
  <c r="S227" i="7"/>
  <c r="DE223" i="7"/>
  <c r="CM222" i="7"/>
  <c r="CM227" i="7"/>
  <c r="AX91" i="7"/>
  <c r="BX86" i="7"/>
  <c r="BB223" i="7"/>
  <c r="BB229" i="7" s="1"/>
  <c r="BC229" i="7" s="1"/>
  <c r="BC226" i="7" s="1"/>
  <c r="BQ91" i="7"/>
  <c r="BQ18" i="7"/>
  <c r="BA91" i="7"/>
  <c r="CQ138" i="7"/>
  <c r="CY72" i="7"/>
  <c r="CY79" i="7" s="1"/>
  <c r="DD21" i="7"/>
  <c r="BQ227" i="7"/>
  <c r="BA223" i="7"/>
  <c r="BA229" i="7" s="1"/>
  <c r="BA226" i="7" s="1"/>
  <c r="DL314" i="7"/>
  <c r="DO86" i="7"/>
  <c r="DF314" i="7"/>
  <c r="S223" i="7"/>
  <c r="DE233" i="7"/>
  <c r="DE222" i="7"/>
  <c r="CM224" i="7"/>
  <c r="CM311" i="7"/>
  <c r="CM314" i="7" s="1"/>
  <c r="DN314" i="7"/>
  <c r="S233" i="7"/>
  <c r="BA58" i="7"/>
  <c r="BA90" i="7" s="1"/>
  <c r="BB58" i="7"/>
  <c r="BB90" i="7" s="1"/>
  <c r="EU205" i="7"/>
  <c r="M66" i="3"/>
  <c r="EU182" i="7"/>
  <c r="M48" i="3"/>
  <c r="EU194" i="7"/>
  <c r="M58" i="3"/>
  <c r="EU178" i="7"/>
  <c r="M46" i="3"/>
  <c r="BD241" i="7"/>
  <c r="EU215" i="7"/>
  <c r="M74" i="3"/>
  <c r="EU187" i="7"/>
  <c r="M52" i="3"/>
  <c r="BE114" i="7"/>
  <c r="BE118" i="7" s="1"/>
  <c r="BE127" i="7" s="1"/>
  <c r="DO233" i="7"/>
  <c r="DO18" i="7"/>
  <c r="EU206" i="7"/>
  <c r="M67" i="3"/>
  <c r="EU183" i="7"/>
  <c r="M49" i="3"/>
  <c r="EU202" i="7"/>
  <c r="M63" i="3"/>
  <c r="BE164" i="7"/>
  <c r="CH138" i="7"/>
  <c r="CH103" i="7"/>
  <c r="EU195" i="7"/>
  <c r="M59" i="3"/>
  <c r="EU203" i="7"/>
  <c r="M64" i="3"/>
  <c r="AM48" i="3"/>
  <c r="AN48" i="3"/>
  <c r="AE48" i="3"/>
  <c r="CI89" i="7"/>
  <c r="CI222" i="7"/>
  <c r="CI311" i="7"/>
  <c r="CI224" i="7"/>
  <c r="E71" i="4"/>
  <c r="DD167" i="7"/>
  <c r="DD169" i="7" s="1"/>
  <c r="DU144" i="7"/>
  <c r="DU145" i="7" s="1"/>
  <c r="DV141" i="7"/>
  <c r="DV144" i="7" s="1"/>
  <c r="DV145" i="7" s="1"/>
  <c r="DV18" i="7"/>
  <c r="DV86" i="7"/>
  <c r="DO222" i="7"/>
  <c r="DO223" i="7"/>
  <c r="DO224" i="7"/>
  <c r="DO225" i="7"/>
  <c r="DO311" i="7"/>
  <c r="DO314" i="7" s="1"/>
  <c r="DO226" i="7"/>
  <c r="DO227" i="7"/>
  <c r="DO58" i="7"/>
  <c r="DO90" i="7" s="1"/>
  <c r="BK231" i="7"/>
  <c r="DD154" i="7"/>
  <c r="BF240" i="7"/>
  <c r="BU82" i="7"/>
  <c r="BO91" i="7"/>
  <c r="BO86" i="7"/>
  <c r="BO227" i="7"/>
  <c r="BY86" i="7"/>
  <c r="BR225" i="7"/>
  <c r="BR311" i="7"/>
  <c r="BR314" i="7" s="1"/>
  <c r="BO223" i="7"/>
  <c r="BO311" i="7"/>
  <c r="BO314" i="7" s="1"/>
  <c r="CS314" i="7"/>
  <c r="BR224" i="7"/>
  <c r="BO224" i="7"/>
  <c r="AX72" i="7"/>
  <c r="AX79" i="7" s="1"/>
  <c r="DL72" i="7"/>
  <c r="BR223" i="7"/>
  <c r="BO222" i="7"/>
  <c r="DL93" i="7"/>
  <c r="DL95" i="7" s="1"/>
  <c r="DL96" i="7" s="1"/>
  <c r="DL97" i="7" s="1"/>
  <c r="BR233" i="7"/>
  <c r="BR226" i="7"/>
  <c r="BV18" i="7"/>
  <c r="BO58" i="7"/>
  <c r="BO90" i="7" s="1"/>
  <c r="BO233" i="7"/>
  <c r="BO226" i="7"/>
  <c r="BR18" i="7"/>
  <c r="BR222" i="7"/>
  <c r="BV86" i="7"/>
  <c r="BN16" i="7"/>
  <c r="BN17" i="7" s="1"/>
  <c r="DC67" i="7"/>
  <c r="CC241" i="7"/>
  <c r="DD161" i="7"/>
  <c r="G9" i="3"/>
  <c r="BI209" i="7"/>
  <c r="BI219" i="7" s="1"/>
  <c r="DC137" i="7"/>
  <c r="DC49" i="7"/>
  <c r="DC57" i="7"/>
  <c r="DC58" i="7" s="1"/>
  <c r="DC90" i="7" s="1"/>
  <c r="DC50" i="7"/>
  <c r="DC36" i="7"/>
  <c r="DC315" i="7"/>
  <c r="DC314" i="7" s="1"/>
  <c r="T85" i="7"/>
  <c r="AA85" i="7"/>
  <c r="T17" i="7"/>
  <c r="T57" i="7"/>
  <c r="AA50" i="7"/>
  <c r="T240" i="7"/>
  <c r="T36" i="7"/>
  <c r="T50" i="7"/>
  <c r="T49" i="7"/>
  <c r="T137" i="7"/>
  <c r="T67" i="7"/>
  <c r="I17" i="7"/>
  <c r="I49" i="7"/>
  <c r="P85" i="7"/>
  <c r="AX164" i="7"/>
  <c r="AX114" i="7"/>
  <c r="AX118" i="7" s="1"/>
  <c r="AX127" i="7" s="1"/>
  <c r="DG114" i="7"/>
  <c r="DJ113" i="7"/>
  <c r="DH113" i="7"/>
  <c r="DG164" i="7"/>
  <c r="F9" i="3"/>
  <c r="AU225" i="7"/>
  <c r="DG241" i="7"/>
  <c r="BR58" i="7"/>
  <c r="BR90" i="7" s="1"/>
  <c r="CK240" i="7"/>
  <c r="AU227" i="7"/>
  <c r="DL138" i="7"/>
  <c r="DL103" i="7"/>
  <c r="DL109" i="7" s="1"/>
  <c r="AB314" i="7"/>
  <c r="CV72" i="7"/>
  <c r="CV79" i="7" s="1"/>
  <c r="CV257" i="7" s="1"/>
  <c r="DN18" i="7"/>
  <c r="DA314" i="7"/>
  <c r="DN86" i="7"/>
  <c r="CK209" i="7"/>
  <c r="CK219" i="7" s="1"/>
  <c r="CX138" i="7"/>
  <c r="CX103" i="7"/>
  <c r="CK138" i="7"/>
  <c r="CK93" i="7"/>
  <c r="CK95" i="7" s="1"/>
  <c r="CK72" i="7"/>
  <c r="DJ137" i="7"/>
  <c r="DN209" i="7"/>
  <c r="DN219" i="7" s="1"/>
  <c r="DJ154" i="7"/>
  <c r="CL154" i="7"/>
  <c r="CL155" i="7" s="1"/>
  <c r="DG233" i="7"/>
  <c r="DG223" i="7"/>
  <c r="DG224" i="7"/>
  <c r="BR138" i="7"/>
  <c r="BR103" i="7"/>
  <c r="BR290" i="7" s="1"/>
  <c r="BR91" i="7"/>
  <c r="BZ103" i="7"/>
  <c r="BZ290" i="7" s="1"/>
  <c r="AQ65" i="7"/>
  <c r="AQ67" i="7" s="1"/>
  <c r="BZ91" i="7"/>
  <c r="F225" i="7"/>
  <c r="F227" i="7"/>
  <c r="F222" i="7"/>
  <c r="F223" i="7"/>
  <c r="F226" i="7"/>
  <c r="F233" i="7"/>
  <c r="F224" i="7"/>
  <c r="F58" i="7"/>
  <c r="F90" i="7" s="1"/>
  <c r="F91" i="7"/>
  <c r="CS138" i="7"/>
  <c r="CS103" i="7"/>
  <c r="DJ50" i="7"/>
  <c r="DJ36" i="7"/>
  <c r="DJ138" i="7" s="1"/>
  <c r="DJ315" i="7"/>
  <c r="DJ57" i="7"/>
  <c r="DJ241" i="7"/>
  <c r="CI144" i="7"/>
  <c r="CI145" i="7" s="1"/>
  <c r="CJ141" i="7"/>
  <c r="CJ144" i="7" s="1"/>
  <c r="CJ145" i="7" s="1"/>
  <c r="CL141" i="7"/>
  <c r="CL144" i="7" s="1"/>
  <c r="CL145" i="7" s="1"/>
  <c r="BT103" i="7"/>
  <c r="AV229" i="7"/>
  <c r="AU226" i="7"/>
  <c r="AU231" i="7"/>
  <c r="DI167" i="7"/>
  <c r="DI169" i="7" s="1"/>
  <c r="DI291" i="7"/>
  <c r="DN241" i="7"/>
  <c r="DO241" i="7"/>
  <c r="DG222" i="7"/>
  <c r="O91" i="7"/>
  <c r="AO104" i="7"/>
  <c r="AO109" i="7" s="1"/>
  <c r="AO137" i="7"/>
  <c r="CH49" i="7"/>
  <c r="CH85" i="7"/>
  <c r="CO85" i="7"/>
  <c r="CH17" i="7"/>
  <c r="AY104" i="7"/>
  <c r="AY137" i="7"/>
  <c r="AY67" i="7"/>
  <c r="AZ65" i="7"/>
  <c r="AZ146" i="7"/>
  <c r="AZ148" i="7" s="1"/>
  <c r="BV164" i="7"/>
  <c r="E69" i="3"/>
  <c r="E70" i="3" s="1"/>
  <c r="BL227" i="7"/>
  <c r="CW291" i="7"/>
  <c r="CW167" i="7"/>
  <c r="CW169" i="7" s="1"/>
  <c r="CW21" i="7"/>
  <c r="CW161" i="7"/>
  <c r="BS103" i="7"/>
  <c r="BS290" i="7" s="1"/>
  <c r="BY249" i="7"/>
  <c r="BZ246" i="7" s="1"/>
  <c r="AR148" i="7"/>
  <c r="AR145" i="7"/>
  <c r="CT237" i="7"/>
  <c r="CT236" i="7"/>
  <c r="CT241" i="7" s="1"/>
  <c r="CT238" i="7"/>
  <c r="CT135" i="7"/>
  <c r="CU141" i="7"/>
  <c r="CT144" i="7"/>
  <c r="CT145" i="7" s="1"/>
  <c r="BC99" i="7"/>
  <c r="BF164" i="7"/>
  <c r="BS138" i="7"/>
  <c r="CT138" i="7"/>
  <c r="G69" i="3"/>
  <c r="DG311" i="7"/>
  <c r="DG314" i="7" s="1"/>
  <c r="DG227" i="7"/>
  <c r="DG225" i="7"/>
  <c r="DG226" i="7"/>
  <c r="CA209" i="7"/>
  <c r="CA219" i="7" s="1"/>
  <c r="CA240" i="7"/>
  <c r="DJ156" i="7"/>
  <c r="DK156" i="7" s="1"/>
  <c r="DH158" i="7"/>
  <c r="DJ49" i="7"/>
  <c r="DJ85" i="7"/>
  <c r="DJ17" i="7"/>
  <c r="BU189" i="7"/>
  <c r="BU209" i="7" s="1"/>
  <c r="BU219" i="7" s="1"/>
  <c r="I22" i="7"/>
  <c r="CI189" i="7"/>
  <c r="CI209" i="7" s="1"/>
  <c r="CI219" i="7" s="1"/>
  <c r="DD283" i="7"/>
  <c r="DD285" i="7" s="1"/>
  <c r="F22" i="7"/>
  <c r="F56" i="3"/>
  <c r="CB89" i="7"/>
  <c r="K57" i="3"/>
  <c r="BG135" i="7"/>
  <c r="AZ236" i="7"/>
  <c r="AZ237" i="7"/>
  <c r="AZ238" i="7"/>
  <c r="AZ135" i="7"/>
  <c r="C256" i="3"/>
  <c r="C257" i="3" s="1"/>
  <c r="BG48" i="7"/>
  <c r="BN50" i="7" s="1"/>
  <c r="BG88" i="7"/>
  <c r="AU209" i="7"/>
  <c r="AU219" i="7" s="1"/>
  <c r="D9" i="3"/>
  <c r="CI167" i="7"/>
  <c r="CI169" i="7" s="1"/>
  <c r="CI21" i="7"/>
  <c r="CI291" i="7"/>
  <c r="ER185" i="7"/>
  <c r="ES185" i="7" s="1"/>
  <c r="ET185" i="7" s="1"/>
  <c r="L51" i="3"/>
  <c r="DQ48" i="7"/>
  <c r="DQ89" i="7"/>
  <c r="AP164" i="7"/>
  <c r="AP168" i="7" s="1"/>
  <c r="AP169" i="7" s="1"/>
  <c r="DP88" i="7"/>
  <c r="DA138" i="7"/>
  <c r="DA103" i="7"/>
  <c r="DA290" i="7" s="1"/>
  <c r="CC103" i="7"/>
  <c r="CC138" i="7"/>
  <c r="CJ51" i="7"/>
  <c r="BN189" i="7"/>
  <c r="BQ240" i="7" s="1"/>
  <c r="AZ144" i="7"/>
  <c r="BG141" i="7"/>
  <c r="BM145" i="7"/>
  <c r="BM148" i="7"/>
  <c r="CB88" i="7"/>
  <c r="CB48" i="7"/>
  <c r="F10" i="3"/>
  <c r="CW315" i="7"/>
  <c r="CW36" i="7"/>
  <c r="CW137" i="7"/>
  <c r="AG40" i="3" s="1"/>
  <c r="CW67" i="7"/>
  <c r="CW57" i="7"/>
  <c r="C43" i="3"/>
  <c r="C47" i="3" s="1"/>
  <c r="C54" i="3" s="1"/>
  <c r="CC152" i="7"/>
  <c r="CC154" i="7" s="1"/>
  <c r="CC155" i="7" s="1"/>
  <c r="CB153" i="7"/>
  <c r="CB154" i="7" s="1"/>
  <c r="CB155" i="7" s="1"/>
  <c r="CI152" i="7"/>
  <c r="CI154" i="7" s="1"/>
  <c r="CI155" i="7" s="1"/>
  <c r="CB179" i="7"/>
  <c r="CE152" i="7"/>
  <c r="CE154" i="7" s="1"/>
  <c r="CE155" i="7" s="1"/>
  <c r="BR114" i="7"/>
  <c r="BQ118" i="7"/>
  <c r="BY165" i="7"/>
  <c r="BZ116" i="7"/>
  <c r="D60" i="3"/>
  <c r="D69" i="3"/>
  <c r="D70" i="3" s="1"/>
  <c r="AF38" i="3"/>
  <c r="CP135" i="7"/>
  <c r="CP236" i="7"/>
  <c r="CC93" i="7"/>
  <c r="CC95" i="7" s="1"/>
  <c r="CC72" i="7"/>
  <c r="AS48" i="7"/>
  <c r="AS88" i="7"/>
  <c r="DP21" i="7"/>
  <c r="DP161" i="7"/>
  <c r="DP291" i="7"/>
  <c r="DP167" i="7"/>
  <c r="DP169" i="7" s="1"/>
  <c r="BN315" i="7"/>
  <c r="BN57" i="7"/>
  <c r="BN36" i="7"/>
  <c r="BN138" i="7" s="1"/>
  <c r="BL148" i="7"/>
  <c r="BL145" i="7"/>
  <c r="AV169" i="7"/>
  <c r="AW168" i="7"/>
  <c r="CL85" i="7"/>
  <c r="CS85" i="7"/>
  <c r="CL17" i="7"/>
  <c r="CP144" i="7"/>
  <c r="CP145" i="7" s="1"/>
  <c r="CW141" i="7"/>
  <c r="CB83" i="7"/>
  <c r="BU83" i="7"/>
  <c r="BU16" i="7"/>
  <c r="CL241" i="7"/>
  <c r="CL36" i="7"/>
  <c r="CL137" i="7"/>
  <c r="CL49" i="7"/>
  <c r="CL67" i="7"/>
  <c r="CL50" i="7"/>
  <c r="CL315" i="7"/>
  <c r="CL57" i="7"/>
  <c r="CS50" i="7"/>
  <c r="DD17" i="7"/>
  <c r="DK85" i="7"/>
  <c r="AH33" i="3"/>
  <c r="BU154" i="7"/>
  <c r="BU155" i="7" s="1"/>
  <c r="BV209" i="7"/>
  <c r="BV219" i="7" s="1"/>
  <c r="BW240" i="7"/>
  <c r="BG164" i="7"/>
  <c r="BG114" i="7"/>
  <c r="BG118" i="7" s="1"/>
  <c r="BG127" i="7" s="1"/>
  <c r="CI85" i="7"/>
  <c r="CB17" i="7"/>
  <c r="AH161" i="7"/>
  <c r="AH113" i="7"/>
  <c r="BX89" i="7"/>
  <c r="BX48" i="7"/>
  <c r="BX137" i="7" s="1"/>
  <c r="BM138" i="7"/>
  <c r="BM103" i="7"/>
  <c r="BM91" i="7"/>
  <c r="CI88" i="7"/>
  <c r="CI48" i="7"/>
  <c r="DN138" i="7"/>
  <c r="DN103" i="7"/>
  <c r="DN290" i="7" s="1"/>
  <c r="C249" i="3"/>
  <c r="BG17" i="7"/>
  <c r="BZ86" i="7"/>
  <c r="C11" i="3"/>
  <c r="E13" i="3"/>
  <c r="CL189" i="7"/>
  <c r="CM240" i="7" s="1"/>
  <c r="DQ85" i="7"/>
  <c r="DQ17" i="7"/>
  <c r="DQ233" i="7" s="1"/>
  <c r="DG189" i="7"/>
  <c r="DJ240" i="7" s="1"/>
  <c r="BF114" i="7"/>
  <c r="BF118" i="7" s="1"/>
  <c r="BF127" i="7" s="1"/>
  <c r="BU89" i="7"/>
  <c r="BU48" i="7"/>
  <c r="DD48" i="7"/>
  <c r="DD88" i="7"/>
  <c r="AH168" i="7"/>
  <c r="AH169" i="7" s="1"/>
  <c r="AS161" i="7"/>
  <c r="AS113" i="7"/>
  <c r="AR113" i="7" s="1"/>
  <c r="AR112" i="7"/>
  <c r="AZ88" i="7"/>
  <c r="AZ48" i="7"/>
  <c r="BX114" i="7"/>
  <c r="BX164" i="7"/>
  <c r="G54" i="3"/>
  <c r="BG83" i="7"/>
  <c r="AZ89" i="7"/>
  <c r="AZ16" i="7"/>
  <c r="AZ17" i="7" s="1"/>
  <c r="E9" i="3"/>
  <c r="CP167" i="7"/>
  <c r="CP169" i="7" s="1"/>
  <c r="CP291" i="7"/>
  <c r="CP21" i="7"/>
  <c r="C13" i="3"/>
  <c r="DD189" i="7"/>
  <c r="DD209" i="7" s="1"/>
  <c r="DD219" i="7" s="1"/>
  <c r="BE189" i="7"/>
  <c r="BE209" i="7" s="1"/>
  <c r="BE219" i="7" s="1"/>
  <c r="BZ209" i="7"/>
  <c r="BZ219" i="7" s="1"/>
  <c r="BZ240" i="7"/>
  <c r="BN291" i="7"/>
  <c r="BN167" i="7"/>
  <c r="BN21" i="7"/>
  <c r="AT277" i="7"/>
  <c r="AU275" i="7"/>
  <c r="DI48" i="7"/>
  <c r="AI48" i="3"/>
  <c r="AJ48" i="3"/>
  <c r="AH48" i="3"/>
  <c r="BL118" i="7"/>
  <c r="BL127" i="7" s="1"/>
  <c r="BS91" i="7"/>
  <c r="O58" i="7"/>
  <c r="O90" i="7" s="1"/>
  <c r="BD231" i="7"/>
  <c r="BI227" i="7"/>
  <c r="AT231" i="7"/>
  <c r="AT232" i="7" s="1"/>
  <c r="AT106" i="7" s="1"/>
  <c r="BU112" i="7"/>
  <c r="DP16" i="7"/>
  <c r="AY209" i="7"/>
  <c r="AY219" i="7" s="1"/>
  <c r="AY240" i="7"/>
  <c r="CB104" i="7"/>
  <c r="C25" i="3" s="1"/>
  <c r="CG164" i="7"/>
  <c r="CH113" i="7"/>
  <c r="CI113" i="7" s="1"/>
  <c r="D31" i="3" s="1"/>
  <c r="J290" i="7"/>
  <c r="J109" i="7"/>
  <c r="DQ232" i="7"/>
  <c r="AJ290" i="7"/>
  <c r="AP79" i="7"/>
  <c r="AP73" i="7"/>
  <c r="O290" i="7"/>
  <c r="BS311" i="7"/>
  <c r="BS314" i="7" s="1"/>
  <c r="BS227" i="7"/>
  <c r="BS226" i="7"/>
  <c r="BS224" i="7"/>
  <c r="BS225" i="7"/>
  <c r="BS86" i="7"/>
  <c r="BS18" i="7"/>
  <c r="BS233" i="7"/>
  <c r="DQ145" i="7"/>
  <c r="DR146" i="7"/>
  <c r="DQ148" i="7"/>
  <c r="BL228" i="7"/>
  <c r="BS222" i="7"/>
  <c r="CO188" i="7"/>
  <c r="CO189" i="7" s="1"/>
  <c r="CP181" i="7"/>
  <c r="K242" i="7"/>
  <c r="K79" i="7"/>
  <c r="K73" i="7"/>
  <c r="BA242" i="7"/>
  <c r="BA79" i="7"/>
  <c r="BA73" i="7"/>
  <c r="BI226" i="7"/>
  <c r="K290" i="7"/>
  <c r="K109" i="7"/>
  <c r="BR242" i="7"/>
  <c r="BR79" i="7"/>
  <c r="BR73" i="7"/>
  <c r="CA285" i="7"/>
  <c r="CB283" i="7"/>
  <c r="CB285" i="7" s="1"/>
  <c r="D290" i="7"/>
  <c r="D109" i="7"/>
  <c r="AQ155" i="7"/>
  <c r="AQ158" i="7"/>
  <c r="BN237" i="7"/>
  <c r="BN236" i="7"/>
  <c r="BN238" i="7"/>
  <c r="BN135" i="7"/>
  <c r="BU135" i="7"/>
  <c r="AC290" i="7"/>
  <c r="E290" i="7"/>
  <c r="E109" i="7"/>
  <c r="CU96" i="7"/>
  <c r="CU97" i="7" s="1"/>
  <c r="CU99" i="7"/>
  <c r="CR96" i="7"/>
  <c r="CR97" i="7" s="1"/>
  <c r="CR99" i="7"/>
  <c r="CD96" i="7"/>
  <c r="CD97" i="7" s="1"/>
  <c r="CD99" i="7"/>
  <c r="CO93" i="7"/>
  <c r="CO95" i="7" s="1"/>
  <c r="CO72" i="7"/>
  <c r="CH285" i="7"/>
  <c r="CW297" i="7"/>
  <c r="CW124" i="7"/>
  <c r="AO93" i="7"/>
  <c r="AO72" i="7"/>
  <c r="DQ209" i="7"/>
  <c r="DQ219" i="7" s="1"/>
  <c r="AI242" i="7"/>
  <c r="AI79" i="7"/>
  <c r="AI73" i="7"/>
  <c r="AC104" i="7"/>
  <c r="AC109" i="7" s="1"/>
  <c r="AC137" i="7"/>
  <c r="AC67" i="7"/>
  <c r="BU20" i="7"/>
  <c r="BT17" i="7"/>
  <c r="DT96" i="7"/>
  <c r="DT99" i="7"/>
  <c r="CN118" i="7"/>
  <c r="CN113" i="7"/>
  <c r="CO114" i="7"/>
  <c r="CN96" i="7"/>
  <c r="CN97" i="7" s="1"/>
  <c r="CN99" i="7"/>
  <c r="CN209" i="7"/>
  <c r="CN219" i="7" s="1"/>
  <c r="CN240" i="7"/>
  <c r="R242" i="7"/>
  <c r="R79" i="7"/>
  <c r="R73" i="7"/>
  <c r="AU279" i="7"/>
  <c r="AU246" i="7"/>
  <c r="AU249" i="7" s="1"/>
  <c r="DJ209" i="7"/>
  <c r="DJ219" i="7" s="1"/>
  <c r="BP96" i="7"/>
  <c r="BP97" i="7" s="1"/>
  <c r="BP99" i="7"/>
  <c r="S290" i="7"/>
  <c r="S109" i="7"/>
  <c r="BI231" i="7"/>
  <c r="BJ228" i="7"/>
  <c r="BR99" i="7"/>
  <c r="BR96" i="7"/>
  <c r="W93" i="7"/>
  <c r="W95" i="7" s="1"/>
  <c r="W96" i="7" s="1"/>
  <c r="W97" i="7" s="1"/>
  <c r="W72" i="7"/>
  <c r="E79" i="7"/>
  <c r="E257" i="7" s="1"/>
  <c r="E260" i="7" s="1"/>
  <c r="E73" i="7"/>
  <c r="E76" i="7" s="1"/>
  <c r="E258" i="7" s="1"/>
  <c r="E261" i="7" s="1"/>
  <c r="BT285" i="7"/>
  <c r="CQ99" i="7"/>
  <c r="CQ96" i="7"/>
  <c r="CQ97" i="7" s="1"/>
  <c r="FA29" i="7"/>
  <c r="ES29" i="7"/>
  <c r="ER29" i="7" s="1"/>
  <c r="AJ236" i="7"/>
  <c r="AJ241" i="7" s="1"/>
  <c r="AJ237" i="7"/>
  <c r="AJ238" i="7"/>
  <c r="AJ138" i="7"/>
  <c r="AJ135" i="7"/>
  <c r="BU141" i="7"/>
  <c r="BN144" i="7"/>
  <c r="BN145" i="7" s="1"/>
  <c r="AQ297" i="7"/>
  <c r="AQ124" i="7"/>
  <c r="AQ127" i="7" s="1"/>
  <c r="H290" i="7"/>
  <c r="DD105" i="7"/>
  <c r="G26" i="3" s="1"/>
  <c r="CH228" i="7"/>
  <c r="AJ104" i="7"/>
  <c r="AJ109" i="7" s="1"/>
  <c r="AJ137" i="7"/>
  <c r="AJ67" i="7"/>
  <c r="V104" i="7"/>
  <c r="V109" i="7" s="1"/>
  <c r="V137" i="7"/>
  <c r="V67" i="7"/>
  <c r="BL242" i="7"/>
  <c r="BL73" i="7"/>
  <c r="BL79" i="7"/>
  <c r="AQ144" i="7"/>
  <c r="AQ145" i="7" s="1"/>
  <c r="BI96" i="7"/>
  <c r="BI97" i="7" s="1"/>
  <c r="BI99" i="7"/>
  <c r="CY99" i="7"/>
  <c r="CY96" i="7"/>
  <c r="CY97" i="7" s="1"/>
  <c r="CU236" i="7"/>
  <c r="CU238" i="7"/>
  <c r="CU237" i="7"/>
  <c r="CU138" i="7"/>
  <c r="CU135" i="7"/>
  <c r="J79" i="7"/>
  <c r="J257" i="7" s="1"/>
  <c r="J260" i="7" s="1"/>
  <c r="J73" i="7"/>
  <c r="J76" i="7" s="1"/>
  <c r="J258" i="7" s="1"/>
  <c r="J261" i="7" s="1"/>
  <c r="AJ209" i="7"/>
  <c r="AJ219" i="7" s="1"/>
  <c r="AJ240" i="7"/>
  <c r="AN242" i="7"/>
  <c r="AN79" i="7"/>
  <c r="AN73" i="7"/>
  <c r="AC148" i="7"/>
  <c r="AC145" i="7"/>
  <c r="D73" i="7"/>
  <c r="D76" i="7" s="1"/>
  <c r="D258" i="7" s="1"/>
  <c r="D261" i="7" s="1"/>
  <c r="D79" i="7"/>
  <c r="D257" i="7" s="1"/>
  <c r="D260" i="7" s="1"/>
  <c r="S242" i="7"/>
  <c r="S79" i="7"/>
  <c r="S73" i="7"/>
  <c r="BY242" i="7"/>
  <c r="BY79" i="7"/>
  <c r="BY73" i="7"/>
  <c r="AC209" i="7"/>
  <c r="AC219" i="7" s="1"/>
  <c r="AC240" i="7"/>
  <c r="BQ93" i="7"/>
  <c r="BQ95" i="7" s="1"/>
  <c r="BQ72" i="7"/>
  <c r="BN93" i="7"/>
  <c r="BN95" i="7" s="1"/>
  <c r="BN99" i="7" s="1"/>
  <c r="BN72" i="7"/>
  <c r="X158" i="7"/>
  <c r="X155" i="7"/>
  <c r="DK179" i="7"/>
  <c r="DN152" i="7"/>
  <c r="DN154" i="7" s="1"/>
  <c r="DN155" i="7" s="1"/>
  <c r="DL152" i="7"/>
  <c r="DL154" i="7" s="1"/>
  <c r="DL155" i="7" s="1"/>
  <c r="DK153" i="7"/>
  <c r="DK154" i="7" s="1"/>
  <c r="DR152" i="7"/>
  <c r="DR154" i="7" s="1"/>
  <c r="BH242" i="7"/>
  <c r="BH79" i="7"/>
  <c r="BH73" i="7"/>
  <c r="AV241" i="7"/>
  <c r="AY241" i="7"/>
  <c r="U290" i="7"/>
  <c r="U109" i="7"/>
  <c r="AL152" i="7"/>
  <c r="AL154" i="7" s="1"/>
  <c r="AL155" i="7" s="1"/>
  <c r="AH152" i="7"/>
  <c r="AH154" i="7" s="1"/>
  <c r="AH155" i="7" s="1"/>
  <c r="AF152" i="7"/>
  <c r="AF154" i="7" s="1"/>
  <c r="AF155" i="7" s="1"/>
  <c r="AE154" i="7"/>
  <c r="AE155" i="7" s="1"/>
  <c r="FC20" i="7"/>
  <c r="EW20" i="7"/>
  <c r="O168" i="7"/>
  <c r="O169" i="7" s="1"/>
  <c r="N169" i="7"/>
  <c r="AJ148" i="7"/>
  <c r="AJ145" i="7"/>
  <c r="V155" i="7"/>
  <c r="V158" i="7"/>
  <c r="AQ236" i="7"/>
  <c r="AQ237" i="7"/>
  <c r="AQ238" i="7"/>
  <c r="AQ135" i="7"/>
  <c r="AQ138" i="7"/>
  <c r="AX135" i="7"/>
  <c r="CJ99" i="7"/>
  <c r="CJ96" i="7"/>
  <c r="AU242" i="7"/>
  <c r="AU73" i="7"/>
  <c r="BS58" i="7"/>
  <c r="BS90" i="7" s="1"/>
  <c r="BZ99" i="7"/>
  <c r="BZ96" i="7"/>
  <c r="BZ97" i="7" s="1"/>
  <c r="DR96" i="7"/>
  <c r="DR99" i="7"/>
  <c r="DB96" i="7"/>
  <c r="DB97" i="7" s="1"/>
  <c r="DB99" i="7"/>
  <c r="CM161" i="7"/>
  <c r="CM164" i="7"/>
  <c r="CO112" i="7"/>
  <c r="CM255" i="7"/>
  <c r="CO255" i="7" s="1"/>
  <c r="CP255" i="7" s="1"/>
  <c r="BY96" i="7"/>
  <c r="BY97" i="7" s="1"/>
  <c r="BY99" i="7"/>
  <c r="BM285" i="7"/>
  <c r="BN283" i="7"/>
  <c r="BN285" i="7" s="1"/>
  <c r="DP209" i="7"/>
  <c r="DP219" i="7" s="1"/>
  <c r="BM242" i="7"/>
  <c r="BM79" i="7"/>
  <c r="BM257" i="7" s="1"/>
  <c r="BM73" i="7"/>
  <c r="CM99" i="7"/>
  <c r="CM96" i="7"/>
  <c r="CM97" i="7" s="1"/>
  <c r="CT114" i="7"/>
  <c r="CS118" i="7"/>
  <c r="AQ290" i="7"/>
  <c r="DH242" i="7"/>
  <c r="DH79" i="7"/>
  <c r="DH73" i="7"/>
  <c r="BK242" i="7"/>
  <c r="BK79" i="7"/>
  <c r="BK73" i="7"/>
  <c r="DA158" i="7"/>
  <c r="DC156" i="7"/>
  <c r="AA242" i="7"/>
  <c r="AA79" i="7"/>
  <c r="AA257" i="7" s="1"/>
  <c r="AA260" i="7" s="1"/>
  <c r="AA73" i="7"/>
  <c r="CG281" i="7"/>
  <c r="CK283" i="7" s="1"/>
  <c r="CH279" i="7"/>
  <c r="AU97" i="7"/>
  <c r="AV96" i="7"/>
  <c r="G79" i="7"/>
  <c r="G257" i="7" s="1"/>
  <c r="G260" i="7" s="1"/>
  <c r="G73" i="7"/>
  <c r="G76" i="7" s="1"/>
  <c r="G258" i="7" s="1"/>
  <c r="G261" i="7" s="1"/>
  <c r="H104" i="7"/>
  <c r="H109" i="7" s="1"/>
  <c r="H137" i="7"/>
  <c r="H67" i="7"/>
  <c r="V96" i="7"/>
  <c r="U97" i="7"/>
  <c r="BL229" i="7"/>
  <c r="BS223" i="7"/>
  <c r="AI290" i="7"/>
  <c r="AI109" i="7"/>
  <c r="CV96" i="7"/>
  <c r="CV97" i="7" s="1"/>
  <c r="Z242" i="7"/>
  <c r="Z79" i="7"/>
  <c r="Z73" i="7"/>
  <c r="AX141" i="7"/>
  <c r="AX144" i="7" s="1"/>
  <c r="AX145" i="7" s="1"/>
  <c r="AW144" i="7"/>
  <c r="AW145" i="7" s="1"/>
  <c r="CZ242" i="7"/>
  <c r="CZ79" i="7"/>
  <c r="CZ257" i="7" s="1"/>
  <c r="CZ260" i="7" s="1"/>
  <c r="CZ73" i="7"/>
  <c r="DI98" i="7"/>
  <c r="DI70" i="7"/>
  <c r="BD96" i="7"/>
  <c r="BD97" i="7" s="1"/>
  <c r="BD99" i="7"/>
  <c r="G290" i="7"/>
  <c r="G109" i="7"/>
  <c r="AF290" i="7"/>
  <c r="AF109" i="7"/>
  <c r="I93" i="7"/>
  <c r="I95" i="7" s="1"/>
  <c r="I96" i="7" s="1"/>
  <c r="I97" i="7" s="1"/>
  <c r="I72" i="7"/>
  <c r="DA164" i="7"/>
  <c r="DC113" i="7"/>
  <c r="AP290" i="7"/>
  <c r="CO285" i="7"/>
  <c r="BD225" i="7"/>
  <c r="ES20" i="7"/>
  <c r="EY20" i="7"/>
  <c r="BM99" i="7"/>
  <c r="BM96" i="7"/>
  <c r="BM97" i="7" s="1"/>
  <c r="AW279" i="7"/>
  <c r="AW281" i="7" s="1"/>
  <c r="AW246" i="7"/>
  <c r="AY246" i="7"/>
  <c r="BU104" i="7"/>
  <c r="DS96" i="7"/>
  <c r="DS97" i="7" s="1"/>
  <c r="DS99" i="7"/>
  <c r="AT225" i="7"/>
  <c r="AB242" i="7"/>
  <c r="AB79" i="7"/>
  <c r="AB73" i="7"/>
  <c r="DC124" i="7"/>
  <c r="DD120" i="7"/>
  <c r="G34" i="3" s="1"/>
  <c r="G38" i="3" s="1"/>
  <c r="AK109" i="7"/>
  <c r="R290" i="7"/>
  <c r="R109" i="7"/>
  <c r="X96" i="7"/>
  <c r="X97" i="7" s="1"/>
  <c r="CT96" i="7"/>
  <c r="CT97" i="7" s="1"/>
  <c r="CT99" i="7"/>
  <c r="DF96" i="7"/>
  <c r="DF97" i="7" s="1"/>
  <c r="DF99" i="7"/>
  <c r="DT141" i="7"/>
  <c r="DT144" i="7" s="1"/>
  <c r="DT145" i="7" s="1"/>
  <c r="DS144" i="7"/>
  <c r="DS145" i="7" s="1"/>
  <c r="BK96" i="7"/>
  <c r="BK99" i="7"/>
  <c r="CW158" i="7"/>
  <c r="G97" i="7"/>
  <c r="H96" i="7"/>
  <c r="CX96" i="7"/>
  <c r="CX97" i="7" s="1"/>
  <c r="CX99" i="7"/>
  <c r="BC242" i="7"/>
  <c r="BC79" i="7"/>
  <c r="BC257" i="7" s="1"/>
  <c r="BC260" i="7" s="1"/>
  <c r="BC73" i="7"/>
  <c r="AO95" i="7"/>
  <c r="AO96" i="7" s="1"/>
  <c r="AO97" i="7" s="1"/>
  <c r="AN96" i="7"/>
  <c r="AN97" i="7" s="1"/>
  <c r="BK290" i="7"/>
  <c r="DJ145" i="7"/>
  <c r="DK146" i="7"/>
  <c r="DJ148" i="7"/>
  <c r="DE96" i="7"/>
  <c r="DE97" i="7" s="1"/>
  <c r="DE99" i="7"/>
  <c r="DM93" i="7"/>
  <c r="DM95" i="7" s="1"/>
  <c r="DM72" i="7"/>
  <c r="BW96" i="7"/>
  <c r="BW97" i="7" s="1"/>
  <c r="BW99" i="7"/>
  <c r="DB117" i="7"/>
  <c r="DC117" i="7" s="1"/>
  <c r="DD117" i="7" s="1"/>
  <c r="BE97" i="7"/>
  <c r="BE99" i="7"/>
  <c r="BU148" i="7"/>
  <c r="AB97" i="7"/>
  <c r="AC96" i="7"/>
  <c r="BI237" i="7"/>
  <c r="BI238" i="7"/>
  <c r="BI236" i="7"/>
  <c r="BI241" i="7" s="1"/>
  <c r="BI138" i="7"/>
  <c r="BI135" i="7"/>
  <c r="BP135" i="7"/>
  <c r="CH268" i="7"/>
  <c r="CH269" i="7"/>
  <c r="CO268" i="7"/>
  <c r="W109" i="7"/>
  <c r="DQ279" i="7"/>
  <c r="DP281" i="7"/>
  <c r="AD93" i="7"/>
  <c r="AD95" i="7" s="1"/>
  <c r="AD96" i="7" s="1"/>
  <c r="AD97" i="7" s="1"/>
  <c r="AD72" i="7"/>
  <c r="CV142" i="7"/>
  <c r="CV144" i="7" s="1"/>
  <c r="CV145" i="7" s="1"/>
  <c r="CV134" i="7"/>
  <c r="Z290" i="7"/>
  <c r="Z109" i="7"/>
  <c r="BX104" i="7"/>
  <c r="DN104" i="7"/>
  <c r="DQ104" i="7" s="1"/>
  <c r="DP104" i="7" s="1"/>
  <c r="DN137" i="7"/>
  <c r="DN67" i="7"/>
  <c r="CA93" i="7"/>
  <c r="CA95" i="7" s="1"/>
  <c r="CA72" i="7"/>
  <c r="BV93" i="7"/>
  <c r="BV95" i="7" s="1"/>
  <c r="BV72" i="7"/>
  <c r="AF242" i="7"/>
  <c r="AF73" i="7"/>
  <c r="AF79" i="7"/>
  <c r="AZ179" i="7"/>
  <c r="BA152" i="7"/>
  <c r="BA154" i="7" s="1"/>
  <c r="BA155" i="7" s="1"/>
  <c r="AZ153" i="7"/>
  <c r="AZ154" i="7" s="1"/>
  <c r="AZ155" i="7" s="1"/>
  <c r="BG152" i="7"/>
  <c r="BG154" i="7" s="1"/>
  <c r="BC152" i="7"/>
  <c r="BC154" i="7" s="1"/>
  <c r="BC155" i="7" s="1"/>
  <c r="BO242" i="7"/>
  <c r="BO79" i="7"/>
  <c r="BO73" i="7"/>
  <c r="CE96" i="7"/>
  <c r="CE99" i="7"/>
  <c r="AU236" i="7"/>
  <c r="AU241" i="7" s="1"/>
  <c r="AU238" i="7"/>
  <c r="AU237" i="7"/>
  <c r="AU138" i="7"/>
  <c r="AU135" i="7"/>
  <c r="BB135" i="7"/>
  <c r="AK93" i="7"/>
  <c r="AK95" i="7" s="1"/>
  <c r="AK96" i="7" s="1"/>
  <c r="AK97" i="7" s="1"/>
  <c r="AK72" i="7"/>
  <c r="U242" i="7"/>
  <c r="U79" i="7"/>
  <c r="U73" i="7"/>
  <c r="BN230" i="7"/>
  <c r="BM191" i="7"/>
  <c r="AM242" i="7"/>
  <c r="AM79" i="7"/>
  <c r="AM73" i="7"/>
  <c r="CX242" i="7"/>
  <c r="CX79" i="7"/>
  <c r="CX73" i="7"/>
  <c r="BN155" i="7"/>
  <c r="BN158" i="7"/>
  <c r="DA96" i="7"/>
  <c r="DA97" i="7" s="1"/>
  <c r="DA99" i="7"/>
  <c r="CL161" i="7"/>
  <c r="CL164" i="7"/>
  <c r="AM290" i="7"/>
  <c r="AM109" i="7"/>
  <c r="DP98" i="7"/>
  <c r="DP70" i="7"/>
  <c r="BI225" i="7"/>
  <c r="CF96" i="7"/>
  <c r="CF99" i="7"/>
  <c r="CI114" i="7"/>
  <c r="CI118" i="7" s="1"/>
  <c r="D33" i="3" s="1"/>
  <c r="CH118" i="7"/>
  <c r="O227" i="7"/>
  <c r="O225" i="7"/>
  <c r="O226" i="7"/>
  <c r="O86" i="7"/>
  <c r="O22" i="7"/>
  <c r="O224" i="7"/>
  <c r="O222" i="7"/>
  <c r="O223" i="7"/>
  <c r="O233" i="7"/>
  <c r="BZ18" i="7"/>
  <c r="CI112" i="7"/>
  <c r="CW125" i="7"/>
  <c r="F39" i="3" s="1"/>
  <c r="DR232" i="7"/>
  <c r="DR106" i="7" s="1"/>
  <c r="DQ106" i="7" s="1"/>
  <c r="DP106" i="7" s="1"/>
  <c r="DS232" i="7"/>
  <c r="DS106" i="7" s="1"/>
  <c r="DU232" i="7"/>
  <c r="DU106" i="7" s="1"/>
  <c r="DX106" i="7" s="1"/>
  <c r="DW106" i="7" s="1"/>
  <c r="CW283" i="7"/>
  <c r="CW285" i="7" s="1"/>
  <c r="CV285" i="7"/>
  <c r="CW132" i="7"/>
  <c r="CW199" i="7"/>
  <c r="BA290" i="7"/>
  <c r="DP61" i="7"/>
  <c r="DP65" i="7" s="1"/>
  <c r="DQ65" i="7"/>
  <c r="E78" i="4"/>
  <c r="D85" i="4"/>
  <c r="D87" i="4" s="1"/>
  <c r="D80" i="4"/>
  <c r="M72" i="3" l="1"/>
  <c r="DW21" i="7"/>
  <c r="DW161" i="7"/>
  <c r="DW167" i="7"/>
  <c r="DW169" i="7" s="1"/>
  <c r="CQ109" i="7"/>
  <c r="DR18" i="7"/>
  <c r="DR224" i="7"/>
  <c r="DR233" i="7"/>
  <c r="DR225" i="7"/>
  <c r="DR91" i="7"/>
  <c r="DR222" i="7"/>
  <c r="DY86" i="7"/>
  <c r="I7" i="3"/>
  <c r="DR311" i="7"/>
  <c r="DR314" i="7" s="1"/>
  <c r="DR86" i="7"/>
  <c r="AJ28" i="3" s="1"/>
  <c r="DR58" i="7"/>
  <c r="DR90" i="7" s="1"/>
  <c r="DR226" i="7"/>
  <c r="DR223" i="7"/>
  <c r="DR227" i="7"/>
  <c r="ED82" i="7"/>
  <c r="FV255" i="7"/>
  <c r="FO255" i="7"/>
  <c r="AR241" i="7"/>
  <c r="DR242" i="7"/>
  <c r="FA255" i="7"/>
  <c r="T35" i="3" s="1"/>
  <c r="BL251" i="7"/>
  <c r="Z35" i="3"/>
  <c r="FH255" i="7"/>
  <c r="AA35" i="3" s="1"/>
  <c r="AX247" i="7"/>
  <c r="AY253" i="7"/>
  <c r="AR240" i="7"/>
  <c r="AR57" i="7"/>
  <c r="AR315" i="7"/>
  <c r="AY50" i="7"/>
  <c r="AR36" i="7"/>
  <c r="AR103" i="7" s="1"/>
  <c r="BL279" i="7"/>
  <c r="BL281" i="7" s="1"/>
  <c r="BP283" i="7" s="1"/>
  <c r="BP285" i="7" s="1"/>
  <c r="CE242" i="7"/>
  <c r="AW74" i="7"/>
  <c r="CE73" i="7"/>
  <c r="CE76" i="7" s="1"/>
  <c r="CE258" i="7" s="1"/>
  <c r="CE261" i="7" s="1"/>
  <c r="Y257" i="7"/>
  <c r="Y260" i="7" s="1"/>
  <c r="P22" i="7"/>
  <c r="I15" i="3"/>
  <c r="AH72" i="7"/>
  <c r="AH79" i="7" s="1"/>
  <c r="AH257" i="7" s="1"/>
  <c r="AH260" i="7" s="1"/>
  <c r="AH262" i="7" s="1"/>
  <c r="DR73" i="7"/>
  <c r="DY74" i="7" s="1"/>
  <c r="CG227" i="7"/>
  <c r="CH227" i="7"/>
  <c r="DO73" i="7"/>
  <c r="DV74" i="7" s="1"/>
  <c r="DO79" i="7"/>
  <c r="DO242" i="7"/>
  <c r="Y74" i="7"/>
  <c r="DI16" i="7"/>
  <c r="DI85" i="7" s="1"/>
  <c r="L242" i="7"/>
  <c r="AQ16" i="7"/>
  <c r="AX85" i="7" s="1"/>
  <c r="AQ89" i="7"/>
  <c r="AX83" i="7"/>
  <c r="N73" i="7"/>
  <c r="N74" i="7" s="1"/>
  <c r="M79" i="7"/>
  <c r="M257" i="7" s="1"/>
  <c r="M260" i="7" s="1"/>
  <c r="M262" i="7" s="1"/>
  <c r="N79" i="7"/>
  <c r="N296" i="7" s="1"/>
  <c r="N298" i="7" s="1"/>
  <c r="AH91" i="7"/>
  <c r="AH103" i="7"/>
  <c r="AH109" i="7" s="1"/>
  <c r="N109" i="7"/>
  <c r="BV109" i="7"/>
  <c r="DH96" i="7"/>
  <c r="DH97" i="7" s="1"/>
  <c r="DX240" i="7"/>
  <c r="EE50" i="7"/>
  <c r="EV203" i="7"/>
  <c r="N64" i="3"/>
  <c r="EV206" i="7"/>
  <c r="N67" i="3"/>
  <c r="N72" i="3"/>
  <c r="EV195" i="7"/>
  <c r="N59" i="3"/>
  <c r="EV194" i="7"/>
  <c r="N58" i="3"/>
  <c r="EV187" i="7"/>
  <c r="N52" i="3"/>
  <c r="EV182" i="7"/>
  <c r="N48" i="3"/>
  <c r="EV215" i="7"/>
  <c r="N74" i="3"/>
  <c r="EV202" i="7"/>
  <c r="N63" i="3"/>
  <c r="EV205" i="7"/>
  <c r="N66" i="3"/>
  <c r="EV183" i="7"/>
  <c r="N49" i="3"/>
  <c r="EV178" i="7"/>
  <c r="N46" i="3"/>
  <c r="CU73" i="7"/>
  <c r="CU76" i="7" s="1"/>
  <c r="CU258" i="7" s="1"/>
  <c r="CG231" i="7"/>
  <c r="CG226" i="7"/>
  <c r="DZ18" i="7"/>
  <c r="BZ124" i="7"/>
  <c r="AG74" i="7"/>
  <c r="CU79" i="7"/>
  <c r="CU257" i="7" s="1"/>
  <c r="BZ297" i="7"/>
  <c r="AE290" i="7"/>
  <c r="BJ96" i="7"/>
  <c r="BJ97" i="7" s="1"/>
  <c r="ES247" i="7"/>
  <c r="ER255" i="7"/>
  <c r="BW73" i="7"/>
  <c r="BW74" i="7" s="1"/>
  <c r="DI82" i="7"/>
  <c r="DI88" i="7"/>
  <c r="P73" i="7"/>
  <c r="P76" i="7" s="1"/>
  <c r="P258" i="7" s="1"/>
  <c r="P261" i="7" s="1"/>
  <c r="P79" i="7"/>
  <c r="P257" i="7" s="1"/>
  <c r="L79" i="7"/>
  <c r="L296" i="7" s="1"/>
  <c r="L298" i="7" s="1"/>
  <c r="AG257" i="7"/>
  <c r="AG260" i="7" s="1"/>
  <c r="DX50" i="7"/>
  <c r="DU103" i="7"/>
  <c r="DU290" i="7" s="1"/>
  <c r="DU138" i="7"/>
  <c r="DS223" i="7"/>
  <c r="AN109" i="7"/>
  <c r="DK109" i="7"/>
  <c r="H27" i="3" s="1"/>
  <c r="H29" i="3" s="1"/>
  <c r="H40" i="3" s="1"/>
  <c r="DE290" i="7"/>
  <c r="AT73" i="7"/>
  <c r="AT74" i="7" s="1"/>
  <c r="BF156" i="7"/>
  <c r="BG156" i="7" s="1"/>
  <c r="BG158" i="7" s="1"/>
  <c r="CR103" i="7"/>
  <c r="CR290" i="7" s="1"/>
  <c r="DS58" i="7"/>
  <c r="DS90" i="7" s="1"/>
  <c r="DS226" i="7"/>
  <c r="DS86" i="7"/>
  <c r="DS225" i="7"/>
  <c r="CD73" i="7"/>
  <c r="CD76" i="7" s="1"/>
  <c r="CD258" i="7" s="1"/>
  <c r="CD261" i="7" s="1"/>
  <c r="AY83" i="7"/>
  <c r="DS91" i="7"/>
  <c r="DS227" i="7"/>
  <c r="DT58" i="7"/>
  <c r="DT90" i="7" s="1"/>
  <c r="CD79" i="7"/>
  <c r="CD296" i="7" s="1"/>
  <c r="CD298" i="7" s="1"/>
  <c r="DS224" i="7"/>
  <c r="DS311" i="7"/>
  <c r="DS314" i="7" s="1"/>
  <c r="DS18" i="7"/>
  <c r="DS222" i="7"/>
  <c r="DS233" i="7"/>
  <c r="DX241" i="7"/>
  <c r="DT91" i="7"/>
  <c r="DX36" i="7"/>
  <c r="DX138" i="7" s="1"/>
  <c r="DX315" i="7"/>
  <c r="CS73" i="7"/>
  <c r="CZ74" i="7" s="1"/>
  <c r="CS79" i="7"/>
  <c r="CS257" i="7" s="1"/>
  <c r="CS260" i="7" s="1"/>
  <c r="CZ262" i="7" s="1"/>
  <c r="DX57" i="7"/>
  <c r="DT86" i="7"/>
  <c r="EA86" i="7"/>
  <c r="BJ73" i="7"/>
  <c r="BJ74" i="7" s="1"/>
  <c r="BJ79" i="7"/>
  <c r="BJ257" i="7" s="1"/>
  <c r="BJ260" i="7" s="1"/>
  <c r="BJ262" i="7" s="1"/>
  <c r="CZ224" i="7"/>
  <c r="CR79" i="7"/>
  <c r="CR296" i="7" s="1"/>
  <c r="CR298" i="7" s="1"/>
  <c r="CR73" i="7"/>
  <c r="CR76" i="7" s="1"/>
  <c r="CR258" i="7" s="1"/>
  <c r="CR261" i="7" s="1"/>
  <c r="CZ233" i="7"/>
  <c r="DT233" i="7"/>
  <c r="DT223" i="7"/>
  <c r="CZ311" i="7"/>
  <c r="CZ314" i="7" s="1"/>
  <c r="CZ227" i="7"/>
  <c r="DG86" i="7"/>
  <c r="CZ18" i="7"/>
  <c r="CZ86" i="7"/>
  <c r="DT227" i="7"/>
  <c r="DG18" i="7"/>
  <c r="CZ91" i="7"/>
  <c r="DT225" i="7"/>
  <c r="CZ225" i="7"/>
  <c r="CZ223" i="7"/>
  <c r="CZ226" i="7"/>
  <c r="CZ222" i="7"/>
  <c r="BZ73" i="7"/>
  <c r="BZ76" i="7" s="1"/>
  <c r="BZ258" i="7" s="1"/>
  <c r="BZ242" i="7"/>
  <c r="X290" i="7"/>
  <c r="DU17" i="7"/>
  <c r="EB86" i="7" s="1"/>
  <c r="CQ73" i="7"/>
  <c r="CQ76" i="7" s="1"/>
  <c r="CQ258" i="7" s="1"/>
  <c r="CQ261" i="7" s="1"/>
  <c r="DU85" i="7"/>
  <c r="EA18" i="7"/>
  <c r="DT311" i="7"/>
  <c r="DT314" i="7" s="1"/>
  <c r="DT226" i="7"/>
  <c r="AW236" i="7"/>
  <c r="AW241" i="7" s="1"/>
  <c r="AL73" i="7"/>
  <c r="AL76" i="7" s="1"/>
  <c r="F73" i="7"/>
  <c r="F76" i="7" s="1"/>
  <c r="F258" i="7" s="1"/>
  <c r="F261" i="7" s="1"/>
  <c r="F272" i="7" s="1"/>
  <c r="AL79" i="7"/>
  <c r="BI73" i="7"/>
  <c r="BI74" i="7" s="1"/>
  <c r="CQ79" i="7"/>
  <c r="CQ296" i="7" s="1"/>
  <c r="CQ298" i="7" s="1"/>
  <c r="DU49" i="7"/>
  <c r="DX16" i="7"/>
  <c r="CY109" i="7"/>
  <c r="BI79" i="7"/>
  <c r="BI257" i="7" s="1"/>
  <c r="BI260" i="7" s="1"/>
  <c r="BI262" i="7" s="1"/>
  <c r="DT18" i="7"/>
  <c r="DT222" i="7"/>
  <c r="DS242" i="7"/>
  <c r="BC228" i="7"/>
  <c r="BC231" i="7" s="1"/>
  <c r="DO109" i="7"/>
  <c r="BE79" i="7"/>
  <c r="BE296" i="7" s="1"/>
  <c r="BE298" i="7" s="1"/>
  <c r="BE73" i="7"/>
  <c r="BE76" i="7" s="1"/>
  <c r="BE258" i="7" s="1"/>
  <c r="BE261" i="7" s="1"/>
  <c r="CF73" i="7"/>
  <c r="CF74" i="7" s="1"/>
  <c r="BB296" i="7"/>
  <c r="BB298" i="7" s="1"/>
  <c r="BH96" i="7"/>
  <c r="BH97" i="7" s="1"/>
  <c r="DE79" i="7"/>
  <c r="DE296" i="7" s="1"/>
  <c r="DE298" i="7" s="1"/>
  <c r="DE242" i="7"/>
  <c r="CG73" i="7"/>
  <c r="CG76" i="7" s="1"/>
  <c r="CG258" i="7" s="1"/>
  <c r="CG261" i="7" s="1"/>
  <c r="CG79" i="7"/>
  <c r="CG296" i="7" s="1"/>
  <c r="CG298" i="7" s="1"/>
  <c r="BP242" i="7"/>
  <c r="DS109" i="7"/>
  <c r="DU109" i="7" s="1"/>
  <c r="AE79" i="7"/>
  <c r="AE296" i="7" s="1"/>
  <c r="AE298" i="7" s="1"/>
  <c r="CD290" i="7"/>
  <c r="DO99" i="7"/>
  <c r="DT290" i="7"/>
  <c r="BW109" i="7"/>
  <c r="CJ73" i="7"/>
  <c r="DG138" i="7"/>
  <c r="L109" i="7"/>
  <c r="DK99" i="7"/>
  <c r="CT73" i="7"/>
  <c r="CT76" i="7" s="1"/>
  <c r="CT258" i="7" s="1"/>
  <c r="CT261" i="7" s="1"/>
  <c r="DU72" i="7"/>
  <c r="DK73" i="7"/>
  <c r="DU93" i="7"/>
  <c r="DU95" i="7" s="1"/>
  <c r="DU99" i="7" s="1"/>
  <c r="BD73" i="7"/>
  <c r="BK74" i="7" s="1"/>
  <c r="DK79" i="7"/>
  <c r="H18" i="3" s="1"/>
  <c r="BW79" i="7"/>
  <c r="BW296" i="7" s="1"/>
  <c r="BW298" i="7" s="1"/>
  <c r="CT79" i="7"/>
  <c r="CT296" i="7" s="1"/>
  <c r="CT298" i="7" s="1"/>
  <c r="DK242" i="7"/>
  <c r="BS242" i="7"/>
  <c r="AV73" i="7"/>
  <c r="BC74" i="7" s="1"/>
  <c r="CJ79" i="7"/>
  <c r="CJ296" i="7" s="1"/>
  <c r="CJ298" i="7" s="1"/>
  <c r="DG91" i="7"/>
  <c r="DR290" i="7"/>
  <c r="Q257" i="7"/>
  <c r="Q260" i="7" s="1"/>
  <c r="Q262" i="7" s="1"/>
  <c r="DT73" i="7"/>
  <c r="EA74" i="7" s="1"/>
  <c r="BB74" i="7"/>
  <c r="BP109" i="7"/>
  <c r="DT79" i="7"/>
  <c r="DT257" i="7" s="1"/>
  <c r="DT260" i="7" s="1"/>
  <c r="EA262" i="7" s="1"/>
  <c r="M22" i="7"/>
  <c r="DA18" i="7"/>
  <c r="CT222" i="7"/>
  <c r="CT86" i="7"/>
  <c r="CT18" i="7"/>
  <c r="CT91" i="7"/>
  <c r="CT223" i="7"/>
  <c r="CF79" i="7"/>
  <c r="CF296" i="7" s="1"/>
  <c r="CF298" i="7" s="1"/>
  <c r="BO99" i="7"/>
  <c r="BP79" i="7"/>
  <c r="BP296" i="7" s="1"/>
  <c r="BP298" i="7" s="1"/>
  <c r="CT226" i="7"/>
  <c r="BT93" i="7"/>
  <c r="BT95" i="7" s="1"/>
  <c r="BT99" i="7" s="1"/>
  <c r="DL79" i="7"/>
  <c r="CT233" i="7"/>
  <c r="DG72" i="7"/>
  <c r="DG73" i="7" s="1"/>
  <c r="M73" i="7"/>
  <c r="M76" i="7" s="1"/>
  <c r="M258" i="7" s="1"/>
  <c r="M261" i="7" s="1"/>
  <c r="CT58" i="7"/>
  <c r="CT90" i="7" s="1"/>
  <c r="DA86" i="7"/>
  <c r="CT224" i="7"/>
  <c r="DA73" i="7"/>
  <c r="DA76" i="7" s="1"/>
  <c r="DA258" i="7" s="1"/>
  <c r="DA261" i="7" s="1"/>
  <c r="DM109" i="7"/>
  <c r="DN109" i="7" s="1"/>
  <c r="CT225" i="7"/>
  <c r="CT227" i="7"/>
  <c r="DL242" i="7"/>
  <c r="DA242" i="7"/>
  <c r="AW257" i="7"/>
  <c r="AW260" i="7" s="1"/>
  <c r="CM73" i="7"/>
  <c r="CM76" i="7" s="1"/>
  <c r="CM258" i="7" s="1"/>
  <c r="CM261" i="7" s="1"/>
  <c r="BS73" i="7"/>
  <c r="BS74" i="7" s="1"/>
  <c r="CM79" i="7"/>
  <c r="CM257" i="7" s="1"/>
  <c r="CM260" i="7" s="1"/>
  <c r="CU144" i="7"/>
  <c r="CU145" i="7" s="1"/>
  <c r="BB227" i="7"/>
  <c r="DF109" i="7"/>
  <c r="DG109" i="7" s="1"/>
  <c r="DG110" i="7" s="1"/>
  <c r="BD135" i="7"/>
  <c r="AJ41" i="3"/>
  <c r="AW135" i="7"/>
  <c r="AE242" i="7"/>
  <c r="AW237" i="7"/>
  <c r="AW138" i="7"/>
  <c r="AW238" i="7"/>
  <c r="AP85" i="7"/>
  <c r="AW85" i="7"/>
  <c r="AP49" i="7"/>
  <c r="X22" i="7"/>
  <c r="DJ72" i="7"/>
  <c r="DJ242" i="7" s="1"/>
  <c r="DJ103" i="7"/>
  <c r="DI103" i="7" s="1"/>
  <c r="DI290" i="7" s="1"/>
  <c r="DK290" i="7"/>
  <c r="AY103" i="7"/>
  <c r="BD79" i="7"/>
  <c r="BD257" i="7" s="1"/>
  <c r="BD260" i="7" s="1"/>
  <c r="AB109" i="7"/>
  <c r="X73" i="7"/>
  <c r="X76" i="7" s="1"/>
  <c r="X258" i="7" s="1"/>
  <c r="X261" i="7" s="1"/>
  <c r="X79" i="7"/>
  <c r="X257" i="7" s="1"/>
  <c r="X260" i="7" s="1"/>
  <c r="DS73" i="7"/>
  <c r="DS76" i="7" s="1"/>
  <c r="DS258" i="7" s="1"/>
  <c r="DS261" i="7" s="1"/>
  <c r="DQ158" i="7"/>
  <c r="DB73" i="7"/>
  <c r="BF104" i="7"/>
  <c r="BF67" i="7"/>
  <c r="BF137" i="7"/>
  <c r="DB79" i="7"/>
  <c r="DB257" i="7" s="1"/>
  <c r="CN73" i="7"/>
  <c r="AX242" i="7"/>
  <c r="CN79" i="7"/>
  <c r="CN257" i="7" s="1"/>
  <c r="O93" i="7"/>
  <c r="O95" i="7" s="1"/>
  <c r="O96" i="7" s="1"/>
  <c r="O97" i="7" s="1"/>
  <c r="O72" i="7"/>
  <c r="DR156" i="7"/>
  <c r="DR155" i="7" s="1"/>
  <c r="DL290" i="7"/>
  <c r="BZ279" i="7"/>
  <c r="BZ281" i="7" s="1"/>
  <c r="CD283" i="7" s="1"/>
  <c r="AX73" i="7"/>
  <c r="DF73" i="7"/>
  <c r="DF76" i="7" s="1"/>
  <c r="DF258" i="7" s="1"/>
  <c r="DF261" i="7" s="1"/>
  <c r="DF79" i="7"/>
  <c r="DF296" i="7" s="1"/>
  <c r="DF298" i="7" s="1"/>
  <c r="DJ158" i="7"/>
  <c r="DX67" i="7"/>
  <c r="DW88" i="7"/>
  <c r="DW82" i="7"/>
  <c r="DW48" i="7"/>
  <c r="ED50" i="7" s="1"/>
  <c r="DX137" i="7"/>
  <c r="DX281" i="7"/>
  <c r="DY279" i="7"/>
  <c r="DY281" i="7" s="1"/>
  <c r="DE240" i="7"/>
  <c r="BA231" i="7"/>
  <c r="DY155" i="7"/>
  <c r="DY158" i="7"/>
  <c r="BE240" i="7"/>
  <c r="BB231" i="7"/>
  <c r="BB226" i="7"/>
  <c r="CV73" i="7"/>
  <c r="CV76" i="7" s="1"/>
  <c r="CV258" i="7" s="1"/>
  <c r="CV261" i="7" s="1"/>
  <c r="CY242" i="7"/>
  <c r="CY73" i="7"/>
  <c r="CY76" i="7" s="1"/>
  <c r="CY258" i="7" s="1"/>
  <c r="CY261" i="7" s="1"/>
  <c r="CH226" i="7"/>
  <c r="DL99" i="7"/>
  <c r="EU185" i="7"/>
  <c r="M51" i="3"/>
  <c r="AR65" i="7"/>
  <c r="AS65" i="7" s="1"/>
  <c r="AQ104" i="7"/>
  <c r="BN49" i="7"/>
  <c r="DJ155" i="7"/>
  <c r="DQ103" i="7"/>
  <c r="DP103" i="7" s="1"/>
  <c r="DP290" i="7" s="1"/>
  <c r="BN85" i="7"/>
  <c r="BU137" i="7"/>
  <c r="CV242" i="7"/>
  <c r="BU85" i="7"/>
  <c r="BU17" i="7"/>
  <c r="BU18" i="7" s="1"/>
  <c r="AQ137" i="7"/>
  <c r="FX48" i="7"/>
  <c r="BK233" i="7"/>
  <c r="DL73" i="7"/>
  <c r="DL74" i="7" s="1"/>
  <c r="F71" i="4"/>
  <c r="BD233" i="7"/>
  <c r="CJ240" i="7"/>
  <c r="J22" i="7"/>
  <c r="DC93" i="7"/>
  <c r="DC95" i="7" s="1"/>
  <c r="DC72" i="7"/>
  <c r="BV240" i="7"/>
  <c r="T58" i="7"/>
  <c r="T90" i="7" s="1"/>
  <c r="CW16" i="7"/>
  <c r="DJ114" i="7"/>
  <c r="DG118" i="7"/>
  <c r="DJ118" i="7" s="1"/>
  <c r="T93" i="7"/>
  <c r="T95" i="7" s="1"/>
  <c r="T96" i="7" s="1"/>
  <c r="T97" i="7" s="1"/>
  <c r="T72" i="7"/>
  <c r="DC103" i="7"/>
  <c r="DC91" i="7"/>
  <c r="DC138" i="7"/>
  <c r="AY114" i="7"/>
  <c r="AY118" i="7" s="1"/>
  <c r="AY127" i="7" s="1"/>
  <c r="AY164" i="7"/>
  <c r="AY168" i="7" s="1"/>
  <c r="AY169" i="7" s="1"/>
  <c r="AZ112" i="7"/>
  <c r="T222" i="7"/>
  <c r="T227" i="7"/>
  <c r="T223" i="7"/>
  <c r="T86" i="7"/>
  <c r="T225" i="7"/>
  <c r="T224" i="7"/>
  <c r="AA86" i="7"/>
  <c r="T226" i="7"/>
  <c r="T233" i="7"/>
  <c r="DH114" i="7"/>
  <c r="DH118" i="7" s="1"/>
  <c r="DH164" i="7"/>
  <c r="T138" i="7"/>
  <c r="T103" i="7"/>
  <c r="T109" i="7" s="1"/>
  <c r="T91" i="7"/>
  <c r="DI113" i="7"/>
  <c r="DI164" i="7" s="1"/>
  <c r="DJ164" i="7"/>
  <c r="I222" i="7"/>
  <c r="I223" i="7"/>
  <c r="I91" i="7"/>
  <c r="I227" i="7"/>
  <c r="I224" i="7"/>
  <c r="I226" i="7"/>
  <c r="I225" i="7"/>
  <c r="I58" i="7"/>
  <c r="I90" i="7" s="1"/>
  <c r="I233" i="7"/>
  <c r="P86" i="7"/>
  <c r="DP89" i="7"/>
  <c r="BX67" i="7"/>
  <c r="BX72" i="7" s="1"/>
  <c r="DQ240" i="7"/>
  <c r="CH164" i="7"/>
  <c r="CX109" i="7"/>
  <c r="CX290" i="7"/>
  <c r="CK79" i="7"/>
  <c r="CK73" i="7"/>
  <c r="CK76" i="7" s="1"/>
  <c r="CK258" i="7" s="1"/>
  <c r="CK261" i="7" s="1"/>
  <c r="CK242" i="7"/>
  <c r="CK99" i="7"/>
  <c r="CK96" i="7"/>
  <c r="CK97" i="7" s="1"/>
  <c r="BO240" i="7"/>
  <c r="BN240" i="7"/>
  <c r="AT233" i="7"/>
  <c r="BU67" i="7"/>
  <c r="BU93" i="7" s="1"/>
  <c r="BU95" i="7" s="1"/>
  <c r="AQ168" i="7"/>
  <c r="AQ169" i="7" s="1"/>
  <c r="CB67" i="7"/>
  <c r="C12" i="3" s="1"/>
  <c r="CB137" i="7"/>
  <c r="AD40" i="3" s="1"/>
  <c r="AV231" i="7"/>
  <c r="AV226" i="7"/>
  <c r="AU233" i="7"/>
  <c r="AZ145" i="7"/>
  <c r="AY93" i="7"/>
  <c r="AY95" i="7" s="1"/>
  <c r="AY72" i="7"/>
  <c r="AZ104" i="7"/>
  <c r="CH91" i="7"/>
  <c r="CO18" i="7"/>
  <c r="CH311" i="7"/>
  <c r="CH314" i="7" s="1"/>
  <c r="CH58" i="7"/>
  <c r="CH90" i="7" s="1"/>
  <c r="CH86" i="7"/>
  <c r="CH18" i="7"/>
  <c r="CH223" i="7"/>
  <c r="CH222" i="7"/>
  <c r="CO86" i="7"/>
  <c r="CH224" i="7"/>
  <c r="CS97" i="7"/>
  <c r="CS98" i="7" s="1"/>
  <c r="CS96" i="7" s="1"/>
  <c r="CL240" i="7"/>
  <c r="DJ96" i="7"/>
  <c r="DJ97" i="7" s="1"/>
  <c r="BX240" i="7"/>
  <c r="G70" i="3"/>
  <c r="BU240" i="7"/>
  <c r="DG240" i="7"/>
  <c r="DP48" i="7"/>
  <c r="CZ97" i="7"/>
  <c r="CZ98" i="7" s="1"/>
  <c r="CZ96" i="7" s="1"/>
  <c r="CL209" i="7"/>
  <c r="CL219" i="7" s="1"/>
  <c r="CU241" i="7"/>
  <c r="CB85" i="7"/>
  <c r="AZ189" i="7"/>
  <c r="BA240" i="7" s="1"/>
  <c r="AJ35" i="3"/>
  <c r="DK189" i="7"/>
  <c r="DR240" i="7" s="1"/>
  <c r="AJ44" i="3" s="1"/>
  <c r="AZ223" i="7"/>
  <c r="AZ311" i="7"/>
  <c r="AZ58" i="7"/>
  <c r="AZ90" i="7" s="1"/>
  <c r="AZ224" i="7"/>
  <c r="AZ222" i="7"/>
  <c r="BG85" i="7"/>
  <c r="C180" i="3" s="1"/>
  <c r="CL58" i="7"/>
  <c r="CL90" i="7" s="1"/>
  <c r="CL103" i="7"/>
  <c r="CK103" i="7" s="1"/>
  <c r="CK290" i="7" s="1"/>
  <c r="CL91" i="7"/>
  <c r="CL138" i="7"/>
  <c r="CX141" i="7"/>
  <c r="CX144" i="7" s="1"/>
  <c r="CX145" i="7" s="1"/>
  <c r="CZ141" i="7"/>
  <c r="BN58" i="7"/>
  <c r="BN90" i="7" s="1"/>
  <c r="CC96" i="7"/>
  <c r="CC97" i="7" s="1"/>
  <c r="CC99" i="7"/>
  <c r="DQ315" i="7"/>
  <c r="DQ57" i="7"/>
  <c r="DQ58" i="7" s="1"/>
  <c r="DQ90" i="7" s="1"/>
  <c r="DQ49" i="7"/>
  <c r="DQ50" i="7"/>
  <c r="DQ241" i="7"/>
  <c r="DQ36" i="7"/>
  <c r="CJ97" i="7"/>
  <c r="DP17" i="7"/>
  <c r="AR161" i="7"/>
  <c r="AQ112" i="7"/>
  <c r="BU50" i="7"/>
  <c r="BU57" i="7"/>
  <c r="BU49" i="7"/>
  <c r="BU36" i="7"/>
  <c r="BU315" i="7"/>
  <c r="C7" i="3"/>
  <c r="CB233" i="7"/>
  <c r="CB224" i="7"/>
  <c r="CB223" i="7"/>
  <c r="CB311" i="7"/>
  <c r="CI86" i="7"/>
  <c r="AE28" i="3" s="1"/>
  <c r="CB226" i="7"/>
  <c r="CI18" i="7"/>
  <c r="CB225" i="7"/>
  <c r="CB222" i="7"/>
  <c r="CB227" i="7"/>
  <c r="AS240" i="7"/>
  <c r="AS50" i="7"/>
  <c r="AS57" i="7"/>
  <c r="AS36" i="7"/>
  <c r="AS315" i="7"/>
  <c r="AS241" i="7"/>
  <c r="F12" i="3"/>
  <c r="CW93" i="7"/>
  <c r="CW95" i="7" s="1"/>
  <c r="CW72" i="7"/>
  <c r="ER193" i="7"/>
  <c r="ES193" i="7" s="1"/>
  <c r="ET193" i="7" s="1"/>
  <c r="L57" i="3"/>
  <c r="BY114" i="7"/>
  <c r="BX118" i="7"/>
  <c r="DD49" i="7"/>
  <c r="DD36" i="7"/>
  <c r="G10" i="3"/>
  <c r="DD315" i="7"/>
  <c r="DK50" i="7"/>
  <c r="DD57" i="7"/>
  <c r="DD58" i="7" s="1"/>
  <c r="DD90" i="7" s="1"/>
  <c r="DD50" i="7"/>
  <c r="DD67" i="7"/>
  <c r="DD137" i="7"/>
  <c r="AH40" i="3" s="1"/>
  <c r="CP83" i="7"/>
  <c r="CP16" i="7"/>
  <c r="DQ18" i="7"/>
  <c r="DQ311" i="7"/>
  <c r="DQ223" i="7"/>
  <c r="DQ226" i="7"/>
  <c r="DQ222" i="7"/>
  <c r="DQ227" i="7"/>
  <c r="DQ224" i="7"/>
  <c r="DQ225" i="7"/>
  <c r="DQ86" i="7"/>
  <c r="CI57" i="7"/>
  <c r="CI58" i="7" s="1"/>
  <c r="CI90" i="7" s="1"/>
  <c r="D10" i="3"/>
  <c r="CI67" i="7"/>
  <c r="CI315" i="7"/>
  <c r="CI314" i="7" s="1"/>
  <c r="CI36" i="7"/>
  <c r="CI241" i="7"/>
  <c r="CI50" i="7"/>
  <c r="CI137" i="7"/>
  <c r="AE40" i="3" s="1"/>
  <c r="CI49" i="7"/>
  <c r="CA116" i="7"/>
  <c r="BZ165" i="7"/>
  <c r="CB36" i="7"/>
  <c r="CB315" i="7"/>
  <c r="C10" i="3"/>
  <c r="CB50" i="7"/>
  <c r="CB49" i="7"/>
  <c r="CB57" i="7"/>
  <c r="CB58" i="7" s="1"/>
  <c r="CB90" i="7" s="1"/>
  <c r="CB241" i="7"/>
  <c r="BA241" i="7"/>
  <c r="BC241" i="7"/>
  <c r="DI36" i="7"/>
  <c r="DI315" i="7"/>
  <c r="DI57" i="7"/>
  <c r="DI50" i="7"/>
  <c r="DI137" i="7"/>
  <c r="DI67" i="7"/>
  <c r="DI93" i="7" s="1"/>
  <c r="DI95" i="7" s="1"/>
  <c r="DI96" i="7" s="1"/>
  <c r="DI97" i="7" s="1"/>
  <c r="DI240" i="7"/>
  <c r="DI241" i="7"/>
  <c r="CP89" i="7"/>
  <c r="BX36" i="7"/>
  <c r="BX315" i="7"/>
  <c r="BX314" i="7" s="1"/>
  <c r="BX57" i="7"/>
  <c r="BX58" i="7" s="1"/>
  <c r="BX90" i="7" s="1"/>
  <c r="BX50" i="7"/>
  <c r="BX49" i="7"/>
  <c r="CE50" i="7"/>
  <c r="BX241" i="7"/>
  <c r="G7" i="3"/>
  <c r="DD224" i="7"/>
  <c r="DD233" i="7"/>
  <c r="DD311" i="7"/>
  <c r="DD222" i="7"/>
  <c r="DK86" i="7"/>
  <c r="AI28" i="3" s="1"/>
  <c r="DD226" i="7"/>
  <c r="DD223" i="7"/>
  <c r="DK18" i="7"/>
  <c r="DD227" i="7"/>
  <c r="DD225" i="7"/>
  <c r="CL93" i="7"/>
  <c r="CL95" i="7" s="1"/>
  <c r="CL72" i="7"/>
  <c r="CL226" i="7"/>
  <c r="CL224" i="7"/>
  <c r="CL227" i="7"/>
  <c r="CL233" i="7"/>
  <c r="CL225" i="7"/>
  <c r="CL223" i="7"/>
  <c r="CL86" i="7"/>
  <c r="CS86" i="7"/>
  <c r="CL18" i="7"/>
  <c r="CS18" i="7"/>
  <c r="CL311" i="7"/>
  <c r="CL314" i="7" s="1"/>
  <c r="CL222" i="7"/>
  <c r="AX168" i="7"/>
  <c r="AX169" i="7" s="1"/>
  <c r="AW169" i="7"/>
  <c r="CQ241" i="7"/>
  <c r="CS241" i="7"/>
  <c r="CB189" i="7"/>
  <c r="DJ233" i="7"/>
  <c r="DJ227" i="7"/>
  <c r="DJ225" i="7"/>
  <c r="DJ86" i="7"/>
  <c r="DJ18" i="7"/>
  <c r="DJ58" i="7"/>
  <c r="DJ90" i="7" s="1"/>
  <c r="DJ311" i="7"/>
  <c r="DJ314" i="7" s="1"/>
  <c r="DJ223" i="7"/>
  <c r="DJ91" i="7"/>
  <c r="DJ226" i="7"/>
  <c r="DJ222" i="7"/>
  <c r="DJ224" i="7"/>
  <c r="CT113" i="7"/>
  <c r="CT164" i="7" s="1"/>
  <c r="I18" i="3"/>
  <c r="AU277" i="7"/>
  <c r="AV275" i="7"/>
  <c r="AZ49" i="7"/>
  <c r="AZ241" i="7"/>
  <c r="AZ36" i="7"/>
  <c r="AZ137" i="7"/>
  <c r="AZ56" i="7"/>
  <c r="AZ67" i="7"/>
  <c r="AZ50" i="7"/>
  <c r="AZ315" i="7"/>
  <c r="CP88" i="7"/>
  <c r="CP48" i="7"/>
  <c r="BN311" i="7"/>
  <c r="BN314" i="7" s="1"/>
  <c r="BN86" i="7"/>
  <c r="BN222" i="7"/>
  <c r="BN18" i="7"/>
  <c r="BN223" i="7"/>
  <c r="BH141" i="7"/>
  <c r="BH144" i="7" s="1"/>
  <c r="BH145" i="7" s="1"/>
  <c r="BI145" i="7" s="1"/>
  <c r="BG144" i="7"/>
  <c r="BG145" i="7" s="1"/>
  <c r="BJ141" i="7"/>
  <c r="BJ144" i="7" s="1"/>
  <c r="BJ145" i="7" s="1"/>
  <c r="CC109" i="7"/>
  <c r="CE109" i="7" s="1"/>
  <c r="CE110" i="7" s="1"/>
  <c r="CC290" i="7"/>
  <c r="AI35" i="3"/>
  <c r="CW208" i="7"/>
  <c r="F61" i="3"/>
  <c r="CI164" i="7"/>
  <c r="D30" i="3"/>
  <c r="D32" i="3" s="1"/>
  <c r="I260" i="7"/>
  <c r="AU232" i="7"/>
  <c r="AI168" i="7"/>
  <c r="AK168" i="7"/>
  <c r="AK169" i="7" s="1"/>
  <c r="DG209" i="7"/>
  <c r="DG219" i="7" s="1"/>
  <c r="DH240" i="7"/>
  <c r="C252" i="3"/>
  <c r="BG311" i="7"/>
  <c r="BG222" i="7"/>
  <c r="BG224" i="7"/>
  <c r="BG223" i="7"/>
  <c r="BG86" i="7"/>
  <c r="BG18" i="7"/>
  <c r="C224" i="3" s="1"/>
  <c r="BN103" i="7"/>
  <c r="BN290" i="7" s="1"/>
  <c r="BN91" i="7"/>
  <c r="CC242" i="7"/>
  <c r="CC79" i="7"/>
  <c r="CC73" i="7"/>
  <c r="CC76" i="7" s="1"/>
  <c r="CC258" i="7" s="1"/>
  <c r="CC261" i="7" s="1"/>
  <c r="BR113" i="7"/>
  <c r="BR164" i="7" s="1"/>
  <c r="BS114" i="7"/>
  <c r="BR118" i="7"/>
  <c r="F8" i="3"/>
  <c r="CW103" i="7"/>
  <c r="C261" i="3"/>
  <c r="C262" i="3" s="1"/>
  <c r="BG315" i="7"/>
  <c r="BG49" i="7"/>
  <c r="BG57" i="7"/>
  <c r="BG58" i="7" s="1"/>
  <c r="BG90" i="7" s="1"/>
  <c r="BG50" i="7"/>
  <c r="C226" i="3" s="1"/>
  <c r="BG36" i="7"/>
  <c r="BG137" i="7"/>
  <c r="BG67" i="7"/>
  <c r="BG241" i="7"/>
  <c r="AP223" i="7"/>
  <c r="AP311" i="7"/>
  <c r="AP314" i="7" s="1"/>
  <c r="AP222" i="7"/>
  <c r="AP86" i="7"/>
  <c r="AW86" i="7"/>
  <c r="AP91" i="7"/>
  <c r="AP224" i="7"/>
  <c r="AP230" i="7" s="1"/>
  <c r="AP231" i="7" s="1"/>
  <c r="AW18" i="7"/>
  <c r="AP225" i="7"/>
  <c r="AP58" i="7"/>
  <c r="AP90" i="7" s="1"/>
  <c r="AP226" i="7"/>
  <c r="CW142" i="7"/>
  <c r="CW134" i="7"/>
  <c r="BO296" i="7"/>
  <c r="BO298" i="7" s="1"/>
  <c r="BO257" i="7"/>
  <c r="BO260" i="7" s="1"/>
  <c r="CI228" i="7"/>
  <c r="CH231" i="7"/>
  <c r="CH225" i="7"/>
  <c r="W242" i="7"/>
  <c r="W79" i="7"/>
  <c r="W257" i="7" s="1"/>
  <c r="W73" i="7"/>
  <c r="AI74" i="7"/>
  <c r="AI76" i="7"/>
  <c r="AI258" i="7" s="1"/>
  <c r="AI261" i="7" s="1"/>
  <c r="CO96" i="7"/>
  <c r="CO97" i="7" s="1"/>
  <c r="CO99" i="7"/>
  <c r="AM296" i="7"/>
  <c r="AM298" i="7" s="1"/>
  <c r="AM257" i="7"/>
  <c r="AM260" i="7" s="1"/>
  <c r="CE97" i="7"/>
  <c r="CH96" i="7"/>
  <c r="CH97" i="7" s="1"/>
  <c r="BM229" i="7"/>
  <c r="BL226" i="7"/>
  <c r="CK285" i="7"/>
  <c r="CL283" i="7"/>
  <c r="L74" i="7"/>
  <c r="L76" i="7"/>
  <c r="L258" i="7" s="1"/>
  <c r="L261" i="7" s="1"/>
  <c r="Q298" i="7"/>
  <c r="Q299" i="7" s="1"/>
  <c r="BN242" i="7"/>
  <c r="BN79" i="7"/>
  <c r="BN73" i="7"/>
  <c r="BY74" i="7"/>
  <c r="BY76" i="7"/>
  <c r="BY258" i="7" s="1"/>
  <c r="BY261" i="7" s="1"/>
  <c r="Q272" i="7"/>
  <c r="Q263" i="7"/>
  <c r="Q271" i="7"/>
  <c r="Q273" i="7"/>
  <c r="BJ231" i="7"/>
  <c r="BJ225" i="7"/>
  <c r="R74" i="7"/>
  <c r="R76" i="7"/>
  <c r="R258" i="7" s="1"/>
  <c r="R261" i="7" s="1"/>
  <c r="Y263" i="7" s="1"/>
  <c r="AI296" i="7"/>
  <c r="AI298" i="7" s="1"/>
  <c r="AI257" i="7"/>
  <c r="AI260" i="7" s="1"/>
  <c r="BP76" i="7"/>
  <c r="BP258" i="7" s="1"/>
  <c r="BP261" i="7" s="1"/>
  <c r="AP74" i="7"/>
  <c r="AP76" i="7"/>
  <c r="AP258" i="7" s="1"/>
  <c r="AP261" i="7" s="1"/>
  <c r="AW263" i="7" s="1"/>
  <c r="DK148" i="7"/>
  <c r="DK145" i="7"/>
  <c r="Z296" i="7"/>
  <c r="Z298" i="7" s="1"/>
  <c r="Z257" i="7"/>
  <c r="Z260" i="7" s="1"/>
  <c r="CI279" i="7"/>
  <c r="CI281" i="7" s="1"/>
  <c r="CH281" i="7"/>
  <c r="DH296" i="7"/>
  <c r="DH298" i="7" s="1"/>
  <c r="DH257" i="7"/>
  <c r="DH260" i="7" s="1"/>
  <c r="AX296" i="7"/>
  <c r="AX298" i="7" s="1"/>
  <c r="AX257" i="7"/>
  <c r="CO161" i="7"/>
  <c r="CP112" i="7"/>
  <c r="E30" i="3" s="1"/>
  <c r="V93" i="7"/>
  <c r="V95" i="7" s="1"/>
  <c r="V97" i="7" s="1"/>
  <c r="V72" i="7"/>
  <c r="DT97" i="7"/>
  <c r="DU97" i="7" s="1"/>
  <c r="DK155" i="7"/>
  <c r="DK158" i="7"/>
  <c r="BV242" i="7"/>
  <c r="BV79" i="7"/>
  <c r="BV73" i="7"/>
  <c r="AD242" i="7"/>
  <c r="AD79" i="7"/>
  <c r="AD257" i="7" s="1"/>
  <c r="AD73" i="7"/>
  <c r="BB271" i="7"/>
  <c r="BB272" i="7"/>
  <c r="BB273" i="7"/>
  <c r="EZ20" i="7"/>
  <c r="FF20" i="7"/>
  <c r="G272" i="7"/>
  <c r="G273" i="7"/>
  <c r="G271" i="7"/>
  <c r="AA76" i="7"/>
  <c r="AA258" i="7" s="1"/>
  <c r="AA261" i="7" s="1"/>
  <c r="BK76" i="7"/>
  <c r="BK258" i="7" s="1"/>
  <c r="BK261" i="7" s="1"/>
  <c r="AU76" i="7"/>
  <c r="AU258" i="7" s="1"/>
  <c r="AU261" i="7" s="1"/>
  <c r="AU74" i="7"/>
  <c r="BH74" i="7"/>
  <c r="BH76" i="7"/>
  <c r="BH258" i="7" s="1"/>
  <c r="BH261" i="7" s="1"/>
  <c r="BY296" i="7"/>
  <c r="BY298" i="7" s="1"/>
  <c r="BY257" i="7"/>
  <c r="BY260" i="7" s="1"/>
  <c r="Q74" i="7"/>
  <c r="FH29" i="7"/>
  <c r="EW29" i="7"/>
  <c r="BR97" i="7"/>
  <c r="BS96" i="7"/>
  <c r="BS97" i="7" s="1"/>
  <c r="BI233" i="7"/>
  <c r="BI232" i="7"/>
  <c r="BI106" i="7" s="1"/>
  <c r="BI109" i="7" s="1"/>
  <c r="R296" i="7"/>
  <c r="R298" i="7" s="1"/>
  <c r="R257" i="7"/>
  <c r="R260" i="7" s="1"/>
  <c r="CY296" i="7"/>
  <c r="CY298" i="7" s="1"/>
  <c r="CY257" i="7"/>
  <c r="CY260" i="7" s="1"/>
  <c r="BN241" i="7"/>
  <c r="BO241" i="7"/>
  <c r="BQ241" i="7"/>
  <c r="BU241" i="7"/>
  <c r="CP188" i="7"/>
  <c r="CP189" i="7" s="1"/>
  <c r="CQ181" i="7"/>
  <c r="AP296" i="7"/>
  <c r="AP257" i="7"/>
  <c r="AP260" i="7" s="1"/>
  <c r="AP213" i="7"/>
  <c r="BT242" i="7"/>
  <c r="BT79" i="7"/>
  <c r="BT257" i="7" s="1"/>
  <c r="BT73" i="7"/>
  <c r="BM224" i="7"/>
  <c r="BM199" i="7"/>
  <c r="BM208" i="7" s="1"/>
  <c r="BM209" i="7" s="1"/>
  <c r="BM219" i="7" s="1"/>
  <c r="BV99" i="7"/>
  <c r="BV96" i="7"/>
  <c r="BV97" i="7" s="1"/>
  <c r="AE76" i="7"/>
  <c r="AE258" i="7" s="1"/>
  <c r="AE261" i="7" s="1"/>
  <c r="DD297" i="7"/>
  <c r="DD124" i="7"/>
  <c r="ET20" i="7"/>
  <c r="BK296" i="7"/>
  <c r="BK298" i="7" s="1"/>
  <c r="BK257" i="7"/>
  <c r="BK260" i="7" s="1"/>
  <c r="CT118" i="7"/>
  <c r="CU118" i="7" s="1"/>
  <c r="BH296" i="7"/>
  <c r="BH298" i="7" s="1"/>
  <c r="BH257" i="7"/>
  <c r="BH260" i="7" s="1"/>
  <c r="BQ242" i="7"/>
  <c r="BQ79" i="7"/>
  <c r="BQ257" i="7" s="1"/>
  <c r="BQ260" i="7" s="1"/>
  <c r="BQ73" i="7"/>
  <c r="S74" i="7"/>
  <c r="S76" i="7"/>
  <c r="S258" i="7" s="1"/>
  <c r="S261" i="7" s="1"/>
  <c r="J71" i="3"/>
  <c r="CO118" i="7"/>
  <c r="CP114" i="7"/>
  <c r="BT311" i="7"/>
  <c r="BT314" i="7" s="1"/>
  <c r="BT226" i="7"/>
  <c r="BT225" i="7"/>
  <c r="BT227" i="7"/>
  <c r="BT86" i="7"/>
  <c r="BT18" i="7"/>
  <c r="BT224" i="7"/>
  <c r="BT223" i="7"/>
  <c r="BT222" i="7"/>
  <c r="CA86" i="7"/>
  <c r="CA18" i="7"/>
  <c r="BT233" i="7"/>
  <c r="BT91" i="7"/>
  <c r="BT58" i="7"/>
  <c r="BT90" i="7" s="1"/>
  <c r="BA76" i="7"/>
  <c r="BA258" i="7" s="1"/>
  <c r="BA261" i="7" s="1"/>
  <c r="K74" i="7"/>
  <c r="K76" i="7"/>
  <c r="K258" i="7" s="1"/>
  <c r="K261" i="7" s="1"/>
  <c r="CO209" i="7"/>
  <c r="CO219" i="7" s="1"/>
  <c r="CO240" i="7"/>
  <c r="J34" i="3"/>
  <c r="BN191" i="7"/>
  <c r="BN227" i="7"/>
  <c r="CA242" i="7"/>
  <c r="CA79" i="7"/>
  <c r="CA257" i="7" s="1"/>
  <c r="CA73" i="7"/>
  <c r="DA296" i="7"/>
  <c r="DA298" i="7" s="1"/>
  <c r="DA257" i="7"/>
  <c r="DA260" i="7" s="1"/>
  <c r="BK97" i="7"/>
  <c r="BL96" i="7"/>
  <c r="BL97" i="7" s="1"/>
  <c r="DE74" i="7"/>
  <c r="DE76" i="7"/>
  <c r="DE258" i="7" s="1"/>
  <c r="DE261" i="7" s="1"/>
  <c r="DS296" i="7"/>
  <c r="DS298" i="7" s="1"/>
  <c r="DS257" i="7"/>
  <c r="DS260" i="7" s="1"/>
  <c r="DZ262" i="7" s="1"/>
  <c r="FD20" i="7"/>
  <c r="FJ20" i="7"/>
  <c r="BQ99" i="7"/>
  <c r="BQ96" i="7"/>
  <c r="BQ97" i="7" s="1"/>
  <c r="S296" i="7"/>
  <c r="S298" i="7" s="1"/>
  <c r="S257" i="7"/>
  <c r="S260" i="7" s="1"/>
  <c r="AN74" i="7"/>
  <c r="AN76" i="7"/>
  <c r="AN258" i="7" s="1"/>
  <c r="AN261" i="7" s="1"/>
  <c r="AV279" i="7"/>
  <c r="AV281" i="7" s="1"/>
  <c r="AU281" i="7"/>
  <c r="AX283" i="7" s="1"/>
  <c r="CO113" i="7"/>
  <c r="CP113" i="7" s="1"/>
  <c r="E31" i="3" s="1"/>
  <c r="CN164" i="7"/>
  <c r="BA296" i="7"/>
  <c r="BA298" i="7" s="1"/>
  <c r="BA257" i="7"/>
  <c r="BA260" i="7" s="1"/>
  <c r="K296" i="7"/>
  <c r="K257" i="7"/>
  <c r="K260" i="7" s="1"/>
  <c r="K262" i="7" s="1"/>
  <c r="CH271" i="7"/>
  <c r="CH272" i="7"/>
  <c r="AM76" i="7"/>
  <c r="AM258" i="7" s="1"/>
  <c r="AM261" i="7" s="1"/>
  <c r="AM74" i="7"/>
  <c r="AF74" i="7"/>
  <c r="AF76" i="7"/>
  <c r="AF258" i="7" s="1"/>
  <c r="AF261" i="7" s="1"/>
  <c r="DQ137" i="7"/>
  <c r="DQ67" i="7"/>
  <c r="CG96" i="7"/>
  <c r="CG97" i="7" s="1"/>
  <c r="CF97" i="7"/>
  <c r="CX76" i="7"/>
  <c r="CX258" i="7" s="1"/>
  <c r="CX261" i="7" s="1"/>
  <c r="U76" i="7"/>
  <c r="U258" i="7" s="1"/>
  <c r="U261" i="7" s="1"/>
  <c r="CA96" i="7"/>
  <c r="CA97" i="7" s="1"/>
  <c r="CA99" i="7"/>
  <c r="DN93" i="7"/>
  <c r="DN95" i="7" s="1"/>
  <c r="DN99" i="7" s="1"/>
  <c r="DN72" i="7"/>
  <c r="CV236" i="7"/>
  <c r="CV241" i="7" s="1"/>
  <c r="CV237" i="7"/>
  <c r="CV238" i="7"/>
  <c r="CV135" i="7"/>
  <c r="CV138" i="7"/>
  <c r="DQ281" i="7"/>
  <c r="DR279" i="7"/>
  <c r="DR281" i="7" s="1"/>
  <c r="BF97" i="7"/>
  <c r="BG97" i="7" s="1"/>
  <c r="BE98" i="7"/>
  <c r="BF98" i="7" s="1"/>
  <c r="CA124" i="7"/>
  <c r="CB120" i="7"/>
  <c r="C34" i="3" s="1"/>
  <c r="C38" i="3" s="1"/>
  <c r="AB74" i="7"/>
  <c r="AB76" i="7"/>
  <c r="AB258" i="7" s="1"/>
  <c r="AB261" i="7" s="1"/>
  <c r="BS296" i="7"/>
  <c r="BS298" i="7" s="1"/>
  <c r="BS257" i="7"/>
  <c r="BS260" i="7" s="1"/>
  <c r="AV97" i="7"/>
  <c r="AY96" i="7"/>
  <c r="DC155" i="7"/>
  <c r="DC158" i="7"/>
  <c r="DD156" i="7"/>
  <c r="AG271" i="7"/>
  <c r="AG272" i="7"/>
  <c r="AG273" i="7"/>
  <c r="AW271" i="7"/>
  <c r="AW272" i="7"/>
  <c r="AW273" i="7"/>
  <c r="AN296" i="7"/>
  <c r="AN298" i="7" s="1"/>
  <c r="AN257" i="7"/>
  <c r="AN260" i="7" s="1"/>
  <c r="J272" i="7"/>
  <c r="J271" i="7"/>
  <c r="J273" i="7"/>
  <c r="BL296" i="7"/>
  <c r="BL298" i="7" s="1"/>
  <c r="BL257" i="7"/>
  <c r="AJ93" i="7"/>
  <c r="AJ95" i="7" s="1"/>
  <c r="AJ96" i="7" s="1"/>
  <c r="AJ97" i="7" s="1"/>
  <c r="AJ72" i="7"/>
  <c r="AC93" i="7"/>
  <c r="AC95" i="7" s="1"/>
  <c r="AC97" i="7" s="1"/>
  <c r="AC72" i="7"/>
  <c r="AO242" i="7"/>
  <c r="AO79" i="7"/>
  <c r="AO257" i="7" s="1"/>
  <c r="AO260" i="7" s="1"/>
  <c r="AO73" i="7"/>
  <c r="AQ93" i="7"/>
  <c r="AQ95" i="7" s="1"/>
  <c r="AQ97" i="7" s="1"/>
  <c r="AQ72" i="7"/>
  <c r="AR67" i="7"/>
  <c r="BZ296" i="7"/>
  <c r="BZ257" i="7"/>
  <c r="AK242" i="7"/>
  <c r="AK79" i="7"/>
  <c r="AK257" i="7" s="1"/>
  <c r="AK73" i="7"/>
  <c r="CX296" i="7"/>
  <c r="CX298" i="7" s="1"/>
  <c r="CX257" i="7"/>
  <c r="CX260" i="7" s="1"/>
  <c r="U296" i="7"/>
  <c r="U298" i="7" s="1"/>
  <c r="U257" i="7"/>
  <c r="U260" i="7" s="1"/>
  <c r="DG97" i="7"/>
  <c r="BC76" i="7"/>
  <c r="BC258" i="7" s="1"/>
  <c r="BC261" i="7" s="1"/>
  <c r="AB296" i="7"/>
  <c r="AB298" i="7" s="1"/>
  <c r="AB257" i="7"/>
  <c r="AB260" i="7" s="1"/>
  <c r="DR109" i="7"/>
  <c r="DC164" i="7"/>
  <c r="DC114" i="7"/>
  <c r="I79" i="7"/>
  <c r="I257" i="7" s="1"/>
  <c r="I73" i="7"/>
  <c r="I76" i="7" s="1"/>
  <c r="I258" i="7" s="1"/>
  <c r="I261" i="7" s="1"/>
  <c r="BM76" i="7"/>
  <c r="BM258" i="7" s="1"/>
  <c r="BM261" i="7" s="1"/>
  <c r="DR296" i="7"/>
  <c r="DR298" i="7" s="1"/>
  <c r="DR257" i="7"/>
  <c r="DR260" i="7" s="1"/>
  <c r="DY262" i="7" s="1"/>
  <c r="BL76" i="7"/>
  <c r="BL258" i="7" s="1"/>
  <c r="E271" i="7"/>
  <c r="E272" i="7"/>
  <c r="E273" i="7"/>
  <c r="BR74" i="7"/>
  <c r="BR76" i="7"/>
  <c r="BR258" i="7" s="1"/>
  <c r="BR261" i="7" s="1"/>
  <c r="BL231" i="7"/>
  <c r="BM228" i="7"/>
  <c r="BL225" i="7"/>
  <c r="DR145" i="7"/>
  <c r="DR148" i="7"/>
  <c r="DM96" i="7"/>
  <c r="DM97" i="7" s="1"/>
  <c r="DN97" i="7" s="1"/>
  <c r="DM99" i="7"/>
  <c r="BO76" i="7"/>
  <c r="BO258" i="7" s="1"/>
  <c r="BO261" i="7" s="1"/>
  <c r="BO74" i="7"/>
  <c r="AF296" i="7"/>
  <c r="AF298" i="7" s="1"/>
  <c r="AF257" i="7"/>
  <c r="AF260" i="7" s="1"/>
  <c r="DM242" i="7"/>
  <c r="DM79" i="7"/>
  <c r="DM73" i="7"/>
  <c r="BZ251" i="7"/>
  <c r="BZ250" i="7"/>
  <c r="CZ76" i="7"/>
  <c r="CZ258" i="7" s="1"/>
  <c r="CZ261" i="7" s="1"/>
  <c r="Z74" i="7"/>
  <c r="Z76" i="7"/>
  <c r="Z258" i="7" s="1"/>
  <c r="Z261" i="7" s="1"/>
  <c r="AG263" i="7" s="1"/>
  <c r="H93" i="7"/>
  <c r="H95" i="7" s="1"/>
  <c r="H97" i="7" s="1"/>
  <c r="H72" i="7"/>
  <c r="DH76" i="7"/>
  <c r="DH258" i="7" s="1"/>
  <c r="DH261" i="7" s="1"/>
  <c r="D272" i="7"/>
  <c r="D271" i="7"/>
  <c r="D273" i="7"/>
  <c r="BV141" i="7"/>
  <c r="BV144" i="7" s="1"/>
  <c r="BV145" i="7" s="1"/>
  <c r="BX141" i="7"/>
  <c r="BX144" i="7" s="1"/>
  <c r="BX145" i="7" s="1"/>
  <c r="BU144" i="7"/>
  <c r="BU145" i="7" s="1"/>
  <c r="Y271" i="7"/>
  <c r="Y272" i="7"/>
  <c r="Y273" i="7"/>
  <c r="CO242" i="7"/>
  <c r="CO79" i="7"/>
  <c r="CO257" i="7" s="1"/>
  <c r="CO73" i="7"/>
  <c r="BR296" i="7"/>
  <c r="BR298" i="7" s="1"/>
  <c r="BR257" i="7"/>
  <c r="BR260" i="7" s="1"/>
  <c r="F78" i="4"/>
  <c r="E85" i="4"/>
  <c r="E87" i="4" s="1"/>
  <c r="E80" i="4"/>
  <c r="AR138" i="7" l="1"/>
  <c r="BL261" i="7"/>
  <c r="BL260" i="7"/>
  <c r="BS262" i="7" s="1"/>
  <c r="BM279" i="7"/>
  <c r="BM281" i="7" s="1"/>
  <c r="BQ283" i="7"/>
  <c r="BQ285" i="7" s="1"/>
  <c r="DO257" i="7"/>
  <c r="DO260" i="7" s="1"/>
  <c r="DV262" i="7" s="1"/>
  <c r="DW16" i="7"/>
  <c r="ED85" i="7" s="1"/>
  <c r="AO262" i="7"/>
  <c r="L35" i="3"/>
  <c r="AX253" i="7"/>
  <c r="AX255" i="7" s="1"/>
  <c r="AY255" i="7" s="1"/>
  <c r="AY254" i="7" s="1"/>
  <c r="AW247" i="7"/>
  <c r="DR76" i="7"/>
  <c r="DR258" i="7" s="1"/>
  <c r="DR261" i="7" s="1"/>
  <c r="DY263" i="7" s="1"/>
  <c r="CU296" i="7"/>
  <c r="CU298" i="7" s="1"/>
  <c r="BW76" i="7"/>
  <c r="BW258" i="7" s="1"/>
  <c r="BW261" i="7" s="1"/>
  <c r="Y262" i="7"/>
  <c r="DO76" i="7"/>
  <c r="DO258" i="7" s="1"/>
  <c r="DO261" i="7" s="1"/>
  <c r="DV263" i="7" s="1"/>
  <c r="AF262" i="7"/>
  <c r="DO74" i="7"/>
  <c r="U74" i="7"/>
  <c r="DO296" i="7"/>
  <c r="DO298" i="7" s="1"/>
  <c r="Q22" i="7"/>
  <c r="DP85" i="7"/>
  <c r="DI49" i="7"/>
  <c r="DI17" i="7"/>
  <c r="DI58" i="7" s="1"/>
  <c r="DI90" i="7" s="1"/>
  <c r="DR74" i="7"/>
  <c r="N257" i="7"/>
  <c r="N260" i="7" s="1"/>
  <c r="N262" i="7" s="1"/>
  <c r="AQ17" i="7"/>
  <c r="AQ223" i="7" s="1"/>
  <c r="AX223" i="7" s="1"/>
  <c r="AQ49" i="7"/>
  <c r="AQ85" i="7"/>
  <c r="CG233" i="7"/>
  <c r="AH73" i="7"/>
  <c r="AH76" i="7" s="1"/>
  <c r="AH258" i="7" s="1"/>
  <c r="AH261" i="7" s="1"/>
  <c r="AH272" i="7" s="1"/>
  <c r="AL296" i="7"/>
  <c r="AL298" i="7" s="1"/>
  <c r="AH242" i="7"/>
  <c r="BZ298" i="7"/>
  <c r="N76" i="7"/>
  <c r="N258" i="7" s="1"/>
  <c r="N261" i="7" s="1"/>
  <c r="N272" i="7" s="1"/>
  <c r="BX109" i="7"/>
  <c r="L257" i="7"/>
  <c r="L260" i="7" s="1"/>
  <c r="L262" i="7" s="1"/>
  <c r="AN262" i="7"/>
  <c r="CS76" i="7"/>
  <c r="CS258" i="7" s="1"/>
  <c r="CS261" i="7" s="1"/>
  <c r="F273" i="7"/>
  <c r="AI30" i="3"/>
  <c r="BQ262" i="7"/>
  <c r="F271" i="7"/>
  <c r="CG232" i="7"/>
  <c r="CG106" i="7" s="1"/>
  <c r="DX85" i="7"/>
  <c r="EE85" i="7"/>
  <c r="CG257" i="7"/>
  <c r="CG260" i="7" s="1"/>
  <c r="CD257" i="7"/>
  <c r="CD260" i="7" s="1"/>
  <c r="CR257" i="7"/>
  <c r="CR260" i="7" s="1"/>
  <c r="CY262" i="7" s="1"/>
  <c r="BA74" i="7"/>
  <c r="EW178" i="7"/>
  <c r="O46" i="3"/>
  <c r="EW187" i="7"/>
  <c r="O52" i="3"/>
  <c r="EW183" i="7"/>
  <c r="O49" i="3"/>
  <c r="EW194" i="7"/>
  <c r="O58" i="3"/>
  <c r="EV185" i="7"/>
  <c r="N51" i="3"/>
  <c r="EW205" i="7"/>
  <c r="O66" i="3"/>
  <c r="EW195" i="7"/>
  <c r="O59" i="3"/>
  <c r="EW202" i="7"/>
  <c r="O63" i="3"/>
  <c r="EW212" i="7"/>
  <c r="EX212" i="7" s="1"/>
  <c r="EY212" i="7" s="1"/>
  <c r="O72" i="3"/>
  <c r="EW215" i="7"/>
  <c r="O74" i="3"/>
  <c r="EW206" i="7"/>
  <c r="O67" i="3"/>
  <c r="EW182" i="7"/>
  <c r="O48" i="3"/>
  <c r="EW203" i="7"/>
  <c r="O64" i="3"/>
  <c r="DB74" i="7"/>
  <c r="CX74" i="7"/>
  <c r="BL74" i="7"/>
  <c r="AL74" i="7"/>
  <c r="AL257" i="7"/>
  <c r="AL260" i="7" s="1"/>
  <c r="AK260" i="7" s="1"/>
  <c r="CD74" i="7"/>
  <c r="AV76" i="7"/>
  <c r="AV258" i="7" s="1"/>
  <c r="AV261" i="7" s="1"/>
  <c r="BC263" i="7" s="1"/>
  <c r="BF158" i="7"/>
  <c r="ES255" i="7"/>
  <c r="ET247" i="7"/>
  <c r="DX103" i="7"/>
  <c r="DW103" i="7" s="1"/>
  <c r="DW290" i="7" s="1"/>
  <c r="DU58" i="7"/>
  <c r="DU90" i="7" s="1"/>
  <c r="BE257" i="7"/>
  <c r="BE260" i="7" s="1"/>
  <c r="DU86" i="7"/>
  <c r="DU91" i="7"/>
  <c r="DU226" i="7"/>
  <c r="DU223" i="7"/>
  <c r="DU224" i="7"/>
  <c r="DU227" i="7"/>
  <c r="X74" i="7"/>
  <c r="AT76" i="7"/>
  <c r="AT258" i="7" s="1"/>
  <c r="AT261" i="7" s="1"/>
  <c r="BI296" i="7"/>
  <c r="BI298" i="7" s="1"/>
  <c r="DB296" i="7"/>
  <c r="DB298" i="7" s="1"/>
  <c r="AS89" i="7"/>
  <c r="AS16" i="7"/>
  <c r="AS85" i="7" s="1"/>
  <c r="AS83" i="7"/>
  <c r="AZ83" i="7"/>
  <c r="AX241" i="7"/>
  <c r="CR109" i="7"/>
  <c r="CS109" i="7" s="1"/>
  <c r="CS110" i="7" s="1"/>
  <c r="CS127" i="7" s="1"/>
  <c r="CS126" i="7" s="1"/>
  <c r="CG74" i="7"/>
  <c r="BJ76" i="7"/>
  <c r="BJ258" i="7" s="1"/>
  <c r="BJ261" i="7" s="1"/>
  <c r="BJ263" i="7" s="1"/>
  <c r="EB18" i="7"/>
  <c r="BC225" i="7"/>
  <c r="AR83" i="7"/>
  <c r="DU79" i="7"/>
  <c r="DU257" i="7" s="1"/>
  <c r="DU260" i="7" s="1"/>
  <c r="EB262" i="7" s="1"/>
  <c r="BF155" i="7"/>
  <c r="AV74" i="7"/>
  <c r="BP257" i="7"/>
  <c r="BP260" i="7" s="1"/>
  <c r="BP262" i="7" s="1"/>
  <c r="AR16" i="7"/>
  <c r="AR85" i="7" s="1"/>
  <c r="DU225" i="7"/>
  <c r="DU18" i="7"/>
  <c r="AR89" i="7"/>
  <c r="DU222" i="7"/>
  <c r="DU233" i="7"/>
  <c r="DU311" i="7"/>
  <c r="DU314" i="7" s="1"/>
  <c r="DX49" i="7"/>
  <c r="BP74" i="7"/>
  <c r="DX17" i="7"/>
  <c r="CN74" i="7"/>
  <c r="BI76" i="7"/>
  <c r="BI258" i="7" s="1"/>
  <c r="BI261" i="7" s="1"/>
  <c r="BE74" i="7"/>
  <c r="CZ109" i="7"/>
  <c r="CZ110" i="7" s="1"/>
  <c r="CZ128" i="7" s="1"/>
  <c r="DG242" i="7"/>
  <c r="CF76" i="7"/>
  <c r="CF258" i="7" s="1"/>
  <c r="CF261" i="7" s="1"/>
  <c r="CQ257" i="7"/>
  <c r="CQ260" i="7" s="1"/>
  <c r="CX262" i="7" s="1"/>
  <c r="AE257" i="7"/>
  <c r="AE260" i="7" s="1"/>
  <c r="AD260" i="7" s="1"/>
  <c r="CT74" i="7"/>
  <c r="CQ74" i="7"/>
  <c r="BU72" i="7"/>
  <c r="BU242" i="7" s="1"/>
  <c r="DE257" i="7"/>
  <c r="DE260" i="7" s="1"/>
  <c r="DE262" i="7" s="1"/>
  <c r="CM74" i="7"/>
  <c r="DK76" i="7"/>
  <c r="DK258" i="7" s="1"/>
  <c r="DK261" i="7" s="1"/>
  <c r="H16" i="3" s="1"/>
  <c r="CT257" i="7"/>
  <c r="CT260" i="7" s="1"/>
  <c r="CT262" i="7" s="1"/>
  <c r="DT74" i="7"/>
  <c r="DT76" i="7"/>
  <c r="DT258" i="7" s="1"/>
  <c r="DT261" i="7" s="1"/>
  <c r="CJ76" i="7"/>
  <c r="CJ258" i="7" s="1"/>
  <c r="CJ261" i="7" s="1"/>
  <c r="DL257" i="7"/>
  <c r="DL260" i="7" s="1"/>
  <c r="CM296" i="7"/>
  <c r="CM298" i="7" s="1"/>
  <c r="DL296" i="7"/>
  <c r="DL298" i="7" s="1"/>
  <c r="BD296" i="7"/>
  <c r="BD298" i="7" s="1"/>
  <c r="CN296" i="7"/>
  <c r="CN298" i="7" s="1"/>
  <c r="BD74" i="7"/>
  <c r="BD76" i="7"/>
  <c r="BD258" i="7" s="1"/>
  <c r="BD261" i="7" s="1"/>
  <c r="BS76" i="7"/>
  <c r="BS258" i="7" s="1"/>
  <c r="BS261" i="7" s="1"/>
  <c r="AW262" i="7"/>
  <c r="DU242" i="7"/>
  <c r="DU73" i="7"/>
  <c r="EB74" i="7" s="1"/>
  <c r="DT296" i="7"/>
  <c r="DT298" i="7" s="1"/>
  <c r="CA279" i="7"/>
  <c r="CB279" i="7" s="1"/>
  <c r="CB281" i="7" s="1"/>
  <c r="DK296" i="7"/>
  <c r="DK298" i="7" s="1"/>
  <c r="CU74" i="7"/>
  <c r="CF257" i="7"/>
  <c r="CF260" i="7" s="1"/>
  <c r="CF262" i="7" s="1"/>
  <c r="AE74" i="7"/>
  <c r="BT96" i="7"/>
  <c r="BT97" i="7" s="1"/>
  <c r="BZ74" i="7"/>
  <c r="CN76" i="7"/>
  <c r="CN258" i="7" s="1"/>
  <c r="CJ257" i="7"/>
  <c r="CJ260" i="7" s="1"/>
  <c r="BW257" i="7"/>
  <c r="BW260" i="7" s="1"/>
  <c r="P260" i="7"/>
  <c r="P262" i="7" s="1"/>
  <c r="DK257" i="7"/>
  <c r="DK260" i="7" s="1"/>
  <c r="H19" i="3" s="1"/>
  <c r="DG79" i="7"/>
  <c r="DG257" i="7" s="1"/>
  <c r="DG260" i="7" s="1"/>
  <c r="DG262" i="7" s="1"/>
  <c r="M74" i="7"/>
  <c r="BD262" i="7"/>
  <c r="DH74" i="7"/>
  <c r="DA74" i="7"/>
  <c r="X296" i="7"/>
  <c r="X298" i="7" s="1"/>
  <c r="DL76" i="7"/>
  <c r="DL258" i="7" s="1"/>
  <c r="DL261" i="7" s="1"/>
  <c r="DB76" i="7"/>
  <c r="DB258" i="7" s="1"/>
  <c r="DJ73" i="7"/>
  <c r="DJ76" i="7" s="1"/>
  <c r="DJ258" i="7" s="1"/>
  <c r="DJ261" i="7" s="1"/>
  <c r="AX76" i="7"/>
  <c r="AX258" i="7" s="1"/>
  <c r="DJ79" i="7"/>
  <c r="DJ257" i="7" s="1"/>
  <c r="DS74" i="7"/>
  <c r="DZ74" i="7"/>
  <c r="DR158" i="7"/>
  <c r="BF93" i="7"/>
  <c r="BF95" i="7" s="1"/>
  <c r="BF99" i="7" s="1"/>
  <c r="BF72" i="7"/>
  <c r="DF257" i="7"/>
  <c r="DF260" i="7" s="1"/>
  <c r="DF262" i="7" s="1"/>
  <c r="O73" i="7"/>
  <c r="O76" i="7" s="1"/>
  <c r="O258" i="7" s="1"/>
  <c r="O261" i="7" s="1"/>
  <c r="O273" i="7" s="1"/>
  <c r="O242" i="7"/>
  <c r="O79" i="7"/>
  <c r="AR104" i="7"/>
  <c r="DZ263" i="7"/>
  <c r="BB233" i="7"/>
  <c r="CB86" i="7"/>
  <c r="AD28" i="3" s="1"/>
  <c r="BU225" i="7"/>
  <c r="BB232" i="7"/>
  <c r="BB106" i="7" s="1"/>
  <c r="BB109" i="7" s="1"/>
  <c r="CK109" i="7"/>
  <c r="CK271" i="7"/>
  <c r="AR137" i="7"/>
  <c r="BX93" i="7"/>
  <c r="BX95" i="7" s="1"/>
  <c r="BX96" i="7" s="1"/>
  <c r="BX97" i="7" s="1"/>
  <c r="BA233" i="7"/>
  <c r="DW315" i="7"/>
  <c r="DW240" i="7"/>
  <c r="DW137" i="7"/>
  <c r="DW36" i="7"/>
  <c r="DW241" i="7"/>
  <c r="DW57" i="7"/>
  <c r="DW50" i="7"/>
  <c r="DW67" i="7"/>
  <c r="DX93" i="7"/>
  <c r="DX95" i="7" s="1"/>
  <c r="DX72" i="7"/>
  <c r="DK209" i="7"/>
  <c r="DK219" i="7" s="1"/>
  <c r="DX109" i="7"/>
  <c r="DW109" i="7" s="1"/>
  <c r="CW97" i="7"/>
  <c r="CR74" i="7"/>
  <c r="CY74" i="7"/>
  <c r="CK272" i="7"/>
  <c r="DF74" i="7"/>
  <c r="CB18" i="7"/>
  <c r="BU86" i="7"/>
  <c r="BU223" i="7"/>
  <c r="BU226" i="7"/>
  <c r="BU58" i="7"/>
  <c r="BU90" i="7" s="1"/>
  <c r="BU222" i="7"/>
  <c r="BU227" i="7"/>
  <c r="BU224" i="7"/>
  <c r="BU311" i="7"/>
  <c r="BU314" i="7" s="1"/>
  <c r="BU233" i="7"/>
  <c r="EU193" i="7"/>
  <c r="M57" i="3"/>
  <c r="BU91" i="7"/>
  <c r="G71" i="4"/>
  <c r="DC242" i="7"/>
  <c r="DC79" i="7"/>
  <c r="DC257" i="7" s="1"/>
  <c r="DC73" i="7"/>
  <c r="DC96" i="7"/>
  <c r="DC97" i="7" s="1"/>
  <c r="DD97" i="7" s="1"/>
  <c r="DC99" i="7"/>
  <c r="CJ74" i="7"/>
  <c r="CK273" i="7"/>
  <c r="DK240" i="7"/>
  <c r="AI44" i="3" s="1"/>
  <c r="DD85" i="7"/>
  <c r="CW17" i="7"/>
  <c r="CW49" i="7"/>
  <c r="DI114" i="7"/>
  <c r="AZ164" i="7"/>
  <c r="AZ168" i="7" s="1"/>
  <c r="AZ114" i="7"/>
  <c r="AZ118" i="7" s="1"/>
  <c r="AZ127" i="7" s="1"/>
  <c r="T242" i="7"/>
  <c r="T79" i="7"/>
  <c r="T257" i="7" s="1"/>
  <c r="T260" i="7" s="1"/>
  <c r="W260" i="7" s="1"/>
  <c r="T73" i="7"/>
  <c r="DI118" i="7"/>
  <c r="CB72" i="7"/>
  <c r="C15" i="3" s="1"/>
  <c r="CB93" i="7"/>
  <c r="CB95" i="7" s="1"/>
  <c r="CB96" i="7" s="1"/>
  <c r="DP240" i="7"/>
  <c r="CK296" i="7"/>
  <c r="CK298" i="7" s="1"/>
  <c r="CK257" i="7"/>
  <c r="CK260" i="7" s="1"/>
  <c r="CK74" i="7"/>
  <c r="BR262" i="7"/>
  <c r="CC273" i="7"/>
  <c r="CC271" i="7"/>
  <c r="CC272" i="7"/>
  <c r="DP315" i="7"/>
  <c r="DP36" i="7"/>
  <c r="AV232" i="7"/>
  <c r="AV106" i="7" s="1"/>
  <c r="AU106" i="7" s="1"/>
  <c r="AV233" i="7"/>
  <c r="AW232" i="7"/>
  <c r="AW106" i="7" s="1"/>
  <c r="AW109" i="7" s="1"/>
  <c r="DI72" i="7"/>
  <c r="DI79" i="7" s="1"/>
  <c r="DP67" i="7"/>
  <c r="DP137" i="7"/>
  <c r="CK263" i="7"/>
  <c r="DP50" i="7"/>
  <c r="AZ209" i="7"/>
  <c r="AZ219" i="7" s="1"/>
  <c r="DP241" i="7"/>
  <c r="DP57" i="7"/>
  <c r="DP58" i="7" s="1"/>
  <c r="DP90" i="7" s="1"/>
  <c r="BC240" i="7"/>
  <c r="DP49" i="7"/>
  <c r="AZ240" i="7"/>
  <c r="AY242" i="7"/>
  <c r="AY79" i="7"/>
  <c r="AY257" i="7" s="1"/>
  <c r="AY73" i="7"/>
  <c r="AY76" i="7" s="1"/>
  <c r="AY258" i="7" s="1"/>
  <c r="AY261" i="7" s="1"/>
  <c r="AY273" i="7" s="1"/>
  <c r="BG155" i="7"/>
  <c r="DN240" i="7"/>
  <c r="CV113" i="7"/>
  <c r="CV164" i="7" s="1"/>
  <c r="BG240" i="7"/>
  <c r="DL240" i="7"/>
  <c r="CE128" i="7"/>
  <c r="CE127" i="7"/>
  <c r="CF110" i="7"/>
  <c r="CF109" i="7" s="1"/>
  <c r="I19" i="3"/>
  <c r="BZ260" i="7"/>
  <c r="CI97" i="7"/>
  <c r="F24" i="3"/>
  <c r="CW290" i="7"/>
  <c r="AI169" i="7"/>
  <c r="AJ168" i="7"/>
  <c r="AJ169" i="7" s="1"/>
  <c r="AV56" i="7"/>
  <c r="AZ77" i="7"/>
  <c r="CA165" i="7"/>
  <c r="CB116" i="7"/>
  <c r="CB314" i="7"/>
  <c r="DI99" i="7"/>
  <c r="BG93" i="7"/>
  <c r="BG95" i="7" s="1"/>
  <c r="BG99" i="7" s="1"/>
  <c r="BG72" i="7"/>
  <c r="BS113" i="7"/>
  <c r="BS118" i="7"/>
  <c r="CE240" i="7"/>
  <c r="CB209" i="7"/>
  <c r="CB219" i="7" s="1"/>
  <c r="CC240" i="7"/>
  <c r="CI240" i="7"/>
  <c r="CI103" i="7"/>
  <c r="D8" i="3"/>
  <c r="CI91" i="7"/>
  <c r="CI138" i="7"/>
  <c r="AE41" i="3" s="1"/>
  <c r="G12" i="3"/>
  <c r="DD93" i="7"/>
  <c r="DD95" i="7" s="1"/>
  <c r="DD72" i="7"/>
  <c r="F15" i="3"/>
  <c r="CW242" i="7"/>
  <c r="CW79" i="7"/>
  <c r="CW73" i="7"/>
  <c r="BU138" i="7"/>
  <c r="BU103" i="7"/>
  <c r="BU290" i="7" s="1"/>
  <c r="DP311" i="7"/>
  <c r="DP226" i="7"/>
  <c r="DP222" i="7"/>
  <c r="DP227" i="7"/>
  <c r="DP224" i="7"/>
  <c r="DP225" i="7"/>
  <c r="DP233" i="7"/>
  <c r="DP223" i="7"/>
  <c r="CO164" i="7"/>
  <c r="AZ138" i="7"/>
  <c r="AZ91" i="7"/>
  <c r="G8" i="3"/>
  <c r="DD91" i="7"/>
  <c r="DD138" i="7"/>
  <c r="AH41" i="3" s="1"/>
  <c r="DD103" i="7"/>
  <c r="BY113" i="7"/>
  <c r="BY164" i="7" s="1"/>
  <c r="BY118" i="7"/>
  <c r="BZ114" i="7"/>
  <c r="CW99" i="7"/>
  <c r="CW96" i="7"/>
  <c r="AQ161" i="7"/>
  <c r="AQ113" i="7"/>
  <c r="CB240" i="7"/>
  <c r="DA141" i="7"/>
  <c r="DA144" i="7" s="1"/>
  <c r="DA145" i="7" s="1"/>
  <c r="CZ144" i="7"/>
  <c r="CZ145" i="7" s="1"/>
  <c r="BG103" i="7"/>
  <c r="BG290" i="7" s="1"/>
  <c r="BG91" i="7"/>
  <c r="BG138" i="7"/>
  <c r="F60" i="3"/>
  <c r="F69" i="3"/>
  <c r="F70" i="3" s="1"/>
  <c r="CP67" i="7"/>
  <c r="CP50" i="7"/>
  <c r="CP49" i="7"/>
  <c r="CP36" i="7"/>
  <c r="E10" i="3"/>
  <c r="CP315" i="7"/>
  <c r="CP57" i="7"/>
  <c r="CP137" i="7"/>
  <c r="AF40" i="3" s="1"/>
  <c r="CW50" i="7"/>
  <c r="AW275" i="7"/>
  <c r="AV277" i="7"/>
  <c r="BX138" i="7"/>
  <c r="BX103" i="7"/>
  <c r="BX91" i="7"/>
  <c r="DI138" i="7"/>
  <c r="D12" i="3"/>
  <c r="CI93" i="7"/>
  <c r="CI95" i="7" s="1"/>
  <c r="CI99" i="7" s="1"/>
  <c r="CI72" i="7"/>
  <c r="CP85" i="7"/>
  <c r="CP17" i="7"/>
  <c r="CW85" i="7"/>
  <c r="AS103" i="7"/>
  <c r="AS290" i="7" s="1"/>
  <c r="AS138" i="7"/>
  <c r="DQ91" i="7"/>
  <c r="DQ138" i="7"/>
  <c r="CC296" i="7"/>
  <c r="CC298" i="7" s="1"/>
  <c r="CC257" i="7"/>
  <c r="CC260" i="7" s="1"/>
  <c r="CL79" i="7"/>
  <c r="CL257" i="7" s="1"/>
  <c r="CL260" i="7" s="1"/>
  <c r="CL73" i="7"/>
  <c r="CL242" i="7"/>
  <c r="CB91" i="7"/>
  <c r="C8" i="3"/>
  <c r="CB138" i="7"/>
  <c r="AD41" i="3" s="1"/>
  <c r="AL258" i="7"/>
  <c r="AL261" i="7" s="1"/>
  <c r="AL272" i="7" s="1"/>
  <c r="BZ261" i="7"/>
  <c r="CP118" i="7"/>
  <c r="E33" i="3" s="1"/>
  <c r="E32" i="3" s="1"/>
  <c r="BB263" i="7"/>
  <c r="AG38" i="3"/>
  <c r="AD180" i="3"/>
  <c r="BG314" i="7"/>
  <c r="AZ93" i="7"/>
  <c r="AZ95" i="7" s="1"/>
  <c r="AZ72" i="7"/>
  <c r="CP241" i="7"/>
  <c r="CL96" i="7"/>
  <c r="CL97" i="7" s="1"/>
  <c r="CP97" i="7" s="1"/>
  <c r="CL99" i="7"/>
  <c r="DQ314" i="7"/>
  <c r="DD314" i="7"/>
  <c r="AZ314" i="7"/>
  <c r="AP227" i="7"/>
  <c r="AP233" i="7"/>
  <c r="AQ232" i="7"/>
  <c r="AQ106" i="7" s="1"/>
  <c r="AQ109" i="7" s="1"/>
  <c r="AP232" i="7"/>
  <c r="AP106" i="7" s="1"/>
  <c r="AP109" i="7" s="1"/>
  <c r="DJ109" i="7"/>
  <c r="BH262" i="7"/>
  <c r="Z262" i="7"/>
  <c r="DQ109" i="7"/>
  <c r="DP109" i="7" s="1"/>
  <c r="I27" i="3"/>
  <c r="I29" i="3" s="1"/>
  <c r="AB262" i="7"/>
  <c r="DN98" i="7"/>
  <c r="DN96" i="7"/>
  <c r="CA76" i="7"/>
  <c r="CA258" i="7" s="1"/>
  <c r="CA261" i="7" s="1"/>
  <c r="CA74" i="7"/>
  <c r="CH74" i="7"/>
  <c r="L272" i="7"/>
  <c r="L271" i="7"/>
  <c r="L263" i="7"/>
  <c r="L273" i="7"/>
  <c r="CI231" i="7"/>
  <c r="CI225" i="7"/>
  <c r="K298" i="7"/>
  <c r="K299" i="7" s="1"/>
  <c r="DE272" i="7"/>
  <c r="DE263" i="7"/>
  <c r="DE271" i="7"/>
  <c r="DE273" i="7"/>
  <c r="BA271" i="7"/>
  <c r="BA272" i="7"/>
  <c r="BA273" i="7"/>
  <c r="DS272" i="7"/>
  <c r="DS271" i="7"/>
  <c r="DS273" i="7"/>
  <c r="BT76" i="7"/>
  <c r="BT258" i="7" s="1"/>
  <c r="BT261" i="7" s="1"/>
  <c r="BT74" i="7"/>
  <c r="BH272" i="7"/>
  <c r="BH271" i="7"/>
  <c r="BH263" i="7"/>
  <c r="BH273" i="7"/>
  <c r="BV76" i="7"/>
  <c r="BV258" i="7" s="1"/>
  <c r="BV261" i="7" s="1"/>
  <c r="BV74" i="7"/>
  <c r="CC74" i="7"/>
  <c r="AI262" i="7"/>
  <c r="BJ233" i="7"/>
  <c r="BK232" i="7"/>
  <c r="BK106" i="7" s="1"/>
  <c r="BK109" i="7" s="1"/>
  <c r="BR272" i="7"/>
  <c r="BR271" i="7"/>
  <c r="BR263" i="7"/>
  <c r="BR273" i="7"/>
  <c r="U271" i="7"/>
  <c r="U272" i="7"/>
  <c r="U273" i="7"/>
  <c r="CE283" i="7"/>
  <c r="CD285" i="7"/>
  <c r="DQ93" i="7"/>
  <c r="DQ95" i="7" s="1"/>
  <c r="DQ72" i="7"/>
  <c r="BC233" i="7"/>
  <c r="BD232" i="7"/>
  <c r="BD106" i="7" s="1"/>
  <c r="BD109" i="7" s="1"/>
  <c r="BK262" i="7"/>
  <c r="AG262" i="7"/>
  <c r="CD272" i="7"/>
  <c r="CD271" i="7"/>
  <c r="CD273" i="7"/>
  <c r="BV296" i="7"/>
  <c r="BV298" i="7" s="1"/>
  <c r="BV257" i="7"/>
  <c r="BV260" i="7" s="1"/>
  <c r="DG128" i="7"/>
  <c r="DJ128" i="7" s="1"/>
  <c r="DH110" i="7"/>
  <c r="DJ110" i="7"/>
  <c r="DG127" i="7"/>
  <c r="DJ127" i="7" s="1"/>
  <c r="CL285" i="7"/>
  <c r="CP283" i="7"/>
  <c r="CP285" i="7" s="1"/>
  <c r="DD155" i="7"/>
  <c r="DD158" i="7"/>
  <c r="M272" i="7"/>
  <c r="M263" i="7"/>
  <c r="M271" i="7"/>
  <c r="M273" i="7"/>
  <c r="BK271" i="7"/>
  <c r="BK272" i="7"/>
  <c r="BK273" i="7"/>
  <c r="P272" i="7"/>
  <c r="P263" i="7"/>
  <c r="P271" i="7"/>
  <c r="P273" i="7"/>
  <c r="AP271" i="7"/>
  <c r="AP263" i="7"/>
  <c r="AP272" i="7"/>
  <c r="AP273" i="7"/>
  <c r="Q300" i="7"/>
  <c r="X294" i="7"/>
  <c r="R294" i="7"/>
  <c r="R299" i="7" s="1"/>
  <c r="W76" i="7"/>
  <c r="W258" i="7" s="1"/>
  <c r="W261" i="7" s="1"/>
  <c r="W74" i="7"/>
  <c r="BL232" i="7"/>
  <c r="BL106" i="7" s="1"/>
  <c r="BL109" i="7" s="1"/>
  <c r="BL233" i="7"/>
  <c r="AN272" i="7"/>
  <c r="AN271" i="7"/>
  <c r="AN263" i="7"/>
  <c r="AN273" i="7"/>
  <c r="DU96" i="7"/>
  <c r="DU98" i="7"/>
  <c r="CZ272" i="7"/>
  <c r="CZ273" i="7"/>
  <c r="EU223" i="7"/>
  <c r="BG98" i="7"/>
  <c r="CQ272" i="7"/>
  <c r="CQ271" i="7"/>
  <c r="CQ273" i="7"/>
  <c r="H79" i="7"/>
  <c r="H257" i="7" s="1"/>
  <c r="H260" i="7" s="1"/>
  <c r="H73" i="7"/>
  <c r="AS104" i="7"/>
  <c r="AS137" i="7"/>
  <c r="BM272" i="7"/>
  <c r="BM265" i="7"/>
  <c r="AO76" i="7"/>
  <c r="AO258" i="7" s="1"/>
  <c r="AO261" i="7" s="1"/>
  <c r="AJ242" i="7"/>
  <c r="AJ73" i="7"/>
  <c r="AJ79" i="7"/>
  <c r="AF272" i="7"/>
  <c r="AF271" i="7"/>
  <c r="AF263" i="7"/>
  <c r="AF273" i="7"/>
  <c r="S271" i="7"/>
  <c r="S272" i="7"/>
  <c r="S263" i="7"/>
  <c r="S273" i="7"/>
  <c r="CM272" i="7"/>
  <c r="CM271" i="7"/>
  <c r="CM273" i="7"/>
  <c r="CT117" i="7"/>
  <c r="AE263" i="7"/>
  <c r="AE272" i="7"/>
  <c r="AE271" i="7"/>
  <c r="AE273" i="7"/>
  <c r="X262" i="7"/>
  <c r="AP218" i="7"/>
  <c r="AP236" i="7"/>
  <c r="AP242" i="7"/>
  <c r="EU29" i="7"/>
  <c r="AA272" i="7"/>
  <c r="AA271" i="7"/>
  <c r="AA273" i="7"/>
  <c r="P74" i="7"/>
  <c r="FG20" i="7"/>
  <c r="FM20" i="7"/>
  <c r="AD74" i="7"/>
  <c r="AD76" i="7"/>
  <c r="AD258" i="7" s="1"/>
  <c r="AD261" i="7" s="1"/>
  <c r="DH262" i="7"/>
  <c r="BO262" i="7"/>
  <c r="DM296" i="7"/>
  <c r="DM298" i="7" s="1"/>
  <c r="DM257" i="7"/>
  <c r="DM260" i="7" s="1"/>
  <c r="DG98" i="7"/>
  <c r="DG96" i="7"/>
  <c r="EV222" i="7"/>
  <c r="EX223" i="7"/>
  <c r="DF272" i="7"/>
  <c r="DF263" i="7"/>
  <c r="CY271" i="7"/>
  <c r="CY272" i="7"/>
  <c r="CY273" i="7"/>
  <c r="CY263" i="7"/>
  <c r="DG76" i="7"/>
  <c r="DG258" i="7" s="1"/>
  <c r="DG261" i="7" s="1"/>
  <c r="DG74" i="7"/>
  <c r="AX285" i="7"/>
  <c r="AY283" i="7"/>
  <c r="AB272" i="7"/>
  <c r="AB271" i="7"/>
  <c r="AB263" i="7"/>
  <c r="AB273" i="7"/>
  <c r="CO74" i="7"/>
  <c r="CO76" i="7"/>
  <c r="CO258" i="7" s="1"/>
  <c r="CO261" i="7" s="1"/>
  <c r="CV263" i="7" s="1"/>
  <c r="X272" i="7"/>
  <c r="X263" i="7"/>
  <c r="X273" i="7"/>
  <c r="X271" i="7"/>
  <c r="I272" i="7"/>
  <c r="I271" i="7"/>
  <c r="I273" i="7"/>
  <c r="CB297" i="7"/>
  <c r="CB124" i="7"/>
  <c r="DN242" i="7"/>
  <c r="DN79" i="7"/>
  <c r="DN73" i="7"/>
  <c r="CV74" i="7"/>
  <c r="CE272" i="7"/>
  <c r="CE265" i="7"/>
  <c r="CU117" i="7"/>
  <c r="AP262" i="7"/>
  <c r="CR181" i="7"/>
  <c r="CQ188" i="7"/>
  <c r="CQ189" i="7" s="1"/>
  <c r="R262" i="7"/>
  <c r="EZ29" i="7"/>
  <c r="AU271" i="7"/>
  <c r="AU272" i="7"/>
  <c r="AU263" i="7"/>
  <c r="AU273" i="7"/>
  <c r="FA20" i="7"/>
  <c r="V242" i="7"/>
  <c r="V79" i="7"/>
  <c r="V73" i="7"/>
  <c r="BY271" i="7"/>
  <c r="BY272" i="7"/>
  <c r="BY263" i="7"/>
  <c r="BY273" i="7"/>
  <c r="EU222" i="7"/>
  <c r="BN229" i="7"/>
  <c r="BN226" i="7" s="1"/>
  <c r="BM226" i="7"/>
  <c r="AM262" i="7"/>
  <c r="AI272" i="7"/>
  <c r="AI271" i="7"/>
  <c r="AI263" i="7"/>
  <c r="AI273" i="7"/>
  <c r="BL272" i="7"/>
  <c r="BL271" i="7"/>
  <c r="BL263" i="7"/>
  <c r="BL273" i="7"/>
  <c r="BN296" i="7"/>
  <c r="BN298" i="7" s="1"/>
  <c r="BN257" i="7"/>
  <c r="BN260" i="7" s="1"/>
  <c r="AC242" i="7"/>
  <c r="AC79" i="7"/>
  <c r="AC73" i="7"/>
  <c r="CX271" i="7"/>
  <c r="CX272" i="7"/>
  <c r="CX263" i="7"/>
  <c r="CX273" i="7"/>
  <c r="BO272" i="7"/>
  <c r="BO271" i="7"/>
  <c r="BO263" i="7"/>
  <c r="BO273" i="7"/>
  <c r="CV272" i="7"/>
  <c r="CV273" i="7"/>
  <c r="BX242" i="7"/>
  <c r="BX73" i="7"/>
  <c r="BX79" i="7"/>
  <c r="BX257" i="7" s="1"/>
  <c r="BX260" i="7" s="1"/>
  <c r="BN224" i="7"/>
  <c r="BN199" i="7"/>
  <c r="BQ76" i="7"/>
  <c r="BQ258" i="7" s="1"/>
  <c r="BQ261" i="7" s="1"/>
  <c r="BQ74" i="7"/>
  <c r="EV223" i="7"/>
  <c r="AP298" i="7"/>
  <c r="CP209" i="7"/>
  <c r="CP219" i="7" s="1"/>
  <c r="CP240" i="7"/>
  <c r="FO29" i="7"/>
  <c r="FD29" i="7"/>
  <c r="FG29" i="7" s="1"/>
  <c r="BP272" i="7"/>
  <c r="BP271" i="7"/>
  <c r="BP273" i="7"/>
  <c r="R263" i="7"/>
  <c r="R272" i="7"/>
  <c r="R271" i="7"/>
  <c r="R273" i="7"/>
  <c r="CW237" i="7"/>
  <c r="AG39" i="3" s="1"/>
  <c r="CW238" i="7"/>
  <c r="CW236" i="7"/>
  <c r="CW135" i="7"/>
  <c r="CW138" i="7"/>
  <c r="AG41" i="3" s="1"/>
  <c r="CX135" i="7"/>
  <c r="DD135" i="7"/>
  <c r="CZ135" i="7"/>
  <c r="AQ242" i="7"/>
  <c r="AQ79" i="7"/>
  <c r="AQ73" i="7"/>
  <c r="AV98" i="7"/>
  <c r="AZ98" i="7" s="1"/>
  <c r="AZ97" i="7"/>
  <c r="AQ98" i="7"/>
  <c r="AR97" i="7"/>
  <c r="DK97" i="7"/>
  <c r="Z263" i="7"/>
  <c r="Z271" i="7"/>
  <c r="Z272" i="7"/>
  <c r="Z273" i="7"/>
  <c r="DH272" i="7"/>
  <c r="DH271" i="7"/>
  <c r="DH263" i="7"/>
  <c r="DH273" i="7"/>
  <c r="DM74" i="7"/>
  <c r="DM76" i="7"/>
  <c r="DM258" i="7" s="1"/>
  <c r="DM261" i="7" s="1"/>
  <c r="CR272" i="7"/>
  <c r="CR271" i="7"/>
  <c r="CR263" i="7"/>
  <c r="CR273" i="7"/>
  <c r="BM231" i="7"/>
  <c r="BN228" i="7"/>
  <c r="BM225" i="7"/>
  <c r="DD114" i="7"/>
  <c r="DC118" i="7"/>
  <c r="BU96" i="7"/>
  <c r="BU99" i="7"/>
  <c r="BC272" i="7"/>
  <c r="BC271" i="7"/>
  <c r="BC273" i="7"/>
  <c r="AK74" i="7"/>
  <c r="AK76" i="7"/>
  <c r="AK258" i="7" s="1"/>
  <c r="AK261" i="7" s="1"/>
  <c r="AR93" i="7"/>
  <c r="AR95" i="7" s="1"/>
  <c r="AR72" i="7"/>
  <c r="AS67" i="7"/>
  <c r="EU224" i="7"/>
  <c r="AM272" i="7"/>
  <c r="AM273" i="7"/>
  <c r="AM271" i="7"/>
  <c r="AM263" i="7"/>
  <c r="CG271" i="7"/>
  <c r="CG272" i="7"/>
  <c r="CG273" i="7"/>
  <c r="FK20" i="7"/>
  <c r="FQ20" i="7"/>
  <c r="K271" i="7"/>
  <c r="K272" i="7"/>
  <c r="K263" i="7"/>
  <c r="K273" i="7"/>
  <c r="CT263" i="7"/>
  <c r="CT271" i="7"/>
  <c r="CT272" i="7"/>
  <c r="CT273" i="7"/>
  <c r="DA271" i="7"/>
  <c r="DA263" i="7"/>
  <c r="DA272" i="7"/>
  <c r="DA273" i="7"/>
  <c r="BY262" i="7"/>
  <c r="CP164" i="7"/>
  <c r="CP161" i="7"/>
  <c r="BN76" i="7"/>
  <c r="BE271" i="7"/>
  <c r="BE272" i="7"/>
  <c r="BE273" i="7"/>
  <c r="CH233" i="7"/>
  <c r="CH232" i="7"/>
  <c r="CH106" i="7" s="1"/>
  <c r="CW144" i="7"/>
  <c r="CW145" i="7" s="1"/>
  <c r="DD141" i="7"/>
  <c r="G78" i="4"/>
  <c r="F85" i="4"/>
  <c r="F87" i="4" s="1"/>
  <c r="F80" i="4"/>
  <c r="BL262" i="7" l="1"/>
  <c r="AJ23" i="3"/>
  <c r="BN279" i="7"/>
  <c r="BN281" i="7" s="1"/>
  <c r="BU283" i="7"/>
  <c r="BU285" i="7" s="1"/>
  <c r="DR273" i="7"/>
  <c r="AJ34" i="3" s="1"/>
  <c r="ER174" i="7"/>
  <c r="ES174" i="7" s="1"/>
  <c r="ET174" i="7" s="1"/>
  <c r="DO262" i="7"/>
  <c r="DW17" i="7"/>
  <c r="DW222" i="7" s="1"/>
  <c r="ER222" i="7" s="1"/>
  <c r="DW49" i="7"/>
  <c r="DW85" i="7"/>
  <c r="DO272" i="7"/>
  <c r="DO273" i="7"/>
  <c r="DO271" i="7"/>
  <c r="BW272" i="7"/>
  <c r="AZ255" i="7"/>
  <c r="AZ254" i="7" s="1"/>
  <c r="BW273" i="7"/>
  <c r="CD263" i="7"/>
  <c r="DR271" i="7"/>
  <c r="I16" i="3"/>
  <c r="DR272" i="7"/>
  <c r="BW263" i="7"/>
  <c r="DO263" i="7"/>
  <c r="BW271" i="7"/>
  <c r="AH263" i="7"/>
  <c r="AW253" i="7"/>
  <c r="AW249" i="7"/>
  <c r="DI223" i="7"/>
  <c r="DI226" i="7"/>
  <c r="DP18" i="7"/>
  <c r="DI225" i="7"/>
  <c r="DI224" i="7"/>
  <c r="DI227" i="7"/>
  <c r="DI311" i="7"/>
  <c r="DI314" i="7" s="1"/>
  <c r="DI91" i="7"/>
  <c r="DP86" i="7"/>
  <c r="DI18" i="7"/>
  <c r="DI222" i="7"/>
  <c r="DI233" i="7"/>
  <c r="DI86" i="7"/>
  <c r="AQ58" i="7"/>
  <c r="AQ90" i="7" s="1"/>
  <c r="AH273" i="7"/>
  <c r="AO74" i="7"/>
  <c r="AH271" i="7"/>
  <c r="S262" i="7"/>
  <c r="CZ263" i="7"/>
  <c r="N271" i="7"/>
  <c r="AX86" i="7"/>
  <c r="U262" i="7"/>
  <c r="AQ86" i="7"/>
  <c r="AQ226" i="7"/>
  <c r="AQ225" i="7"/>
  <c r="N273" i="7"/>
  <c r="AQ222" i="7"/>
  <c r="AX222" i="7" s="1"/>
  <c r="AX228" i="7" s="1"/>
  <c r="AQ224" i="7"/>
  <c r="AX224" i="7" s="1"/>
  <c r="AX230" i="7" s="1"/>
  <c r="AQ311" i="7"/>
  <c r="AQ314" i="7" s="1"/>
  <c r="AQ227" i="7"/>
  <c r="U263" i="7"/>
  <c r="AQ91" i="7"/>
  <c r="AQ233" i="7"/>
  <c r="N263" i="7"/>
  <c r="AX18" i="7"/>
  <c r="AH74" i="7"/>
  <c r="CS271" i="7"/>
  <c r="CS272" i="7"/>
  <c r="CR262" i="7"/>
  <c r="CS273" i="7"/>
  <c r="AS49" i="7"/>
  <c r="AS17" i="7"/>
  <c r="AV263" i="7"/>
  <c r="AV273" i="7"/>
  <c r="BJ272" i="7"/>
  <c r="AV271" i="7"/>
  <c r="AV272" i="7"/>
  <c r="CG262" i="7"/>
  <c r="CF272" i="7"/>
  <c r="DX222" i="7"/>
  <c r="EE18" i="7"/>
  <c r="EE86" i="7"/>
  <c r="EV193" i="7"/>
  <c r="N57" i="3"/>
  <c r="EX205" i="7"/>
  <c r="P66" i="3"/>
  <c r="EX206" i="7"/>
  <c r="P67" i="3"/>
  <c r="EW185" i="7"/>
  <c r="O51" i="3"/>
  <c r="EX215" i="7"/>
  <c r="P74" i="3"/>
  <c r="EX194" i="7"/>
  <c r="P58" i="3"/>
  <c r="P72" i="3"/>
  <c r="EX183" i="7"/>
  <c r="P49" i="3"/>
  <c r="EX203" i="7"/>
  <c r="P64" i="3"/>
  <c r="EX202" i="7"/>
  <c r="P63" i="3"/>
  <c r="EX187" i="7"/>
  <c r="P52" i="3"/>
  <c r="EX182" i="7"/>
  <c r="P48" i="3"/>
  <c r="EX195" i="7"/>
  <c r="P59" i="3"/>
  <c r="EX178" i="7"/>
  <c r="P46" i="3"/>
  <c r="BI273" i="7"/>
  <c r="BU73" i="7"/>
  <c r="BU76" i="7" s="1"/>
  <c r="BJ271" i="7"/>
  <c r="AR17" i="7"/>
  <c r="AY86" i="7" s="1"/>
  <c r="AZ85" i="7"/>
  <c r="BS272" i="7"/>
  <c r="BJ273" i="7"/>
  <c r="ET255" i="7"/>
  <c r="M35" i="3" s="1"/>
  <c r="BI271" i="7"/>
  <c r="BI272" i="7"/>
  <c r="BP263" i="7"/>
  <c r="BI263" i="7"/>
  <c r="AT273" i="7"/>
  <c r="AT263" i="7"/>
  <c r="DA110" i="7"/>
  <c r="DA127" i="7" s="1"/>
  <c r="DA126" i="7" s="1"/>
  <c r="AT271" i="7"/>
  <c r="AT272" i="7"/>
  <c r="CT110" i="7"/>
  <c r="CT127" i="7" s="1"/>
  <c r="CT126" i="7" s="1"/>
  <c r="CS128" i="7"/>
  <c r="BA263" i="7"/>
  <c r="AL262" i="7"/>
  <c r="AE262" i="7"/>
  <c r="CQ263" i="7"/>
  <c r="CJ263" i="7"/>
  <c r="CJ271" i="7"/>
  <c r="BU79" i="7"/>
  <c r="AR49" i="7"/>
  <c r="CZ127" i="7"/>
  <c r="CZ126" i="7" s="1"/>
  <c r="CM263" i="7"/>
  <c r="BD273" i="7"/>
  <c r="CF263" i="7"/>
  <c r="BD271" i="7"/>
  <c r="CF273" i="7"/>
  <c r="DA262" i="7"/>
  <c r="BD263" i="7"/>
  <c r="CF271" i="7"/>
  <c r="BD272" i="7"/>
  <c r="CJ272" i="7"/>
  <c r="DX86" i="7"/>
  <c r="DK272" i="7"/>
  <c r="CM262" i="7"/>
  <c r="DR263" i="7"/>
  <c r="AJ29" i="3" s="1"/>
  <c r="BW262" i="7"/>
  <c r="X299" i="7"/>
  <c r="X300" i="7" s="1"/>
  <c r="CJ273" i="7"/>
  <c r="DX311" i="7"/>
  <c r="DX314" i="7" s="1"/>
  <c r="DX91" i="7"/>
  <c r="AY85" i="7"/>
  <c r="AI23" i="3"/>
  <c r="DX225" i="7"/>
  <c r="DX226" i="7"/>
  <c r="DX233" i="7"/>
  <c r="DT272" i="7"/>
  <c r="DX58" i="7"/>
  <c r="DX90" i="7" s="1"/>
  <c r="DX223" i="7"/>
  <c r="DX18" i="7"/>
  <c r="DX224" i="7"/>
  <c r="DX227" i="7"/>
  <c r="CQ262" i="7"/>
  <c r="CA281" i="7"/>
  <c r="DL273" i="7"/>
  <c r="DS262" i="7"/>
  <c r="DU74" i="7"/>
  <c r="EA263" i="7"/>
  <c r="DU76" i="7"/>
  <c r="DU258" i="7" s="1"/>
  <c r="DU261" i="7" s="1"/>
  <c r="DL262" i="7"/>
  <c r="BS273" i="7"/>
  <c r="BS271" i="7"/>
  <c r="BK263" i="7"/>
  <c r="BS263" i="7"/>
  <c r="CJ262" i="7"/>
  <c r="DL263" i="7"/>
  <c r="O271" i="7"/>
  <c r="DL272" i="7"/>
  <c r="CB73" i="7"/>
  <c r="CB76" i="7" s="1"/>
  <c r="CV114" i="7"/>
  <c r="CW114" i="7" s="1"/>
  <c r="DS263" i="7"/>
  <c r="DI260" i="7"/>
  <c r="DJ260" i="7"/>
  <c r="DR262" i="7"/>
  <c r="CD262" i="7"/>
  <c r="O272" i="7"/>
  <c r="W262" i="7"/>
  <c r="DL271" i="7"/>
  <c r="DJ74" i="7"/>
  <c r="CB79" i="7"/>
  <c r="C18" i="3" s="1"/>
  <c r="CB242" i="7"/>
  <c r="BF96" i="7"/>
  <c r="BF79" i="7"/>
  <c r="BF257" i="7" s="1"/>
  <c r="BF73" i="7"/>
  <c r="BF242" i="7"/>
  <c r="AY271" i="7"/>
  <c r="AZ96" i="7"/>
  <c r="AY272" i="7"/>
  <c r="BG96" i="7"/>
  <c r="BZ273" i="7"/>
  <c r="O296" i="7"/>
  <c r="O298" i="7" s="1"/>
  <c r="O257" i="7"/>
  <c r="O260" i="7" s="1"/>
  <c r="O262" i="7" s="1"/>
  <c r="BZ262" i="7"/>
  <c r="BX99" i="7"/>
  <c r="DI73" i="7"/>
  <c r="DI74" i="7" s="1"/>
  <c r="BZ263" i="7"/>
  <c r="BZ272" i="7"/>
  <c r="CG263" i="7"/>
  <c r="BZ271" i="7"/>
  <c r="DX79" i="7"/>
  <c r="DX257" i="7" s="1"/>
  <c r="DX242" i="7"/>
  <c r="DX73" i="7"/>
  <c r="EE74" i="7" s="1"/>
  <c r="DX260" i="7"/>
  <c r="EE262" i="7" s="1"/>
  <c r="DW260" i="7"/>
  <c r="ED262" i="7" s="1"/>
  <c r="DX99" i="7"/>
  <c r="DX96" i="7"/>
  <c r="DX97" i="7" s="1"/>
  <c r="DY97" i="7" s="1"/>
  <c r="DW138" i="7"/>
  <c r="DW93" i="7"/>
  <c r="DW95" i="7" s="1"/>
  <c r="DW72" i="7"/>
  <c r="H71" i="4"/>
  <c r="CF127" i="7"/>
  <c r="DC76" i="7"/>
  <c r="DC258" i="7" s="1"/>
  <c r="DC261" i="7" s="1"/>
  <c r="DJ263" i="7" s="1"/>
  <c r="DC74" i="7"/>
  <c r="CG110" i="7"/>
  <c r="CG128" i="7" s="1"/>
  <c r="DI242" i="7"/>
  <c r="CB99" i="7"/>
  <c r="CF128" i="7"/>
  <c r="CW311" i="7"/>
  <c r="CW314" i="7" s="1"/>
  <c r="CW58" i="7"/>
  <c r="CW90" i="7" s="1"/>
  <c r="CW227" i="7"/>
  <c r="CW224" i="7"/>
  <c r="CW222" i="7"/>
  <c r="F7" i="3"/>
  <c r="CW223" i="7"/>
  <c r="CW226" i="7"/>
  <c r="DD86" i="7"/>
  <c r="AH28" i="3" s="1"/>
  <c r="CW233" i="7"/>
  <c r="DD18" i="7"/>
  <c r="CW225" i="7"/>
  <c r="CW91" i="7"/>
  <c r="T74" i="7"/>
  <c r="T76" i="7"/>
  <c r="T258" i="7" s="1"/>
  <c r="T261" i="7" s="1"/>
  <c r="AA74" i="7"/>
  <c r="AA262" i="7"/>
  <c r="T262" i="7"/>
  <c r="BC168" i="7"/>
  <c r="BG168" i="7"/>
  <c r="AZ169" i="7"/>
  <c r="BA168" i="7"/>
  <c r="J33" i="3"/>
  <c r="DP314" i="7"/>
  <c r="DP138" i="7"/>
  <c r="DP91" i="7"/>
  <c r="DP72" i="7"/>
  <c r="DP93" i="7"/>
  <c r="DP95" i="7" s="1"/>
  <c r="DP96" i="7" s="1"/>
  <c r="DP97" i="7" s="1"/>
  <c r="CK262" i="7"/>
  <c r="AL271" i="7"/>
  <c r="AL273" i="7"/>
  <c r="AL263" i="7"/>
  <c r="BN258" i="7"/>
  <c r="BN261" i="7" s="1"/>
  <c r="BN272" i="7" s="1"/>
  <c r="AF44" i="3"/>
  <c r="BM109" i="7"/>
  <c r="CL262" i="7"/>
  <c r="CS262" i="7"/>
  <c r="CP223" i="7"/>
  <c r="CP18" i="7"/>
  <c r="CP311" i="7"/>
  <c r="CP314" i="7" s="1"/>
  <c r="CP227" i="7"/>
  <c r="CP224" i="7"/>
  <c r="CP226" i="7"/>
  <c r="CP222" i="7"/>
  <c r="CP233" i="7"/>
  <c r="CP225" i="7"/>
  <c r="E7" i="3"/>
  <c r="CP86" i="7"/>
  <c r="AF28" i="3" s="1"/>
  <c r="CW86" i="7"/>
  <c r="AG28" i="3" s="1"/>
  <c r="CW18" i="7"/>
  <c r="CP58" i="7"/>
  <c r="CP90" i="7" s="1"/>
  <c r="BG242" i="7"/>
  <c r="BG79" i="7"/>
  <c r="BG73" i="7"/>
  <c r="K56" i="3"/>
  <c r="CI96" i="7"/>
  <c r="DT263" i="7"/>
  <c r="BN208" i="7"/>
  <c r="BN209" i="7" s="1"/>
  <c r="BN219" i="7" s="1"/>
  <c r="DI261" i="7"/>
  <c r="DI271" i="7" s="1"/>
  <c r="CA114" i="7"/>
  <c r="BZ113" i="7"/>
  <c r="BZ118" i="7"/>
  <c r="CW76" i="7"/>
  <c r="D24" i="3"/>
  <c r="CI290" i="7"/>
  <c r="AV57" i="7"/>
  <c r="AV58" i="7" s="1"/>
  <c r="AV90" i="7" s="1"/>
  <c r="AU56" i="7"/>
  <c r="AV77" i="7"/>
  <c r="AZ242" i="7"/>
  <c r="AZ79" i="7"/>
  <c r="AZ73" i="7"/>
  <c r="AZ76" i="7" s="1"/>
  <c r="D15" i="3"/>
  <c r="CI242" i="7"/>
  <c r="CI79" i="7"/>
  <c r="CI73" i="7"/>
  <c r="CI76" i="7" s="1"/>
  <c r="E12" i="3"/>
  <c r="CP93" i="7"/>
  <c r="CP95" i="7" s="1"/>
  <c r="CP72" i="7"/>
  <c r="AD44" i="3"/>
  <c r="F18" i="3"/>
  <c r="CW296" i="7"/>
  <c r="CW298" i="7" s="1"/>
  <c r="CW257" i="7"/>
  <c r="CW260" i="7" s="1"/>
  <c r="G15" i="3"/>
  <c r="DD79" i="7"/>
  <c r="DD242" i="7"/>
  <c r="DD73" i="7"/>
  <c r="AE44" i="3"/>
  <c r="CB103" i="7"/>
  <c r="BX110" i="7"/>
  <c r="AW277" i="7"/>
  <c r="AX275" i="7"/>
  <c r="CP91" i="7"/>
  <c r="E8" i="3"/>
  <c r="CP103" i="7"/>
  <c r="CP138" i="7"/>
  <c r="AF41" i="3" s="1"/>
  <c r="DD96" i="7"/>
  <c r="DD99" i="7"/>
  <c r="DN257" i="7"/>
  <c r="DN260" i="7" s="1"/>
  <c r="DQ260" i="7" s="1"/>
  <c r="DM262" i="7"/>
  <c r="AD179" i="3"/>
  <c r="G24" i="3"/>
  <c r="DD290" i="7"/>
  <c r="CB165" i="7"/>
  <c r="C32" i="3"/>
  <c r="AR109" i="7"/>
  <c r="AS109" i="7" s="1"/>
  <c r="CL74" i="7"/>
  <c r="CS74" i="7"/>
  <c r="CL76" i="7"/>
  <c r="CL258" i="7" s="1"/>
  <c r="CL261" i="7" s="1"/>
  <c r="AG35" i="3"/>
  <c r="BT113" i="7"/>
  <c r="BS164" i="7"/>
  <c r="AX229" i="7"/>
  <c r="BE223" i="7"/>
  <c r="BE229" i="7" s="1"/>
  <c r="DT262" i="7"/>
  <c r="CV117" i="7"/>
  <c r="CW117" i="7" s="1"/>
  <c r="I40" i="3"/>
  <c r="AJ30" i="3"/>
  <c r="CB97" i="7"/>
  <c r="AD35" i="3"/>
  <c r="FE29" i="7"/>
  <c r="AZ283" i="7"/>
  <c r="AZ285" i="7" s="1"/>
  <c r="AY285" i="7"/>
  <c r="H76" i="7"/>
  <c r="H258" i="7" s="1"/>
  <c r="H261" i="7" s="1"/>
  <c r="O74" i="7"/>
  <c r="DH128" i="7"/>
  <c r="DI128" i="7" s="1"/>
  <c r="DH109" i="7"/>
  <c r="DI109" i="7" s="1"/>
  <c r="DH127" i="7"/>
  <c r="DH126" i="7" s="1"/>
  <c r="BM233" i="7"/>
  <c r="BM232" i="7"/>
  <c r="BM106" i="7" s="1"/>
  <c r="AR98" i="7"/>
  <c r="AS97" i="7"/>
  <c r="AR96" i="7"/>
  <c r="V74" i="7"/>
  <c r="V76" i="7"/>
  <c r="V258" i="7" s="1"/>
  <c r="V261" i="7" s="1"/>
  <c r="AD272" i="7"/>
  <c r="AD263" i="7"/>
  <c r="AD271" i="7"/>
  <c r="AD273" i="7"/>
  <c r="AP241" i="7"/>
  <c r="AQ241" i="7"/>
  <c r="DI296" i="7"/>
  <c r="DI298" i="7" s="1"/>
  <c r="DI257" i="7"/>
  <c r="W272" i="7"/>
  <c r="W271" i="7"/>
  <c r="W263" i="7"/>
  <c r="W273" i="7"/>
  <c r="DQ242" i="7"/>
  <c r="DQ79" i="7"/>
  <c r="DQ73" i="7"/>
  <c r="BV263" i="7"/>
  <c r="BV272" i="7"/>
  <c r="BV271" i="7"/>
  <c r="BV273" i="7"/>
  <c r="CC263" i="7"/>
  <c r="BT263" i="7"/>
  <c r="BT272" i="7"/>
  <c r="BT273" i="7"/>
  <c r="FR20" i="7"/>
  <c r="AS93" i="7"/>
  <c r="AS95" i="7" s="1"/>
  <c r="AS72" i="7"/>
  <c r="ET246" i="7"/>
  <c r="ET249" i="7" s="1"/>
  <c r="C50" i="4" s="1"/>
  <c r="D114" i="4" s="1"/>
  <c r="AC74" i="7"/>
  <c r="AC76" i="7"/>
  <c r="AC258" i="7" s="1"/>
  <c r="AC261" i="7" s="1"/>
  <c r="V296" i="7"/>
  <c r="V298" i="7" s="1"/>
  <c r="V257" i="7"/>
  <c r="V260" i="7" s="1"/>
  <c r="CQ209" i="7"/>
  <c r="CQ219" i="7" s="1"/>
  <c r="CQ240" i="7"/>
  <c r="FC222" i="7"/>
  <c r="AP219" i="7"/>
  <c r="AP237" i="7"/>
  <c r="AP238" i="7"/>
  <c r="DQ96" i="7"/>
  <c r="DQ97" i="7" s="1"/>
  <c r="DR97" i="7" s="1"/>
  <c r="DQ99" i="7"/>
  <c r="BN231" i="7"/>
  <c r="BN225" i="7"/>
  <c r="EX29" i="7"/>
  <c r="FE223" i="7"/>
  <c r="BV262" i="7"/>
  <c r="CC262" i="7"/>
  <c r="DG141" i="7"/>
  <c r="DE141" i="7"/>
  <c r="DD144" i="7"/>
  <c r="DD145" i="7" s="1"/>
  <c r="AR242" i="7"/>
  <c r="AR73" i="7"/>
  <c r="AR79" i="7"/>
  <c r="AR257" i="7" s="1"/>
  <c r="AC296" i="7"/>
  <c r="AC298" i="7" s="1"/>
  <c r="AC257" i="7"/>
  <c r="AC260" i="7" s="1"/>
  <c r="CR188" i="7"/>
  <c r="CR189" i="7" s="1"/>
  <c r="CS181" i="7"/>
  <c r="DN74" i="7"/>
  <c r="DN76" i="7"/>
  <c r="DN258" i="7" s="1"/>
  <c r="DN261" i="7" s="1"/>
  <c r="AJ296" i="7"/>
  <c r="AJ298" i="7" s="1"/>
  <c r="AJ257" i="7"/>
  <c r="AJ260" i="7" s="1"/>
  <c r="EX222" i="7"/>
  <c r="K300" i="7"/>
  <c r="L294" i="7"/>
  <c r="L299" i="7" s="1"/>
  <c r="FT20" i="7"/>
  <c r="FN20" i="7"/>
  <c r="AJ74" i="7"/>
  <c r="AJ76" i="7"/>
  <c r="AJ258" i="7" s="1"/>
  <c r="AJ261" i="7" s="1"/>
  <c r="AK263" i="7"/>
  <c r="AK272" i="7"/>
  <c r="AK271" i="7"/>
  <c r="AK273" i="7"/>
  <c r="AQ74" i="7"/>
  <c r="AQ76" i="7"/>
  <c r="AQ258" i="7" s="1"/>
  <c r="AQ261" i="7" s="1"/>
  <c r="AX74" i="7"/>
  <c r="BX262" i="7"/>
  <c r="CE262" i="7"/>
  <c r="BM260" i="7"/>
  <c r="DG272" i="7"/>
  <c r="DG263" i="7"/>
  <c r="DG265" i="7"/>
  <c r="FH20" i="7"/>
  <c r="EV29" i="7"/>
  <c r="AD262" i="7"/>
  <c r="BN265" i="7"/>
  <c r="BM267" i="7"/>
  <c r="AK262" i="7"/>
  <c r="CE267" i="7"/>
  <c r="CI265" i="7"/>
  <c r="FB224" i="7"/>
  <c r="DD118" i="7"/>
  <c r="G33" i="3" s="1"/>
  <c r="DD113" i="7"/>
  <c r="DM272" i="7"/>
  <c r="DM263" i="7"/>
  <c r="DM273" i="7"/>
  <c r="DM271" i="7"/>
  <c r="AQ296" i="7"/>
  <c r="AQ298" i="7" s="1"/>
  <c r="AQ257" i="7"/>
  <c r="AQ260" i="7" s="1"/>
  <c r="CX241" i="7"/>
  <c r="DD241" i="7"/>
  <c r="CZ241" i="7"/>
  <c r="CW241" i="7"/>
  <c r="FV29" i="7"/>
  <c r="FK29" i="7"/>
  <c r="FN29" i="7" s="1"/>
  <c r="BX74" i="7"/>
  <c r="BX76" i="7"/>
  <c r="BX258" i="7" s="1"/>
  <c r="BX261" i="7" s="1"/>
  <c r="CE74" i="7"/>
  <c r="CO263" i="7"/>
  <c r="CO272" i="7"/>
  <c r="CO273" i="7"/>
  <c r="CO271" i="7"/>
  <c r="AO272" i="7"/>
  <c r="AO263" i="7"/>
  <c r="AO271" i="7"/>
  <c r="AO273" i="7"/>
  <c r="R300" i="7"/>
  <c r="S294" i="7"/>
  <c r="S299" i="7" s="1"/>
  <c r="DJ272" i="7"/>
  <c r="DJ273" i="7"/>
  <c r="CI233" i="7"/>
  <c r="CI232" i="7"/>
  <c r="CI106" i="7" s="1"/>
  <c r="CJ232" i="7"/>
  <c r="CJ106" i="7" s="1"/>
  <c r="CJ109" i="7" s="1"/>
  <c r="CL109" i="7" s="1"/>
  <c r="CL232" i="7"/>
  <c r="CL106" i="7" s="1"/>
  <c r="CP232" i="7"/>
  <c r="CP106" i="7" s="1"/>
  <c r="E27" i="3" s="1"/>
  <c r="BU97" i="7"/>
  <c r="BN96" i="7"/>
  <c r="BN97" i="7" s="1"/>
  <c r="FB29" i="7"/>
  <c r="FC223" i="7"/>
  <c r="FB222" i="7"/>
  <c r="FB223" i="7"/>
  <c r="CE285" i="7"/>
  <c r="CI283" i="7"/>
  <c r="CI285" i="7" s="1"/>
  <c r="EV224" i="7"/>
  <c r="BQ263" i="7"/>
  <c r="BQ272" i="7"/>
  <c r="BQ273" i="7"/>
  <c r="DI110" i="7"/>
  <c r="CA272" i="7"/>
  <c r="CA263" i="7"/>
  <c r="CA271" i="7"/>
  <c r="CA273" i="7"/>
  <c r="CH263" i="7"/>
  <c r="G85" i="4"/>
  <c r="G87" i="4" s="1"/>
  <c r="H78" i="4"/>
  <c r="G80" i="4"/>
  <c r="D110" i="4" l="1"/>
  <c r="BB11" i="3"/>
  <c r="BB12" i="3" s="1"/>
  <c r="D102" i="4"/>
  <c r="C51" i="4"/>
  <c r="DW224" i="7"/>
  <c r="ER224" i="7" s="1"/>
  <c r="EY224" i="7" s="1"/>
  <c r="FF224" i="7" s="1"/>
  <c r="DW58" i="7"/>
  <c r="DW90" i="7" s="1"/>
  <c r="DW233" i="7"/>
  <c r="DW225" i="7"/>
  <c r="DW227" i="7"/>
  <c r="ED86" i="7"/>
  <c r="DW311" i="7"/>
  <c r="DW314" i="7" s="1"/>
  <c r="ED18" i="7"/>
  <c r="DW223" i="7"/>
  <c r="DW91" i="7"/>
  <c r="DW18" i="7"/>
  <c r="DW226" i="7"/>
  <c r="DW86" i="7"/>
  <c r="BE222" i="7"/>
  <c r="BE228" i="7" s="1"/>
  <c r="BF228" i="7" s="1"/>
  <c r="EU174" i="7"/>
  <c r="EU63" i="7" s="1"/>
  <c r="BE224" i="7"/>
  <c r="BE230" i="7" s="1"/>
  <c r="BE227" i="7" s="1"/>
  <c r="AX279" i="7"/>
  <c r="AX246" i="7"/>
  <c r="AX249" i="7" s="1"/>
  <c r="ER223" i="7"/>
  <c r="EY223" i="7" s="1"/>
  <c r="FF223" i="7" s="1"/>
  <c r="AS226" i="7"/>
  <c r="AS223" i="7"/>
  <c r="AZ86" i="7"/>
  <c r="AS91" i="7"/>
  <c r="AZ18" i="7"/>
  <c r="AS225" i="7"/>
  <c r="AS233" i="7"/>
  <c r="AS18" i="7"/>
  <c r="AS311" i="7"/>
  <c r="AS314" i="7" s="1"/>
  <c r="AS222" i="7"/>
  <c r="AS227" i="7"/>
  <c r="AS58" i="7"/>
  <c r="AS90" i="7" s="1"/>
  <c r="AS86" i="7"/>
  <c r="AS224" i="7"/>
  <c r="BU74" i="7"/>
  <c r="BU296" i="7"/>
  <c r="BU298" i="7" s="1"/>
  <c r="BU257" i="7"/>
  <c r="BU260" i="7" s="1"/>
  <c r="BU262" i="7" s="1"/>
  <c r="Y294" i="7"/>
  <c r="Y299" i="7" s="1"/>
  <c r="Y300" i="7" s="1"/>
  <c r="EY182" i="7"/>
  <c r="Q48" i="3"/>
  <c r="EY194" i="7"/>
  <c r="Q58" i="3"/>
  <c r="EY187" i="7"/>
  <c r="Q52" i="3"/>
  <c r="EY215" i="7"/>
  <c r="Q74" i="3"/>
  <c r="EY202" i="7"/>
  <c r="Q63" i="3"/>
  <c r="EX185" i="7"/>
  <c r="P51" i="3"/>
  <c r="EY203" i="7"/>
  <c r="Q64" i="3"/>
  <c r="EY206" i="7"/>
  <c r="Q67" i="3"/>
  <c r="EY178" i="7"/>
  <c r="Q46" i="3"/>
  <c r="EY183" i="7"/>
  <c r="Q49" i="3"/>
  <c r="EY205" i="7"/>
  <c r="Q66" i="3"/>
  <c r="EY195" i="7"/>
  <c r="Q59" i="3"/>
  <c r="Q72" i="3"/>
  <c r="EW193" i="7"/>
  <c r="O57" i="3"/>
  <c r="AR311" i="7"/>
  <c r="AR314" i="7" s="1"/>
  <c r="CB74" i="7"/>
  <c r="DU272" i="7"/>
  <c r="CT109" i="7"/>
  <c r="AR58" i="7"/>
  <c r="AR90" i="7" s="1"/>
  <c r="CT128" i="7"/>
  <c r="AR222" i="7"/>
  <c r="DA128" i="7"/>
  <c r="AR224" i="7"/>
  <c r="AY18" i="7"/>
  <c r="AR223" i="7"/>
  <c r="AR225" i="7"/>
  <c r="AR91" i="7"/>
  <c r="AR226" i="7"/>
  <c r="AR227" i="7"/>
  <c r="DB110" i="7"/>
  <c r="DB128" i="7" s="1"/>
  <c r="AR86" i="7"/>
  <c r="AR233" i="7"/>
  <c r="DA109" i="7"/>
  <c r="AE294" i="7"/>
  <c r="AE299" i="7" s="1"/>
  <c r="AL294" i="7" s="1"/>
  <c r="AL299" i="7" s="1"/>
  <c r="CU110" i="7"/>
  <c r="CU128" i="7" s="1"/>
  <c r="EB263" i="7"/>
  <c r="DW261" i="7"/>
  <c r="CB257" i="7"/>
  <c r="CB260" i="7" s="1"/>
  <c r="C19" i="3" s="1"/>
  <c r="CB296" i="7"/>
  <c r="CB298" i="7" s="1"/>
  <c r="V262" i="7"/>
  <c r="DP99" i="7"/>
  <c r="DI273" i="7"/>
  <c r="BM74" i="7"/>
  <c r="BF76" i="7"/>
  <c r="BF258" i="7" s="1"/>
  <c r="BF261" i="7" s="1"/>
  <c r="BF74" i="7"/>
  <c r="DI76" i="7"/>
  <c r="DI258" i="7" s="1"/>
  <c r="CI74" i="7"/>
  <c r="DX262" i="7"/>
  <c r="DX76" i="7"/>
  <c r="DX258" i="7" s="1"/>
  <c r="DX261" i="7" s="1"/>
  <c r="DX74" i="7"/>
  <c r="DW73" i="7"/>
  <c r="ED74" i="7" s="1"/>
  <c r="DW242" i="7"/>
  <c r="DW79" i="7"/>
  <c r="DW99" i="7"/>
  <c r="DW96" i="7"/>
  <c r="I71" i="4"/>
  <c r="CG127" i="7"/>
  <c r="CG109" i="7"/>
  <c r="CH109" i="7" s="1"/>
  <c r="CI109" i="7" s="1"/>
  <c r="D28" i="3" s="1"/>
  <c r="DI272" i="7"/>
  <c r="J30" i="3"/>
  <c r="J32" i="3" s="1"/>
  <c r="DC272" i="7"/>
  <c r="DC263" i="7"/>
  <c r="DC273" i="7"/>
  <c r="DP73" i="7"/>
  <c r="DP76" i="7" s="1"/>
  <c r="DP258" i="7" s="1"/>
  <c r="DP79" i="7"/>
  <c r="DP242" i="7"/>
  <c r="BC169" i="7"/>
  <c r="BF168" i="7"/>
  <c r="BF169" i="7" s="1"/>
  <c r="BD168" i="7"/>
  <c r="BB168" i="7"/>
  <c r="BB169" i="7" s="1"/>
  <c r="BA169" i="7"/>
  <c r="T263" i="7"/>
  <c r="T273" i="7"/>
  <c r="T271" i="7"/>
  <c r="AA263" i="7"/>
  <c r="T272" i="7"/>
  <c r="BG169" i="7"/>
  <c r="BN168" i="7"/>
  <c r="BJ168" i="7"/>
  <c r="BH168" i="7"/>
  <c r="DU262" i="7"/>
  <c r="DP260" i="7"/>
  <c r="CV118" i="7"/>
  <c r="K30" i="3"/>
  <c r="CL110" i="7"/>
  <c r="CM110" i="7" s="1"/>
  <c r="FF29" i="7"/>
  <c r="DI127" i="7"/>
  <c r="DI126" i="7" s="1"/>
  <c r="DJ126" i="7" s="1"/>
  <c r="DK126" i="7" s="1"/>
  <c r="DQ262" i="7"/>
  <c r="AJ262" i="7"/>
  <c r="AH35" i="3"/>
  <c r="AY275" i="7"/>
  <c r="AX277" i="7"/>
  <c r="G18" i="3"/>
  <c r="DD257" i="7"/>
  <c r="DD260" i="7" s="1"/>
  <c r="DD296" i="7"/>
  <c r="DD298" i="7" s="1"/>
  <c r="D18" i="3"/>
  <c r="CI257" i="7"/>
  <c r="CI260" i="7" s="1"/>
  <c r="CI296" i="7"/>
  <c r="CI298" i="7" s="1"/>
  <c r="AZ296" i="7"/>
  <c r="AZ298" i="7" s="1"/>
  <c r="AZ257" i="7"/>
  <c r="AZ260" i="7" s="1"/>
  <c r="AV103" i="7"/>
  <c r="AZ103" i="7" s="1"/>
  <c r="AZ290" i="7" s="1"/>
  <c r="AV79" i="7"/>
  <c r="AV257" i="7" s="1"/>
  <c r="AV260" i="7" s="1"/>
  <c r="AE35" i="3"/>
  <c r="BG296" i="7"/>
  <c r="BG298" i="7" s="1"/>
  <c r="BG257" i="7"/>
  <c r="BG260" i="7" s="1"/>
  <c r="DQ257" i="7"/>
  <c r="E24" i="3"/>
  <c r="CP290" i="7"/>
  <c r="AT56" i="7"/>
  <c r="AU57" i="7"/>
  <c r="AU58" i="7" s="1"/>
  <c r="AU90" i="7" s="1"/>
  <c r="AU77" i="7"/>
  <c r="BU258" i="7"/>
  <c r="BU261" i="7" s="1"/>
  <c r="BU273" i="7" s="1"/>
  <c r="BX128" i="7"/>
  <c r="BY110" i="7"/>
  <c r="BX127" i="7"/>
  <c r="F19" i="3"/>
  <c r="CU260" i="7"/>
  <c r="CV260" i="7"/>
  <c r="E15" i="3"/>
  <c r="CP242" i="7"/>
  <c r="CP79" i="7"/>
  <c r="CP73" i="7"/>
  <c r="CW258" i="7"/>
  <c r="CW261" i="7" s="1"/>
  <c r="J9" i="3"/>
  <c r="BT164" i="7"/>
  <c r="BT114" i="7"/>
  <c r="BT118" i="7" s="1"/>
  <c r="BU113" i="7"/>
  <c r="C24" i="3"/>
  <c r="CB290" i="7"/>
  <c r="CP96" i="7"/>
  <c r="CP99" i="7"/>
  <c r="DD164" i="7"/>
  <c r="G31" i="3"/>
  <c r="G32" i="3" s="1"/>
  <c r="DN262" i="7"/>
  <c r="DK74" i="7"/>
  <c r="DD76" i="7"/>
  <c r="DD74" i="7"/>
  <c r="CA113" i="7"/>
  <c r="BZ164" i="7"/>
  <c r="CB258" i="7"/>
  <c r="CB261" i="7" s="1"/>
  <c r="C16" i="3" s="1"/>
  <c r="CL271" i="7"/>
  <c r="CL272" i="7"/>
  <c r="CS263" i="7"/>
  <c r="CL263" i="7"/>
  <c r="CL273" i="7"/>
  <c r="CI258" i="7"/>
  <c r="CI261" i="7" s="1"/>
  <c r="CI271" i="7" s="1"/>
  <c r="AE34" i="3" s="1"/>
  <c r="AZ258" i="7"/>
  <c r="AZ261" i="7" s="1"/>
  <c r="CB114" i="7"/>
  <c r="CA118" i="7"/>
  <c r="BG74" i="7"/>
  <c r="C228" i="3" s="1"/>
  <c r="BN74" i="7"/>
  <c r="BG76" i="7"/>
  <c r="AY230" i="7"/>
  <c r="AX227" i="7"/>
  <c r="BE226" i="7"/>
  <c r="BF229" i="7"/>
  <c r="AX225" i="7"/>
  <c r="AX231" i="7"/>
  <c r="AY228" i="7"/>
  <c r="AY229" i="7"/>
  <c r="AX226" i="7"/>
  <c r="D27" i="3"/>
  <c r="FL29" i="7"/>
  <c r="DQ76" i="7"/>
  <c r="DQ258" i="7" s="1"/>
  <c r="DQ261" i="7" s="1"/>
  <c r="DQ74" i="7"/>
  <c r="CS188" i="7"/>
  <c r="CS189" i="7" s="1"/>
  <c r="CT181" i="7"/>
  <c r="AS242" i="7"/>
  <c r="AS79" i="7"/>
  <c r="AS73" i="7"/>
  <c r="V271" i="7"/>
  <c r="V263" i="7"/>
  <c r="V272" i="7"/>
  <c r="V273" i="7"/>
  <c r="DK265" i="7"/>
  <c r="DG267" i="7"/>
  <c r="DF265" i="7"/>
  <c r="FO20" i="7"/>
  <c r="CR209" i="7"/>
  <c r="CR219" i="7" s="1"/>
  <c r="CR240" i="7"/>
  <c r="FJ222" i="7"/>
  <c r="ES246" i="7"/>
  <c r="H272" i="7"/>
  <c r="H271" i="7"/>
  <c r="H273" i="7"/>
  <c r="O263" i="7"/>
  <c r="CE269" i="7"/>
  <c r="CE273" i="7"/>
  <c r="CE268" i="7"/>
  <c r="CL268" i="7"/>
  <c r="FU20" i="7"/>
  <c r="L300" i="7"/>
  <c r="N294" i="7"/>
  <c r="N299" i="7" s="1"/>
  <c r="EY29" i="7"/>
  <c r="EW246" i="7"/>
  <c r="EW249" i="7" s="1"/>
  <c r="ES249" i="7"/>
  <c r="FA246" i="7"/>
  <c r="FA249" i="7" s="1"/>
  <c r="EU246" i="7"/>
  <c r="EU249" i="7" s="1"/>
  <c r="EY222" i="7"/>
  <c r="FI223" i="7"/>
  <c r="FR29" i="7"/>
  <c r="FU29" i="7" s="1"/>
  <c r="BM273" i="7"/>
  <c r="BM269" i="7"/>
  <c r="BM268" i="7"/>
  <c r="BT268" i="7"/>
  <c r="DF141" i="7"/>
  <c r="DF144" i="7" s="1"/>
  <c r="DF145" i="7" s="1"/>
  <c r="DE144" i="7"/>
  <c r="DE145" i="7" s="1"/>
  <c r="AS96" i="7"/>
  <c r="AS98" i="7"/>
  <c r="FC224" i="7"/>
  <c r="BX263" i="7"/>
  <c r="BX271" i="7"/>
  <c r="BX273" i="7"/>
  <c r="BX272" i="7"/>
  <c r="CE263" i="7"/>
  <c r="AJ272" i="7"/>
  <c r="AJ271" i="7"/>
  <c r="AJ263" i="7"/>
  <c r="AJ273" i="7"/>
  <c r="AR74" i="7"/>
  <c r="AR76" i="7"/>
  <c r="AR258" i="7" s="1"/>
  <c r="AR261" i="7" s="1"/>
  <c r="AY74" i="7"/>
  <c r="CW118" i="7"/>
  <c r="F33" i="3" s="1"/>
  <c r="CW113" i="7"/>
  <c r="FI222" i="7"/>
  <c r="AQ262" i="7"/>
  <c r="FC29" i="7"/>
  <c r="S300" i="7"/>
  <c r="U294" i="7"/>
  <c r="U299" i="7" s="1"/>
  <c r="BN287" i="7"/>
  <c r="BN289" i="7" s="1"/>
  <c r="BN271" i="7"/>
  <c r="BN267" i="7"/>
  <c r="FE222" i="7"/>
  <c r="DH141" i="7"/>
  <c r="DH144" i="7" s="1"/>
  <c r="DH145" i="7" s="1"/>
  <c r="DG144" i="7"/>
  <c r="DG145" i="7" s="1"/>
  <c r="BN233" i="7"/>
  <c r="BO232" i="7"/>
  <c r="BO106" i="7" s="1"/>
  <c r="BO109" i="7" s="1"/>
  <c r="BQ109" i="7" s="1"/>
  <c r="BQ232" i="7"/>
  <c r="BQ106" i="7" s="1"/>
  <c r="BU232" i="7"/>
  <c r="BU106" i="7" s="1"/>
  <c r="EX224" i="7"/>
  <c r="DN271" i="7"/>
  <c r="DN272" i="7"/>
  <c r="DN263" i="7"/>
  <c r="DN273" i="7"/>
  <c r="DP261" i="7"/>
  <c r="FL223" i="7"/>
  <c r="DU263" i="7"/>
  <c r="FI29" i="7"/>
  <c r="CI287" i="7"/>
  <c r="CI267" i="7"/>
  <c r="FJ223" i="7"/>
  <c r="FI224" i="7"/>
  <c r="AQ271" i="7"/>
  <c r="AQ263" i="7"/>
  <c r="AQ272" i="7"/>
  <c r="AQ273" i="7"/>
  <c r="AC262" i="7"/>
  <c r="AC271" i="7"/>
  <c r="AC272" i="7"/>
  <c r="AC263" i="7"/>
  <c r="AC273" i="7"/>
  <c r="H85" i="4"/>
  <c r="I78" i="4"/>
  <c r="I80" i="4" s="1"/>
  <c r="H80" i="4"/>
  <c r="EV174" i="7" l="1"/>
  <c r="EW174" i="7" s="1"/>
  <c r="D97" i="4"/>
  <c r="BF230" i="7"/>
  <c r="BF231" i="7" s="1"/>
  <c r="BE225" i="7"/>
  <c r="EE263" i="7"/>
  <c r="BE231" i="7"/>
  <c r="BE232" i="7" s="1"/>
  <c r="BE106" i="7" s="1"/>
  <c r="BE109" i="7" s="1"/>
  <c r="BA279" i="7"/>
  <c r="AX250" i="7"/>
  <c r="AX251" i="7"/>
  <c r="AY279" i="7"/>
  <c r="AX281" i="7"/>
  <c r="Z294" i="7"/>
  <c r="Z299" i="7" s="1"/>
  <c r="Z300" i="7" s="1"/>
  <c r="BT260" i="7"/>
  <c r="BT262" i="7" s="1"/>
  <c r="DW272" i="7"/>
  <c r="ED263" i="7"/>
  <c r="DB127" i="7"/>
  <c r="DB126" i="7" s="1"/>
  <c r="EZ195" i="7"/>
  <c r="R59" i="3"/>
  <c r="EY185" i="7"/>
  <c r="Q51" i="3"/>
  <c r="EZ205" i="7"/>
  <c r="R66" i="3"/>
  <c r="EZ202" i="7"/>
  <c r="R63" i="3"/>
  <c r="EZ183" i="7"/>
  <c r="R49" i="3"/>
  <c r="EZ215" i="7"/>
  <c r="R74" i="3"/>
  <c r="EZ178" i="7"/>
  <c r="R46" i="3"/>
  <c r="EZ187" i="7"/>
  <c r="R52" i="3"/>
  <c r="EX193" i="7"/>
  <c r="P57" i="3"/>
  <c r="EZ206" i="7"/>
  <c r="R67" i="3"/>
  <c r="EZ194" i="7"/>
  <c r="R58" i="3"/>
  <c r="EZ212" i="7"/>
  <c r="R72" i="3"/>
  <c r="EZ203" i="7"/>
  <c r="R64" i="3"/>
  <c r="EZ182" i="7"/>
  <c r="R48" i="3"/>
  <c r="DB109" i="7"/>
  <c r="DC109" i="7" s="1"/>
  <c r="DC110" i="7" s="1"/>
  <c r="AE300" i="7"/>
  <c r="AF294" i="7"/>
  <c r="AF299" i="7" s="1"/>
  <c r="AF300" i="7" s="1"/>
  <c r="CU127" i="7"/>
  <c r="CU126" i="7" s="1"/>
  <c r="DW273" i="7"/>
  <c r="DW271" i="7"/>
  <c r="FX260" i="7"/>
  <c r="CB262" i="7"/>
  <c r="CA260" i="7"/>
  <c r="CI262" i="7"/>
  <c r="CL127" i="7"/>
  <c r="CL128" i="7"/>
  <c r="BF263" i="7"/>
  <c r="BF273" i="7"/>
  <c r="BF271" i="7"/>
  <c r="BF272" i="7"/>
  <c r="BM263" i="7"/>
  <c r="DW257" i="7"/>
  <c r="DW296" i="7"/>
  <c r="DW298" i="7" s="1"/>
  <c r="DW263" i="7"/>
  <c r="DP74" i="7"/>
  <c r="DW74" i="7"/>
  <c r="DW76" i="7"/>
  <c r="DW258" i="7" s="1"/>
  <c r="DW97" i="7"/>
  <c r="DX271" i="7"/>
  <c r="ES271" i="7" s="1"/>
  <c r="EZ271" i="7" s="1"/>
  <c r="FG271" i="7" s="1"/>
  <c r="FN271" i="7" s="1"/>
  <c r="FU271" i="7" s="1"/>
  <c r="DX272" i="7"/>
  <c r="DX273" i="7"/>
  <c r="DX263" i="7"/>
  <c r="DP262" i="7"/>
  <c r="DW262" i="7"/>
  <c r="D29" i="3"/>
  <c r="AE30" i="3" s="1"/>
  <c r="DP257" i="7"/>
  <c r="DP296" i="7"/>
  <c r="DP298" i="7" s="1"/>
  <c r="K33" i="3"/>
  <c r="K32" i="3" s="1"/>
  <c r="CI110" i="7"/>
  <c r="CH110" i="7"/>
  <c r="CH128" i="7" s="1"/>
  <c r="BN169" i="7"/>
  <c r="BQ168" i="7"/>
  <c r="BO168" i="7"/>
  <c r="BE168" i="7"/>
  <c r="BE169" i="7" s="1"/>
  <c r="BD169" i="7"/>
  <c r="BI168" i="7"/>
  <c r="BI169" i="7" s="1"/>
  <c r="BH169" i="7"/>
  <c r="BJ169" i="7"/>
  <c r="BM168" i="7"/>
  <c r="BM169" i="7" s="1"/>
  <c r="BK168" i="7"/>
  <c r="BK169" i="7" s="1"/>
  <c r="CB263" i="7"/>
  <c r="AD29" i="3" s="1"/>
  <c r="FX261" i="7"/>
  <c r="CB273" i="7"/>
  <c r="CB271" i="7"/>
  <c r="AD34" i="3" s="1"/>
  <c r="CB272" i="7"/>
  <c r="BU272" i="7"/>
  <c r="FY261" i="7"/>
  <c r="FZ261" i="7" s="1"/>
  <c r="GA261" i="7" s="1"/>
  <c r="BU271" i="7"/>
  <c r="CI263" i="7"/>
  <c r="AE29" i="3" s="1"/>
  <c r="BU263" i="7"/>
  <c r="AD23" i="3"/>
  <c r="AY260" i="7"/>
  <c r="FJ29" i="7"/>
  <c r="D20" i="3"/>
  <c r="FM29" i="7"/>
  <c r="BG258" i="7"/>
  <c r="BG261" i="7" s="1"/>
  <c r="C268" i="3"/>
  <c r="AZ271" i="7"/>
  <c r="AZ273" i="7"/>
  <c r="AZ272" i="7"/>
  <c r="K9" i="3"/>
  <c r="BC262" i="7"/>
  <c r="AV262" i="7"/>
  <c r="D19" i="3"/>
  <c r="CH260" i="7"/>
  <c r="DD258" i="7"/>
  <c r="DD261" i="7" s="1"/>
  <c r="AF35" i="3"/>
  <c r="CW272" i="7"/>
  <c r="CU261" i="7"/>
  <c r="CW273" i="7"/>
  <c r="F16" i="3"/>
  <c r="CW271" i="7"/>
  <c r="AG34" i="3" s="1"/>
  <c r="AG23" i="3"/>
  <c r="BN262" i="7"/>
  <c r="BF260" i="7"/>
  <c r="BG262" i="7"/>
  <c r="AE23" i="3"/>
  <c r="D16" i="3"/>
  <c r="CI272" i="7"/>
  <c r="CP74" i="7"/>
  <c r="CP76" i="7"/>
  <c r="CW74" i="7"/>
  <c r="AY277" i="7"/>
  <c r="AZ275" i="7"/>
  <c r="E18" i="3"/>
  <c r="CP257" i="7"/>
  <c r="CP260" i="7" s="1"/>
  <c r="CP296" i="7"/>
  <c r="CP298" i="7" s="1"/>
  <c r="AU103" i="7"/>
  <c r="AU79" i="7"/>
  <c r="CW164" i="7"/>
  <c r="F31" i="3"/>
  <c r="F32" i="3" s="1"/>
  <c r="CB118" i="7"/>
  <c r="C30" i="3"/>
  <c r="C33" i="3" s="1"/>
  <c r="CB113" i="7"/>
  <c r="CB164" i="7" s="1"/>
  <c r="CA164" i="7"/>
  <c r="DK262" i="7"/>
  <c r="G19" i="3"/>
  <c r="DC260" i="7"/>
  <c r="DB260" i="7"/>
  <c r="DD262" i="7"/>
  <c r="BU164" i="7"/>
  <c r="BU168" i="7" s="1"/>
  <c r="BU114" i="7"/>
  <c r="BU118" i="7" s="1"/>
  <c r="BY128" i="7"/>
  <c r="BY109" i="7"/>
  <c r="BZ110" i="7"/>
  <c r="BY127" i="7"/>
  <c r="AT77" i="7"/>
  <c r="AT57" i="7"/>
  <c r="AT58" i="7" s="1"/>
  <c r="AT90" i="7" s="1"/>
  <c r="AY225" i="7"/>
  <c r="AY231" i="7"/>
  <c r="AZ228" i="7"/>
  <c r="BF226" i="7"/>
  <c r="BG229" i="7"/>
  <c r="BG226" i="7" s="1"/>
  <c r="AX232" i="7"/>
  <c r="AX106" i="7" s="1"/>
  <c r="AX109" i="7" s="1"/>
  <c r="AY109" i="7" s="1"/>
  <c r="AX233" i="7"/>
  <c r="AZ229" i="7"/>
  <c r="AZ226" i="7" s="1"/>
  <c r="AY226" i="7"/>
  <c r="AZ230" i="7"/>
  <c r="AZ227" i="7" s="1"/>
  <c r="AY227" i="7"/>
  <c r="BG228" i="7"/>
  <c r="BF225" i="7"/>
  <c r="CI289" i="7"/>
  <c r="AE31" i="3"/>
  <c r="J50" i="3"/>
  <c r="J53" i="3" s="1"/>
  <c r="DP272" i="7"/>
  <c r="DP271" i="7"/>
  <c r="DP263" i="7"/>
  <c r="DP273" i="7"/>
  <c r="FP223" i="7"/>
  <c r="FP224" i="7"/>
  <c r="FP222" i="7"/>
  <c r="FJ224" i="7"/>
  <c r="FV20" i="7"/>
  <c r="CS209" i="7"/>
  <c r="CS219" i="7" s="1"/>
  <c r="CS240" i="7"/>
  <c r="DK287" i="7"/>
  <c r="DK271" i="7"/>
  <c r="DK267" i="7"/>
  <c r="CT188" i="7"/>
  <c r="CT189" i="7" s="1"/>
  <c r="CU181" i="7"/>
  <c r="CU109" i="7" s="1"/>
  <c r="CV109" i="7" s="1"/>
  <c r="BQ110" i="7"/>
  <c r="BN273" i="7"/>
  <c r="BN269" i="7"/>
  <c r="BN268" i="7"/>
  <c r="BU268" i="7"/>
  <c r="AR272" i="7"/>
  <c r="AR263" i="7"/>
  <c r="AR273" i="7"/>
  <c r="AR271" i="7"/>
  <c r="AY263" i="7"/>
  <c r="EU250" i="7"/>
  <c r="EV246" i="7"/>
  <c r="EV249" i="7" s="1"/>
  <c r="EU251" i="7"/>
  <c r="ER246" i="7"/>
  <c r="ER249" i="7" s="1"/>
  <c r="CM128" i="7"/>
  <c r="CN110" i="7"/>
  <c r="CM109" i="7"/>
  <c r="CM127" i="7"/>
  <c r="AS74" i="7"/>
  <c r="AS76" i="7"/>
  <c r="AZ74" i="7"/>
  <c r="FM223" i="7"/>
  <c r="DG273" i="7"/>
  <c r="DG269" i="7"/>
  <c r="DG268" i="7"/>
  <c r="DN268" i="7"/>
  <c r="FM224" i="7"/>
  <c r="U300" i="7"/>
  <c r="V294" i="7"/>
  <c r="V299" i="7" s="1"/>
  <c r="V300" i="7" s="1"/>
  <c r="FB246" i="7"/>
  <c r="FB249" i="7" s="1"/>
  <c r="FA251" i="7"/>
  <c r="FA250" i="7"/>
  <c r="EZ250" i="7" s="1"/>
  <c r="FH246" i="7"/>
  <c r="FH249" i="7" s="1"/>
  <c r="FD246" i="7"/>
  <c r="FD249" i="7" s="1"/>
  <c r="EZ249" i="7"/>
  <c r="AS296" i="7"/>
  <c r="AS298" i="7" s="1"/>
  <c r="AS257" i="7"/>
  <c r="AS260" i="7" s="1"/>
  <c r="FL222" i="7"/>
  <c r="FQ223" i="7"/>
  <c r="CI269" i="7"/>
  <c r="CI268" i="7"/>
  <c r="CI273" i="7"/>
  <c r="CP268" i="7"/>
  <c r="FE224" i="7"/>
  <c r="AL300" i="7"/>
  <c r="AM294" i="7"/>
  <c r="AM299" i="7" s="1"/>
  <c r="AS294" i="7"/>
  <c r="FS223" i="7"/>
  <c r="FP29" i="7"/>
  <c r="FF222" i="7"/>
  <c r="FQ222" i="7"/>
  <c r="FS29" i="7"/>
  <c r="EW251" i="7"/>
  <c r="EW250" i="7"/>
  <c r="EX246" i="7"/>
  <c r="EX249" i="7" s="1"/>
  <c r="EZ246" i="7"/>
  <c r="N300" i="7"/>
  <c r="O294" i="7"/>
  <c r="O299" i="7" s="1"/>
  <c r="O300" i="7" s="1"/>
  <c r="DF267" i="7"/>
  <c r="DF271" i="7"/>
  <c r="DQ272" i="7"/>
  <c r="DQ263" i="7"/>
  <c r="DQ273" i="7"/>
  <c r="DQ271" i="7"/>
  <c r="I85" i="4"/>
  <c r="I87" i="4" s="1"/>
  <c r="H87" i="4"/>
  <c r="B231" i="3" l="1"/>
  <c r="BG230" i="7"/>
  <c r="BG227" i="7" s="1"/>
  <c r="BF227" i="7"/>
  <c r="BE233" i="7"/>
  <c r="EX174" i="7"/>
  <c r="AZ279" i="7"/>
  <c r="AZ281" i="7" s="1"/>
  <c r="AY281" i="7"/>
  <c r="AX260" i="7"/>
  <c r="AX261" i="7"/>
  <c r="BC279" i="7"/>
  <c r="BA281" i="7"/>
  <c r="AB294" i="7"/>
  <c r="AB299" i="7" s="1"/>
  <c r="AB300" i="7" s="1"/>
  <c r="CA262" i="7"/>
  <c r="AG294" i="7"/>
  <c r="AG299" i="7" s="1"/>
  <c r="AG300" i="7" s="1"/>
  <c r="FA212" i="7"/>
  <c r="FB212" i="7" s="1"/>
  <c r="FC212" i="7" s="1"/>
  <c r="FD212" i="7" s="1"/>
  <c r="FE212" i="7" s="1"/>
  <c r="FF212" i="7" s="1"/>
  <c r="FG212" i="7" s="1"/>
  <c r="FH212" i="7" s="1"/>
  <c r="FI212" i="7" s="1"/>
  <c r="FJ212" i="7" s="1"/>
  <c r="FK212" i="7" s="1"/>
  <c r="FL212" i="7" s="1"/>
  <c r="FM212" i="7" s="1"/>
  <c r="FN212" i="7" s="1"/>
  <c r="FO212" i="7" s="1"/>
  <c r="FP212" i="7" s="1"/>
  <c r="FQ212" i="7" s="1"/>
  <c r="FR212" i="7" s="1"/>
  <c r="FS212" i="7" s="1"/>
  <c r="FT212" i="7" s="1"/>
  <c r="FU212" i="7" s="1"/>
  <c r="FV212" i="7" s="1"/>
  <c r="S72" i="3"/>
  <c r="FA215" i="7"/>
  <c r="S74" i="3"/>
  <c r="FA194" i="7"/>
  <c r="S58" i="3"/>
  <c r="FA183" i="7"/>
  <c r="S49" i="3"/>
  <c r="FA206" i="7"/>
  <c r="S67" i="3"/>
  <c r="FA202" i="7"/>
  <c r="S63" i="3"/>
  <c r="FA182" i="7"/>
  <c r="S48" i="3"/>
  <c r="EY193" i="7"/>
  <c r="Q57" i="3"/>
  <c r="FA205" i="7"/>
  <c r="S66" i="3"/>
  <c r="FA203" i="7"/>
  <c r="S64" i="3"/>
  <c r="FA187" i="7"/>
  <c r="S52" i="3"/>
  <c r="EZ185" i="7"/>
  <c r="R51" i="3"/>
  <c r="FA178" i="7"/>
  <c r="S46" i="3"/>
  <c r="FA195" i="7"/>
  <c r="S59" i="3"/>
  <c r="DC127" i="7"/>
  <c r="DC126" i="7" s="1"/>
  <c r="DC128" i="7"/>
  <c r="DD109" i="7"/>
  <c r="DD110" i="7" s="1"/>
  <c r="CH262" i="7"/>
  <c r="H20" i="3"/>
  <c r="D40" i="3"/>
  <c r="EZ251" i="7"/>
  <c r="CH127" i="7"/>
  <c r="CI128" i="7"/>
  <c r="CI127" i="7"/>
  <c r="BP168" i="7"/>
  <c r="BP169" i="7" s="1"/>
  <c r="BO169" i="7"/>
  <c r="BR168" i="7"/>
  <c r="BQ169" i="7"/>
  <c r="BT168" i="7"/>
  <c r="BT169" i="7" s="1"/>
  <c r="AS299" i="7"/>
  <c r="AZ294" i="7" s="1"/>
  <c r="AZ299" i="7" s="1"/>
  <c r="AT103" i="7"/>
  <c r="AT79" i="7"/>
  <c r="BX168" i="7"/>
  <c r="BV168" i="7"/>
  <c r="CB168" i="7"/>
  <c r="CB169" i="7" s="1"/>
  <c r="BU169" i="7"/>
  <c r="DB262" i="7"/>
  <c r="DI262" i="7"/>
  <c r="AU296" i="7"/>
  <c r="AU298" i="7" s="1"/>
  <c r="AU257" i="7"/>
  <c r="AU260" i="7" s="1"/>
  <c r="E19" i="3"/>
  <c r="CP262" i="7"/>
  <c r="CO260" i="7"/>
  <c r="CN260" i="7"/>
  <c r="CW262" i="7"/>
  <c r="AZ277" i="7"/>
  <c r="BA275" i="7"/>
  <c r="BG273" i="7"/>
  <c r="BN263" i="7"/>
  <c r="BG263" i="7"/>
  <c r="BG272" i="7"/>
  <c r="BG271" i="7"/>
  <c r="BZ128" i="7"/>
  <c r="BZ109" i="7"/>
  <c r="CA109" i="7" s="1"/>
  <c r="BZ127" i="7"/>
  <c r="DC262" i="7"/>
  <c r="DJ262" i="7"/>
  <c r="AU109" i="7"/>
  <c r="AU290" i="7"/>
  <c r="CP258" i="7"/>
  <c r="CP261" i="7" s="1"/>
  <c r="BF262" i="7"/>
  <c r="BM262" i="7"/>
  <c r="DD272" i="7"/>
  <c r="DB261" i="7"/>
  <c r="DD263" i="7"/>
  <c r="AH29" i="3" s="1"/>
  <c r="DD271" i="7"/>
  <c r="AH34" i="3" s="1"/>
  <c r="G16" i="3"/>
  <c r="DD273" i="7"/>
  <c r="AH23" i="3"/>
  <c r="DK263" i="7"/>
  <c r="AI29" i="3" s="1"/>
  <c r="AS258" i="7"/>
  <c r="AS261" i="7" s="1"/>
  <c r="AS263" i="7" s="1"/>
  <c r="AE33" i="3"/>
  <c r="CU271" i="7"/>
  <c r="CU273" i="7"/>
  <c r="CU272" i="7"/>
  <c r="AZ231" i="7"/>
  <c r="AZ225" i="7"/>
  <c r="AY233" i="7"/>
  <c r="AY232" i="7"/>
  <c r="AY106" i="7" s="1"/>
  <c r="BG225" i="7"/>
  <c r="BF233" i="7"/>
  <c r="BF232" i="7"/>
  <c r="BF106" i="7" s="1"/>
  <c r="BF109" i="7" s="1"/>
  <c r="DK289" i="7"/>
  <c r="AI31" i="3"/>
  <c r="CN128" i="7"/>
  <c r="CN109" i="7"/>
  <c r="CO109" i="7" s="1"/>
  <c r="CN127" i="7"/>
  <c r="FB251" i="7"/>
  <c r="FC246" i="7"/>
  <c r="FC249" i="7" s="1"/>
  <c r="FB250" i="7"/>
  <c r="FS222" i="7"/>
  <c r="DF279" i="7"/>
  <c r="DF273" i="7"/>
  <c r="DF269" i="7"/>
  <c r="DF268" i="7"/>
  <c r="DM268" i="7"/>
  <c r="FT224" i="7"/>
  <c r="FM222" i="7"/>
  <c r="AM300" i="7"/>
  <c r="AN294" i="7"/>
  <c r="AN299" i="7" s="1"/>
  <c r="FL224" i="7"/>
  <c r="FT223" i="7"/>
  <c r="BQ128" i="7"/>
  <c r="BR110" i="7"/>
  <c r="BQ127" i="7"/>
  <c r="CV110" i="7"/>
  <c r="CW109" i="7"/>
  <c r="AS262" i="7"/>
  <c r="AR260" i="7"/>
  <c r="AZ262" i="7"/>
  <c r="ER251" i="7"/>
  <c r="ET251" i="7" s="1"/>
  <c r="ER250" i="7"/>
  <c r="ET250" i="7" s="1"/>
  <c r="ES250" i="7" s="1"/>
  <c r="EV251" i="7"/>
  <c r="EV250" i="7"/>
  <c r="CU188" i="7"/>
  <c r="CU189" i="7" s="1"/>
  <c r="CV181" i="7"/>
  <c r="FH251" i="7"/>
  <c r="FH250" i="7"/>
  <c r="FG250" i="7" s="1"/>
  <c r="FI246" i="7"/>
  <c r="FI249" i="7" s="1"/>
  <c r="FO246" i="7"/>
  <c r="FO249" i="7" s="1"/>
  <c r="FK246" i="7"/>
  <c r="FK249" i="7" s="1"/>
  <c r="FG249" i="7"/>
  <c r="CT209" i="7"/>
  <c r="CT219" i="7" s="1"/>
  <c r="CT240" i="7"/>
  <c r="FE246" i="7"/>
  <c r="FE249" i="7" s="1"/>
  <c r="FD251" i="7"/>
  <c r="FD250" i="7"/>
  <c r="FG246" i="7"/>
  <c r="FT29" i="7"/>
  <c r="EX250" i="7"/>
  <c r="EY246" i="7"/>
  <c r="EY249" i="7" s="1"/>
  <c r="EX251" i="7"/>
  <c r="DK269" i="7"/>
  <c r="AI33" i="3" s="1"/>
  <c r="DK273" i="7"/>
  <c r="AI34" i="3" s="1"/>
  <c r="DK268" i="7"/>
  <c r="DR268" i="7"/>
  <c r="FQ29" i="7"/>
  <c r="FQ224" i="7"/>
  <c r="ES251" i="7" l="1"/>
  <c r="BG231" i="7"/>
  <c r="BN232" i="7" s="1"/>
  <c r="BN106" i="7" s="1"/>
  <c r="BN109" i="7" s="1"/>
  <c r="EY174" i="7"/>
  <c r="EZ174" i="7" s="1"/>
  <c r="FA174" i="7" s="1"/>
  <c r="B272" i="3"/>
  <c r="AI294" i="7"/>
  <c r="AI299" i="7" s="1"/>
  <c r="AI300" i="7" s="1"/>
  <c r="AX273" i="7"/>
  <c r="AX272" i="7"/>
  <c r="AX263" i="7"/>
  <c r="BE263" i="7"/>
  <c r="AX271" i="7"/>
  <c r="BE262" i="7"/>
  <c r="AX262" i="7"/>
  <c r="AC294" i="7"/>
  <c r="AC299" i="7" s="1"/>
  <c r="AC300" i="7" s="1"/>
  <c r="BG279" i="7"/>
  <c r="BG281" i="7" s="1"/>
  <c r="BC281" i="7"/>
  <c r="DD128" i="7"/>
  <c r="FB203" i="7"/>
  <c r="T64" i="3"/>
  <c r="FB205" i="7"/>
  <c r="T66" i="3"/>
  <c r="FB183" i="7"/>
  <c r="T49" i="3"/>
  <c r="DD127" i="7"/>
  <c r="DD126" i="7" s="1"/>
  <c r="FB195" i="7"/>
  <c r="T59" i="3"/>
  <c r="EZ193" i="7"/>
  <c r="R57" i="3"/>
  <c r="FB194" i="7"/>
  <c r="T58" i="3"/>
  <c r="FB178" i="7"/>
  <c r="T46" i="3"/>
  <c r="FB182" i="7"/>
  <c r="T48" i="3"/>
  <c r="FA185" i="7"/>
  <c r="S51" i="3"/>
  <c r="FB202" i="7"/>
  <c r="T63" i="3"/>
  <c r="FB215" i="7"/>
  <c r="T74" i="3"/>
  <c r="FB187" i="7"/>
  <c r="T52" i="3"/>
  <c r="FB206" i="7"/>
  <c r="T67" i="3"/>
  <c r="T72" i="3"/>
  <c r="G28" i="3"/>
  <c r="G29" i="3" s="1"/>
  <c r="G40" i="3" s="1"/>
  <c r="AS273" i="7"/>
  <c r="AS271" i="7"/>
  <c r="AS272" i="7"/>
  <c r="FG251" i="7"/>
  <c r="AZ263" i="7"/>
  <c r="BS168" i="7"/>
  <c r="BS169" i="7" s="1"/>
  <c r="BR169" i="7"/>
  <c r="AT294" i="7"/>
  <c r="AS300" i="7"/>
  <c r="DB271" i="7"/>
  <c r="DB273" i="7"/>
  <c r="DB263" i="7"/>
  <c r="DB272" i="7"/>
  <c r="DI263" i="7"/>
  <c r="CN261" i="7"/>
  <c r="E16" i="3"/>
  <c r="CP272" i="7"/>
  <c r="AF23" i="3"/>
  <c r="CP263" i="7"/>
  <c r="AF29" i="3" s="1"/>
  <c r="CP271" i="7"/>
  <c r="AF34" i="3" s="1"/>
  <c r="CP273" i="7"/>
  <c r="CW263" i="7"/>
  <c r="AG29" i="3" s="1"/>
  <c r="CB109" i="7"/>
  <c r="CA110" i="7"/>
  <c r="BB262" i="7"/>
  <c r="AU262" i="7"/>
  <c r="BV169" i="7"/>
  <c r="BW168" i="7"/>
  <c r="BW169" i="7" s="1"/>
  <c r="CA168" i="7"/>
  <c r="CA169" i="7" s="1"/>
  <c r="BY168" i="7"/>
  <c r="BX169" i="7"/>
  <c r="BB275" i="7"/>
  <c r="BA277" i="7"/>
  <c r="CN262" i="7"/>
  <c r="CU262" i="7"/>
  <c r="AT257" i="7"/>
  <c r="AT260" i="7" s="1"/>
  <c r="AT296" i="7"/>
  <c r="AT298" i="7" s="1"/>
  <c r="ER192" i="7"/>
  <c r="ES192" i="7" s="1"/>
  <c r="ET192" i="7" s="1"/>
  <c r="L56" i="3"/>
  <c r="CO262" i="7"/>
  <c r="CV262" i="7"/>
  <c r="AT290" i="7"/>
  <c r="AT109" i="7"/>
  <c r="AV109" i="7" s="1"/>
  <c r="AZ109" i="7" s="1"/>
  <c r="BA232" i="7"/>
  <c r="BA106" i="7" s="1"/>
  <c r="BA109" i="7" s="1"/>
  <c r="BC109" i="7" s="1"/>
  <c r="BC232" i="7"/>
  <c r="BC106" i="7" s="1"/>
  <c r="AZ233" i="7"/>
  <c r="AZ232" i="7"/>
  <c r="AZ106" i="7" s="1"/>
  <c r="CW110" i="7"/>
  <c r="F28" i="3"/>
  <c r="F29" i="3" s="1"/>
  <c r="FJ246" i="7"/>
  <c r="FJ249" i="7" s="1"/>
  <c r="FI251" i="7"/>
  <c r="FI250" i="7"/>
  <c r="CW181" i="7"/>
  <c r="CV188" i="7"/>
  <c r="CV189" i="7" s="1"/>
  <c r="FT222" i="7"/>
  <c r="EY251" i="7"/>
  <c r="EY250" i="7"/>
  <c r="FE251" i="7"/>
  <c r="FE250" i="7"/>
  <c r="FF246" i="7"/>
  <c r="FF249" i="7" s="1"/>
  <c r="CU209" i="7"/>
  <c r="CU219" i="7" s="1"/>
  <c r="CU240" i="7"/>
  <c r="FR246" i="7"/>
  <c r="FR249" i="7" s="1"/>
  <c r="FN249" i="7"/>
  <c r="FV246" i="7"/>
  <c r="FV249" i="7" s="1"/>
  <c r="FO251" i="7"/>
  <c r="FO250" i="7"/>
  <c r="FN250" i="7" s="1"/>
  <c r="FP246" i="7"/>
  <c r="FP249" i="7" s="1"/>
  <c r="CV128" i="7"/>
  <c r="CV127" i="7"/>
  <c r="CV126" i="7" s="1"/>
  <c r="FS224" i="7"/>
  <c r="AZ300" i="7"/>
  <c r="BG294" i="7"/>
  <c r="BG299" i="7" s="1"/>
  <c r="BA294" i="7"/>
  <c r="BA299" i="7" s="1"/>
  <c r="AR262" i="7"/>
  <c r="AY262" i="7"/>
  <c r="DG279" i="7"/>
  <c r="DF281" i="7"/>
  <c r="FN246" i="7"/>
  <c r="FK250" i="7"/>
  <c r="FL246" i="7"/>
  <c r="FL249" i="7" s="1"/>
  <c r="FK251" i="7"/>
  <c r="BR128" i="7"/>
  <c r="BR109" i="7"/>
  <c r="BS110" i="7"/>
  <c r="BR127" i="7"/>
  <c r="AN300" i="7"/>
  <c r="AP294" i="7"/>
  <c r="AP299" i="7" s="1"/>
  <c r="FC251" i="7"/>
  <c r="FC250" i="7"/>
  <c r="CO110" i="7"/>
  <c r="CP109" i="7"/>
  <c r="BJ232" i="7" l="1"/>
  <c r="BJ106" i="7" s="1"/>
  <c r="BG232" i="7"/>
  <c r="BG106" i="7" s="1"/>
  <c r="BG109" i="7" s="1"/>
  <c r="BG233" i="7"/>
  <c r="BH232" i="7"/>
  <c r="BH106" i="7" s="1"/>
  <c r="BH109" i="7" s="1"/>
  <c r="BJ109" i="7" s="1"/>
  <c r="AJ294" i="7"/>
  <c r="AJ299" i="7" s="1"/>
  <c r="AJ300" i="7" s="1"/>
  <c r="FB174" i="7"/>
  <c r="U72" i="3"/>
  <c r="FC187" i="7"/>
  <c r="U52" i="3"/>
  <c r="FC194" i="7"/>
  <c r="U58" i="3"/>
  <c r="FC195" i="7"/>
  <c r="U59" i="3"/>
  <c r="FC178" i="7"/>
  <c r="U46" i="3"/>
  <c r="FC203" i="7"/>
  <c r="U64" i="3"/>
  <c r="FC206" i="7"/>
  <c r="U67" i="3"/>
  <c r="FC202" i="7"/>
  <c r="U63" i="3"/>
  <c r="FC215" i="7"/>
  <c r="U74" i="3"/>
  <c r="FC182" i="7"/>
  <c r="U48" i="3"/>
  <c r="FC183" i="7"/>
  <c r="U49" i="3"/>
  <c r="FC205" i="7"/>
  <c r="U66" i="3"/>
  <c r="FA193" i="7"/>
  <c r="S57" i="3"/>
  <c r="FB185" i="7"/>
  <c r="T51" i="3"/>
  <c r="AH30" i="3"/>
  <c r="K25" i="3"/>
  <c r="K11" i="3"/>
  <c r="EU192" i="7"/>
  <c r="M56" i="3"/>
  <c r="FN251" i="7"/>
  <c r="AT299" i="7"/>
  <c r="CB110" i="7"/>
  <c r="C28" i="3"/>
  <c r="C29" i="3" s="1"/>
  <c r="CW128" i="7"/>
  <c r="BA262" i="7"/>
  <c r="AT262" i="7"/>
  <c r="BB277" i="7"/>
  <c r="BC275" i="7"/>
  <c r="CN272" i="7"/>
  <c r="CN271" i="7"/>
  <c r="CN263" i="7"/>
  <c r="CN273" i="7"/>
  <c r="CU263" i="7"/>
  <c r="BZ168" i="7"/>
  <c r="BZ169" i="7" s="1"/>
  <c r="BY169" i="7"/>
  <c r="CA128" i="7"/>
  <c r="CA127" i="7"/>
  <c r="CP110" i="7"/>
  <c r="E28" i="3"/>
  <c r="E29" i="3" s="1"/>
  <c r="CW127" i="7"/>
  <c r="CW126" i="7" s="1"/>
  <c r="AG30" i="3"/>
  <c r="F40" i="3"/>
  <c r="FU249" i="7"/>
  <c r="FV250" i="7"/>
  <c r="FU250" i="7" s="1"/>
  <c r="FV251" i="7"/>
  <c r="BS128" i="7"/>
  <c r="BS109" i="7"/>
  <c r="BT109" i="7" s="1"/>
  <c r="BS127" i="7"/>
  <c r="FM246" i="7"/>
  <c r="FM249" i="7" s="1"/>
  <c r="FL251" i="7"/>
  <c r="FL250" i="7"/>
  <c r="DG281" i="7"/>
  <c r="DI283" i="7" s="1"/>
  <c r="DK279" i="7"/>
  <c r="DK281" i="7" s="1"/>
  <c r="BG300" i="7"/>
  <c r="BN294" i="7"/>
  <c r="BN299" i="7" s="1"/>
  <c r="BH294" i="7"/>
  <c r="BH299" i="7" s="1"/>
  <c r="FU246" i="7"/>
  <c r="FR251" i="7"/>
  <c r="FR250" i="7"/>
  <c r="FS246" i="7"/>
  <c r="FS249" i="7" s="1"/>
  <c r="BA300" i="7"/>
  <c r="BB294" i="7"/>
  <c r="BB299" i="7" s="1"/>
  <c r="FJ250" i="7"/>
  <c r="FJ251" i="7"/>
  <c r="CV209" i="7"/>
  <c r="CV219" i="7" s="1"/>
  <c r="CV240" i="7"/>
  <c r="FP251" i="7"/>
  <c r="FP250" i="7"/>
  <c r="FQ246" i="7"/>
  <c r="FQ249" i="7" s="1"/>
  <c r="CW188" i="7"/>
  <c r="CW189" i="7" s="1"/>
  <c r="CX181" i="7"/>
  <c r="CO128" i="7"/>
  <c r="CO127" i="7"/>
  <c r="ER43" i="7"/>
  <c r="FF250" i="7"/>
  <c r="FF251" i="7"/>
  <c r="AP300" i="7"/>
  <c r="AQ294" i="7"/>
  <c r="AQ299" i="7" s="1"/>
  <c r="AQ300" i="7" s="1"/>
  <c r="K71" i="3"/>
  <c r="FC174" i="7" l="1"/>
  <c r="FD174" i="7" s="1"/>
  <c r="FD183" i="7"/>
  <c r="V49" i="3"/>
  <c r="FD215" i="7"/>
  <c r="V74" i="3"/>
  <c r="FD206" i="7"/>
  <c r="V67" i="3"/>
  <c r="FD178" i="7"/>
  <c r="V46" i="3"/>
  <c r="FD195" i="7"/>
  <c r="V59" i="3"/>
  <c r="FD187" i="7"/>
  <c r="V52" i="3"/>
  <c r="FC185" i="7"/>
  <c r="U51" i="3"/>
  <c r="FD205" i="7"/>
  <c r="V66" i="3"/>
  <c r="FD182" i="7"/>
  <c r="V48" i="3"/>
  <c r="FD202" i="7"/>
  <c r="V63" i="3"/>
  <c r="FD203" i="7"/>
  <c r="V64" i="3"/>
  <c r="FD194" i="7"/>
  <c r="V58" i="3"/>
  <c r="V72" i="3"/>
  <c r="EV192" i="7"/>
  <c r="N56" i="3"/>
  <c r="FB193" i="7"/>
  <c r="T57" i="3"/>
  <c r="CP128" i="7"/>
  <c r="FU251" i="7"/>
  <c r="CP127" i="7"/>
  <c r="AT300" i="7"/>
  <c r="AU294" i="7"/>
  <c r="AU299" i="7" s="1"/>
  <c r="BD275" i="7"/>
  <c r="BC277" i="7"/>
  <c r="AD30" i="3"/>
  <c r="C40" i="3"/>
  <c r="CB128" i="7"/>
  <c r="CB127" i="7"/>
  <c r="AV63" i="3"/>
  <c r="AV85" i="3" s="1"/>
  <c r="AF30" i="3"/>
  <c r="E40" i="3"/>
  <c r="CX188" i="7"/>
  <c r="CX189" i="7" s="1"/>
  <c r="CY181" i="7"/>
  <c r="FS251" i="7"/>
  <c r="FS250" i="7"/>
  <c r="FT246" i="7"/>
  <c r="FT249" i="7" s="1"/>
  <c r="CW209" i="7"/>
  <c r="CW219" i="7" s="1"/>
  <c r="CW240" i="7"/>
  <c r="DD240" i="7"/>
  <c r="ES43" i="7"/>
  <c r="EU43" i="7"/>
  <c r="BU109" i="7"/>
  <c r="BU110" i="7" s="1"/>
  <c r="BT110" i="7"/>
  <c r="BH300" i="7"/>
  <c r="BI294" i="7"/>
  <c r="BI299" i="7" s="1"/>
  <c r="BN300" i="7"/>
  <c r="BU294" i="7"/>
  <c r="BU299" i="7" s="1"/>
  <c r="BO294" i="7"/>
  <c r="BO299" i="7" s="1"/>
  <c r="FM251" i="7"/>
  <c r="FM250" i="7"/>
  <c r="FQ251" i="7"/>
  <c r="FQ250" i="7"/>
  <c r="BB300" i="7"/>
  <c r="BD294" i="7"/>
  <c r="BD299" i="7" s="1"/>
  <c r="DI285" i="7"/>
  <c r="DJ283" i="7"/>
  <c r="FE174" i="7" l="1"/>
  <c r="FE194" i="7"/>
  <c r="W58" i="3"/>
  <c r="FE202" i="7"/>
  <c r="W63" i="3"/>
  <c r="FE205" i="7"/>
  <c r="W66" i="3"/>
  <c r="FE187" i="7"/>
  <c r="W52" i="3"/>
  <c r="FE178" i="7"/>
  <c r="W46" i="3"/>
  <c r="FE215" i="7"/>
  <c r="W74" i="3"/>
  <c r="FC193" i="7"/>
  <c r="U57" i="3"/>
  <c r="W72" i="3"/>
  <c r="FE203" i="7"/>
  <c r="W64" i="3"/>
  <c r="FE182" i="7"/>
  <c r="W48" i="3"/>
  <c r="FD185" i="7"/>
  <c r="V51" i="3"/>
  <c r="FE195" i="7"/>
  <c r="W59" i="3"/>
  <c r="FE206" i="7"/>
  <c r="W67" i="3"/>
  <c r="FE183" i="7"/>
  <c r="W49" i="3"/>
  <c r="EW192" i="7"/>
  <c r="O56" i="3"/>
  <c r="AU300" i="7"/>
  <c r="AW294" i="7"/>
  <c r="AW299" i="7" s="1"/>
  <c r="BE275" i="7"/>
  <c r="BD277" i="7"/>
  <c r="AH44" i="3"/>
  <c r="AG44" i="3"/>
  <c r="BI300" i="7"/>
  <c r="BK294" i="7"/>
  <c r="BK299" i="7" s="1"/>
  <c r="EV43" i="7"/>
  <c r="CZ181" i="7"/>
  <c r="CZ188" i="7" s="1"/>
  <c r="CZ189" i="7" s="1"/>
  <c r="CY188" i="7"/>
  <c r="CY189" i="7" s="1"/>
  <c r="ET43" i="7"/>
  <c r="CX209" i="7"/>
  <c r="CX219" i="7" s="1"/>
  <c r="CX240" i="7"/>
  <c r="BT128" i="7"/>
  <c r="BT127" i="7"/>
  <c r="DJ285" i="7"/>
  <c r="DK283" i="7"/>
  <c r="DK285" i="7" s="1"/>
  <c r="BD300" i="7"/>
  <c r="BE294" i="7"/>
  <c r="BE299" i="7" s="1"/>
  <c r="BE300" i="7" s="1"/>
  <c r="BO300" i="7"/>
  <c r="BP294" i="7"/>
  <c r="BP299" i="7" s="1"/>
  <c r="BU128" i="7"/>
  <c r="BU127" i="7"/>
  <c r="FT251" i="7"/>
  <c r="FT250" i="7"/>
  <c r="BU300" i="7"/>
  <c r="BV294" i="7"/>
  <c r="BV299" i="7" s="1"/>
  <c r="CB294" i="7"/>
  <c r="CB299" i="7" s="1"/>
  <c r="FF174" i="7" l="1"/>
  <c r="FG174" i="7" s="1"/>
  <c r="FH174" i="7" s="1"/>
  <c r="FF183" i="7"/>
  <c r="X49" i="3"/>
  <c r="FF195" i="7"/>
  <c r="X59" i="3"/>
  <c r="FF182" i="7"/>
  <c r="X48" i="3"/>
  <c r="X72" i="3"/>
  <c r="FF215" i="7"/>
  <c r="X74" i="3"/>
  <c r="FF187" i="7"/>
  <c r="X52" i="3"/>
  <c r="FF202" i="7"/>
  <c r="X63" i="3"/>
  <c r="FF206" i="7"/>
  <c r="X67" i="3"/>
  <c r="FE185" i="7"/>
  <c r="W51" i="3"/>
  <c r="FF203" i="7"/>
  <c r="X64" i="3"/>
  <c r="FD193" i="7"/>
  <c r="V57" i="3"/>
  <c r="FF178" i="7"/>
  <c r="X46" i="3"/>
  <c r="FF205" i="7"/>
  <c r="X66" i="3"/>
  <c r="FF194" i="7"/>
  <c r="X58" i="3"/>
  <c r="EX192" i="7"/>
  <c r="P56" i="3"/>
  <c r="AX294" i="7"/>
  <c r="AX299" i="7" s="1"/>
  <c r="AX300" i="7" s="1"/>
  <c r="AW300" i="7"/>
  <c r="BF275" i="7"/>
  <c r="BE277" i="7"/>
  <c r="AX63" i="3"/>
  <c r="AY63" i="3"/>
  <c r="AR63" i="3"/>
  <c r="AR85" i="3" s="1"/>
  <c r="AW63" i="3"/>
  <c r="AW85" i="3" s="1"/>
  <c r="BP300" i="7"/>
  <c r="BR294" i="7"/>
  <c r="BR299" i="7" s="1"/>
  <c r="CY209" i="7"/>
  <c r="CY219" i="7" s="1"/>
  <c r="CY240" i="7"/>
  <c r="CZ209" i="7"/>
  <c r="CZ219" i="7" s="1"/>
  <c r="DA240" i="7"/>
  <c r="CZ240" i="7"/>
  <c r="DC240" i="7"/>
  <c r="BK300" i="7"/>
  <c r="BL294" i="7"/>
  <c r="BL299" i="7" s="1"/>
  <c r="BL300" i="7" s="1"/>
  <c r="BV300" i="7"/>
  <c r="BW294" i="7"/>
  <c r="BW299" i="7" s="1"/>
  <c r="EX43" i="7"/>
  <c r="CB300" i="7"/>
  <c r="CC294" i="7"/>
  <c r="CC299" i="7" s="1"/>
  <c r="CI294" i="7"/>
  <c r="CI299" i="7" s="1"/>
  <c r="EW43" i="7"/>
  <c r="FI174" i="7" l="1"/>
  <c r="ET66" i="7"/>
  <c r="FG194" i="7"/>
  <c r="Y58" i="3"/>
  <c r="FG178" i="7"/>
  <c r="Y46" i="3"/>
  <c r="FG203" i="7"/>
  <c r="Y64" i="3"/>
  <c r="FG206" i="7"/>
  <c r="Y67" i="3"/>
  <c r="FG187" i="7"/>
  <c r="Y52" i="3"/>
  <c r="Y72" i="3"/>
  <c r="FG195" i="7"/>
  <c r="Y59" i="3"/>
  <c r="FG205" i="7"/>
  <c r="Y66" i="3"/>
  <c r="FE193" i="7"/>
  <c r="W57" i="3"/>
  <c r="FF185" i="7"/>
  <c r="X51" i="3"/>
  <c r="FG202" i="7"/>
  <c r="Y63" i="3"/>
  <c r="FG215" i="7"/>
  <c r="Y74" i="3"/>
  <c r="FG182" i="7"/>
  <c r="Y48" i="3"/>
  <c r="FG183" i="7"/>
  <c r="Y49" i="3"/>
  <c r="EY192" i="7"/>
  <c r="Q56" i="3"/>
  <c r="BG275" i="7"/>
  <c r="BF277" i="7"/>
  <c r="K50" i="3"/>
  <c r="K53" i="3" s="1"/>
  <c r="CC300" i="7"/>
  <c r="CD294" i="7"/>
  <c r="CD299" i="7" s="1"/>
  <c r="EY43" i="7"/>
  <c r="BW300" i="7"/>
  <c r="BY294" i="7"/>
  <c r="BY299" i="7" s="1"/>
  <c r="CI300" i="7"/>
  <c r="CJ294" i="7"/>
  <c r="CJ299" i="7" s="1"/>
  <c r="CP294" i="7"/>
  <c r="CP299" i="7" s="1"/>
  <c r="BR300" i="7"/>
  <c r="BS294" i="7"/>
  <c r="BS299" i="7" s="1"/>
  <c r="BS300" i="7" s="1"/>
  <c r="AX69" i="3" l="1"/>
  <c r="AX85" i="3" s="1"/>
  <c r="FJ174" i="7"/>
  <c r="FK174" i="7" s="1"/>
  <c r="FH183" i="7"/>
  <c r="Z49" i="3"/>
  <c r="FH215" i="7"/>
  <c r="Z74" i="3"/>
  <c r="FG185" i="7"/>
  <c r="Y51" i="3"/>
  <c r="FH205" i="7"/>
  <c r="Z66" i="3"/>
  <c r="Z72" i="3"/>
  <c r="FH206" i="7"/>
  <c r="Z67" i="3"/>
  <c r="FH178" i="7"/>
  <c r="Z46" i="3"/>
  <c r="FH182" i="7"/>
  <c r="Z48" i="3"/>
  <c r="FH202" i="7"/>
  <c r="Z63" i="3"/>
  <c r="FF193" i="7"/>
  <c r="X57" i="3"/>
  <c r="FH195" i="7"/>
  <c r="Z59" i="3"/>
  <c r="FH187" i="7"/>
  <c r="Z52" i="3"/>
  <c r="FH203" i="7"/>
  <c r="Z64" i="3"/>
  <c r="FH194" i="7"/>
  <c r="Z58" i="3"/>
  <c r="EZ192" i="7"/>
  <c r="R56" i="3"/>
  <c r="BG277" i="7"/>
  <c r="BH275" i="7"/>
  <c r="AZ63" i="3"/>
  <c r="AS63" i="3"/>
  <c r="AS85" i="3" s="1"/>
  <c r="AY69" i="3"/>
  <c r="AY85" i="3" s="1"/>
  <c r="FB43" i="7"/>
  <c r="EZ43" i="7"/>
  <c r="CP300" i="7"/>
  <c r="CQ294" i="7"/>
  <c r="CQ299" i="7" s="1"/>
  <c r="CW294" i="7"/>
  <c r="CW299" i="7" s="1"/>
  <c r="CJ300" i="7"/>
  <c r="CK294" i="7"/>
  <c r="CK299" i="7" s="1"/>
  <c r="BY300" i="7"/>
  <c r="BZ294" i="7"/>
  <c r="BZ299" i="7" s="1"/>
  <c r="BZ300" i="7" s="1"/>
  <c r="CD300" i="7"/>
  <c r="CF294" i="7"/>
  <c r="CF299" i="7" s="1"/>
  <c r="BA63" i="3" l="1"/>
  <c r="AU63" i="3"/>
  <c r="AT63" i="3"/>
  <c r="AT85" i="3" s="1"/>
  <c r="AN63" i="3"/>
  <c r="FL174" i="7"/>
  <c r="FI194" i="7"/>
  <c r="FJ194" i="7" s="1"/>
  <c r="FK194" i="7" s="1"/>
  <c r="FL194" i="7" s="1"/>
  <c r="FM194" i="7" s="1"/>
  <c r="FN194" i="7" s="1"/>
  <c r="FO194" i="7" s="1"/>
  <c r="FP194" i="7" s="1"/>
  <c r="FQ194" i="7" s="1"/>
  <c r="FR194" i="7" s="1"/>
  <c r="FS194" i="7" s="1"/>
  <c r="FT194" i="7" s="1"/>
  <c r="FU194" i="7" s="1"/>
  <c r="FV194" i="7" s="1"/>
  <c r="AA58" i="3"/>
  <c r="FI187" i="7"/>
  <c r="FJ187" i="7" s="1"/>
  <c r="FK187" i="7" s="1"/>
  <c r="FL187" i="7" s="1"/>
  <c r="FM187" i="7" s="1"/>
  <c r="FN187" i="7" s="1"/>
  <c r="FO187" i="7" s="1"/>
  <c r="FP187" i="7" s="1"/>
  <c r="FQ187" i="7" s="1"/>
  <c r="FR187" i="7" s="1"/>
  <c r="FS187" i="7" s="1"/>
  <c r="FT187" i="7" s="1"/>
  <c r="FU187" i="7" s="1"/>
  <c r="FV187" i="7" s="1"/>
  <c r="AA52" i="3"/>
  <c r="FG193" i="7"/>
  <c r="Y57" i="3"/>
  <c r="FI182" i="7"/>
  <c r="FJ182" i="7" s="1"/>
  <c r="FK182" i="7" s="1"/>
  <c r="FL182" i="7" s="1"/>
  <c r="FM182" i="7" s="1"/>
  <c r="FN182" i="7" s="1"/>
  <c r="FO182" i="7" s="1"/>
  <c r="FP182" i="7" s="1"/>
  <c r="FQ182" i="7" s="1"/>
  <c r="FR182" i="7" s="1"/>
  <c r="FS182" i="7" s="1"/>
  <c r="FT182" i="7" s="1"/>
  <c r="FU182" i="7" s="1"/>
  <c r="FV182" i="7" s="1"/>
  <c r="AA48" i="3"/>
  <c r="FI206" i="7"/>
  <c r="FJ206" i="7" s="1"/>
  <c r="FK206" i="7" s="1"/>
  <c r="FL206" i="7" s="1"/>
  <c r="FM206" i="7" s="1"/>
  <c r="FN206" i="7" s="1"/>
  <c r="FO206" i="7" s="1"/>
  <c r="FP206" i="7" s="1"/>
  <c r="FQ206" i="7" s="1"/>
  <c r="FR206" i="7" s="1"/>
  <c r="FS206" i="7" s="1"/>
  <c r="FT206" i="7" s="1"/>
  <c r="FU206" i="7" s="1"/>
  <c r="FV206" i="7" s="1"/>
  <c r="AA67" i="3"/>
  <c r="FI205" i="7"/>
  <c r="FJ205" i="7" s="1"/>
  <c r="FK205" i="7" s="1"/>
  <c r="FL205" i="7" s="1"/>
  <c r="FM205" i="7" s="1"/>
  <c r="FN205" i="7" s="1"/>
  <c r="FO205" i="7" s="1"/>
  <c r="FP205" i="7" s="1"/>
  <c r="FQ205" i="7" s="1"/>
  <c r="FR205" i="7" s="1"/>
  <c r="FS205" i="7" s="1"/>
  <c r="FT205" i="7" s="1"/>
  <c r="FU205" i="7" s="1"/>
  <c r="FV205" i="7" s="1"/>
  <c r="AA66" i="3"/>
  <c r="FI215" i="7"/>
  <c r="FJ215" i="7" s="1"/>
  <c r="FK215" i="7" s="1"/>
  <c r="FL215" i="7" s="1"/>
  <c r="FM215" i="7" s="1"/>
  <c r="FN215" i="7" s="1"/>
  <c r="FO215" i="7" s="1"/>
  <c r="FP215" i="7" s="1"/>
  <c r="FQ215" i="7" s="1"/>
  <c r="FR215" i="7" s="1"/>
  <c r="FS215" i="7" s="1"/>
  <c r="FT215" i="7" s="1"/>
  <c r="FU215" i="7" s="1"/>
  <c r="FV215" i="7" s="1"/>
  <c r="AA74" i="3"/>
  <c r="FI203" i="7"/>
  <c r="FJ203" i="7" s="1"/>
  <c r="FK203" i="7" s="1"/>
  <c r="FL203" i="7" s="1"/>
  <c r="FM203" i="7" s="1"/>
  <c r="FN203" i="7" s="1"/>
  <c r="FO203" i="7" s="1"/>
  <c r="FP203" i="7" s="1"/>
  <c r="FQ203" i="7" s="1"/>
  <c r="FR203" i="7" s="1"/>
  <c r="FS203" i="7" s="1"/>
  <c r="FT203" i="7" s="1"/>
  <c r="FU203" i="7" s="1"/>
  <c r="FV203" i="7" s="1"/>
  <c r="AA64" i="3"/>
  <c r="FI195" i="7"/>
  <c r="FJ195" i="7" s="1"/>
  <c r="FK195" i="7" s="1"/>
  <c r="FL195" i="7" s="1"/>
  <c r="FM195" i="7" s="1"/>
  <c r="FN195" i="7" s="1"/>
  <c r="FO195" i="7" s="1"/>
  <c r="FP195" i="7" s="1"/>
  <c r="FQ195" i="7" s="1"/>
  <c r="FR195" i="7" s="1"/>
  <c r="FS195" i="7" s="1"/>
  <c r="FT195" i="7" s="1"/>
  <c r="FU195" i="7" s="1"/>
  <c r="FV195" i="7" s="1"/>
  <c r="AA59" i="3"/>
  <c r="FI202" i="7"/>
  <c r="FJ202" i="7" s="1"/>
  <c r="FK202" i="7" s="1"/>
  <c r="FL202" i="7" s="1"/>
  <c r="FM202" i="7" s="1"/>
  <c r="FN202" i="7" s="1"/>
  <c r="FO202" i="7" s="1"/>
  <c r="FP202" i="7" s="1"/>
  <c r="FQ202" i="7" s="1"/>
  <c r="FR202" i="7" s="1"/>
  <c r="FS202" i="7" s="1"/>
  <c r="FT202" i="7" s="1"/>
  <c r="FU202" i="7" s="1"/>
  <c r="FV202" i="7" s="1"/>
  <c r="AA63" i="3"/>
  <c r="FI178" i="7"/>
  <c r="AA46" i="3"/>
  <c r="AA72" i="3"/>
  <c r="FH185" i="7"/>
  <c r="Z51" i="3"/>
  <c r="FI183" i="7"/>
  <c r="FJ183" i="7" s="1"/>
  <c r="FK183" i="7" s="1"/>
  <c r="FL183" i="7" s="1"/>
  <c r="FM183" i="7" s="1"/>
  <c r="FN183" i="7" s="1"/>
  <c r="FO183" i="7" s="1"/>
  <c r="FP183" i="7" s="1"/>
  <c r="FQ183" i="7" s="1"/>
  <c r="FR183" i="7" s="1"/>
  <c r="FS183" i="7" s="1"/>
  <c r="FT183" i="7" s="1"/>
  <c r="FU183" i="7" s="1"/>
  <c r="FV183" i="7" s="1"/>
  <c r="AA49" i="3"/>
  <c r="FA192" i="7"/>
  <c r="S56" i="3"/>
  <c r="BI275" i="7"/>
  <c r="BH277" i="7"/>
  <c r="FC43" i="7"/>
  <c r="CF300" i="7"/>
  <c r="CG294" i="7"/>
  <c r="CG299" i="7" s="1"/>
  <c r="CG300" i="7" s="1"/>
  <c r="CK300" i="7"/>
  <c r="CM294" i="7"/>
  <c r="CM299" i="7" s="1"/>
  <c r="FA43" i="7"/>
  <c r="CW300" i="7"/>
  <c r="CX294" i="7"/>
  <c r="CX299" i="7" s="1"/>
  <c r="DD294" i="7"/>
  <c r="DD299" i="7" s="1"/>
  <c r="CQ300" i="7"/>
  <c r="CR294" i="7"/>
  <c r="CR299" i="7" s="1"/>
  <c r="BA69" i="3" l="1"/>
  <c r="BA85" i="3" s="1"/>
  <c r="AZ69" i="3"/>
  <c r="AZ85" i="3" s="1"/>
  <c r="AN69" i="3"/>
  <c r="AN85" i="3" s="1"/>
  <c r="FM174" i="7"/>
  <c r="FN174" i="7" s="1"/>
  <c r="FO174" i="7" s="1"/>
  <c r="FJ178" i="7"/>
  <c r="FK178" i="7" s="1"/>
  <c r="FL178" i="7" s="1"/>
  <c r="FM178" i="7" s="1"/>
  <c r="FN178" i="7" s="1"/>
  <c r="FO178" i="7" s="1"/>
  <c r="FP178" i="7" s="1"/>
  <c r="FQ178" i="7" s="1"/>
  <c r="FR178" i="7" s="1"/>
  <c r="FS178" i="7" s="1"/>
  <c r="FT178" i="7" s="1"/>
  <c r="FU178" i="7" s="1"/>
  <c r="FV178" i="7" s="1"/>
  <c r="FI185" i="7"/>
  <c r="FJ185" i="7" s="1"/>
  <c r="FK185" i="7" s="1"/>
  <c r="FL185" i="7" s="1"/>
  <c r="FM185" i="7" s="1"/>
  <c r="FN185" i="7" s="1"/>
  <c r="FO185" i="7" s="1"/>
  <c r="FP185" i="7" s="1"/>
  <c r="FQ185" i="7" s="1"/>
  <c r="FR185" i="7" s="1"/>
  <c r="FS185" i="7" s="1"/>
  <c r="FT185" i="7" s="1"/>
  <c r="FU185" i="7" s="1"/>
  <c r="FV185" i="7" s="1"/>
  <c r="AA51" i="3"/>
  <c r="FD43" i="7"/>
  <c r="FH193" i="7"/>
  <c r="Z57" i="3"/>
  <c r="FB192" i="7"/>
  <c r="T56" i="3"/>
  <c r="BI277" i="7"/>
  <c r="BJ275" i="7"/>
  <c r="CX300" i="7"/>
  <c r="CY294" i="7"/>
  <c r="CY299" i="7" s="1"/>
  <c r="DD300" i="7"/>
  <c r="DK294" i="7"/>
  <c r="DK299" i="7" s="1"/>
  <c r="DE294" i="7"/>
  <c r="DE299" i="7" s="1"/>
  <c r="CR300" i="7"/>
  <c r="CT294" i="7"/>
  <c r="CT299" i="7" s="1"/>
  <c r="CM300" i="7"/>
  <c r="CN294" i="7"/>
  <c r="CN299" i="7" s="1"/>
  <c r="CN300" i="7" s="1"/>
  <c r="AO35" i="3"/>
  <c r="FE43" i="7"/>
  <c r="FP174" i="7" l="1"/>
  <c r="L71" i="3"/>
  <c r="FC192" i="7"/>
  <c r="U56" i="3"/>
  <c r="FI193" i="7"/>
  <c r="FJ193" i="7" s="1"/>
  <c r="FK193" i="7" s="1"/>
  <c r="FL193" i="7" s="1"/>
  <c r="FM193" i="7" s="1"/>
  <c r="FN193" i="7" s="1"/>
  <c r="FO193" i="7" s="1"/>
  <c r="FP193" i="7" s="1"/>
  <c r="FQ193" i="7" s="1"/>
  <c r="FR193" i="7" s="1"/>
  <c r="FS193" i="7" s="1"/>
  <c r="FT193" i="7" s="1"/>
  <c r="FU193" i="7" s="1"/>
  <c r="FV193" i="7" s="1"/>
  <c r="AA57" i="3"/>
  <c r="BK275" i="7"/>
  <c r="BJ277" i="7"/>
  <c r="CT300" i="7"/>
  <c r="CU294" i="7"/>
  <c r="CU299" i="7" s="1"/>
  <c r="CU300" i="7" s="1"/>
  <c r="CY300" i="7"/>
  <c r="DA294" i="7"/>
  <c r="DA299" i="7" s="1"/>
  <c r="EV96" i="7"/>
  <c r="AP35" i="3" s="1"/>
  <c r="DE300" i="7"/>
  <c r="DF294" i="7"/>
  <c r="DF299" i="7" s="1"/>
  <c r="FF43" i="7"/>
  <c r="DK300" i="7"/>
  <c r="DL294" i="7"/>
  <c r="DL299" i="7" s="1"/>
  <c r="DR294" i="7"/>
  <c r="DR299" i="7" s="1"/>
  <c r="DY294" i="7" s="1"/>
  <c r="DY299" i="7" s="1"/>
  <c r="EF294" i="7" s="1"/>
  <c r="EF299" i="7" s="1"/>
  <c r="EM294" i="7" s="1"/>
  <c r="EM299" i="7" s="1"/>
  <c r="FQ174" i="7" l="1"/>
  <c r="FR174" i="7" s="1"/>
  <c r="EM300" i="7"/>
  <c r="EN294" i="7"/>
  <c r="EN299" i="7" s="1"/>
  <c r="EF300" i="7"/>
  <c r="EG294" i="7"/>
  <c r="EG299" i="7" s="1"/>
  <c r="FD192" i="7"/>
  <c r="V56" i="3"/>
  <c r="DY300" i="7"/>
  <c r="DZ294" i="7"/>
  <c r="DZ299" i="7" s="1"/>
  <c r="BB63" i="3"/>
  <c r="BE63" i="3" s="1"/>
  <c r="BK277" i="7"/>
  <c r="BL275" i="7"/>
  <c r="FI43" i="7"/>
  <c r="FG43" i="7"/>
  <c r="DR300" i="7"/>
  <c r="DS294" i="7"/>
  <c r="DS299" i="7" s="1"/>
  <c r="DA300" i="7"/>
  <c r="DB294" i="7"/>
  <c r="DB299" i="7" s="1"/>
  <c r="DB300" i="7" s="1"/>
  <c r="DL300" i="7"/>
  <c r="DM294" i="7"/>
  <c r="DM299" i="7" s="1"/>
  <c r="DF300" i="7"/>
  <c r="DH294" i="7"/>
  <c r="DH299" i="7" s="1"/>
  <c r="EX96" i="7"/>
  <c r="AR35" i="3" s="1"/>
  <c r="EN300" i="7" l="1"/>
  <c r="EO294" i="7"/>
  <c r="EO299" i="7" s="1"/>
  <c r="EO300" i="7" s="1"/>
  <c r="FS174" i="7"/>
  <c r="EG300" i="7"/>
  <c r="EH294" i="7"/>
  <c r="EH299" i="7" s="1"/>
  <c r="FE192" i="7"/>
  <c r="W56" i="3"/>
  <c r="DZ300" i="7"/>
  <c r="EA294" i="7"/>
  <c r="EA299" i="7" s="1"/>
  <c r="BM275" i="7"/>
  <c r="BL277" i="7"/>
  <c r="ER181" i="7"/>
  <c r="ER109" i="7" s="1"/>
  <c r="EY96" i="7"/>
  <c r="AS35" i="3" s="1"/>
  <c r="FH43" i="7"/>
  <c r="DH300" i="7"/>
  <c r="DI294" i="7"/>
  <c r="DI299" i="7" s="1"/>
  <c r="DI300" i="7" s="1"/>
  <c r="DS300" i="7"/>
  <c r="DT294" i="7"/>
  <c r="DT299" i="7" s="1"/>
  <c r="DV294" i="7" s="1"/>
  <c r="DV299" i="7" s="1"/>
  <c r="FJ43" i="7"/>
  <c r="FK43" i="7" s="1"/>
  <c r="DM300" i="7"/>
  <c r="DO294" i="7"/>
  <c r="DO299" i="7" s="1"/>
  <c r="ER211" i="7"/>
  <c r="AU69" i="3" l="1"/>
  <c r="AU85" i="3" s="1"/>
  <c r="FT174" i="7"/>
  <c r="FU174" i="7" s="1"/>
  <c r="FV174" i="7" s="1"/>
  <c r="EH300" i="7"/>
  <c r="EJ294" i="7"/>
  <c r="EJ299" i="7" s="1"/>
  <c r="FF192" i="7"/>
  <c r="X56" i="3"/>
  <c r="EA300" i="7"/>
  <c r="EC294" i="7"/>
  <c r="EC299" i="7" s="1"/>
  <c r="DV300" i="7"/>
  <c r="DW294" i="7"/>
  <c r="DW299" i="7" s="1"/>
  <c r="DW300" i="7" s="1"/>
  <c r="BM277" i="7"/>
  <c r="BN275" i="7"/>
  <c r="AV35" i="3"/>
  <c r="ES181" i="7"/>
  <c r="DT300" i="7"/>
  <c r="DO300" i="7"/>
  <c r="DP294" i="7"/>
  <c r="DP299" i="7" s="1"/>
  <c r="DP300" i="7" s="1"/>
  <c r="FL43" i="7"/>
  <c r="EJ300" i="7" l="1"/>
  <c r="EK294" i="7"/>
  <c r="EK299" i="7" s="1"/>
  <c r="EK300" i="7" s="1"/>
  <c r="FG192" i="7"/>
  <c r="Y56" i="3"/>
  <c r="EC300" i="7"/>
  <c r="ED294" i="7"/>
  <c r="ED299" i="7" s="1"/>
  <c r="ED300" i="7" s="1"/>
  <c r="BO275" i="7"/>
  <c r="BN277" i="7"/>
  <c r="FM43" i="7"/>
  <c r="AW35" i="3"/>
  <c r="ET181" i="7"/>
  <c r="FH192" i="7" l="1"/>
  <c r="Z56" i="3"/>
  <c r="BO277" i="7"/>
  <c r="BP275" i="7"/>
  <c r="EU181" i="7"/>
  <c r="FP43" i="7"/>
  <c r="FN43" i="7"/>
  <c r="AY35" i="3"/>
  <c r="ER295" i="7"/>
  <c r="ES211" i="7"/>
  <c r="EU109" i="7" l="1"/>
  <c r="FI192" i="7"/>
  <c r="FJ192" i="7" s="1"/>
  <c r="FK192" i="7" s="1"/>
  <c r="FL192" i="7" s="1"/>
  <c r="FM192" i="7" s="1"/>
  <c r="FN192" i="7" s="1"/>
  <c r="FO192" i="7" s="1"/>
  <c r="FP192" i="7" s="1"/>
  <c r="FQ192" i="7" s="1"/>
  <c r="FR192" i="7" s="1"/>
  <c r="FS192" i="7" s="1"/>
  <c r="FT192" i="7" s="1"/>
  <c r="FU192" i="7" s="1"/>
  <c r="FV192" i="7" s="1"/>
  <c r="AA56" i="3"/>
  <c r="BP277" i="7"/>
  <c r="BQ275" i="7"/>
  <c r="ET211" i="7"/>
  <c r="FO43" i="7"/>
  <c r="FQ43" i="7"/>
  <c r="AZ35" i="3"/>
  <c r="EV181" i="7"/>
  <c r="EV109" i="7" s="1"/>
  <c r="BB69" i="3" l="1"/>
  <c r="EW109" i="7"/>
  <c r="M71" i="3"/>
  <c r="EU211" i="7"/>
  <c r="EV211" i="7" s="1"/>
  <c r="BQ277" i="7"/>
  <c r="BR275" i="7"/>
  <c r="FS43" i="7"/>
  <c r="FR43" i="7"/>
  <c r="ET295" i="7"/>
  <c r="EW181" i="7"/>
  <c r="BB85" i="3" l="1"/>
  <c r="BE69" i="3"/>
  <c r="N71" i="3"/>
  <c r="BR277" i="7"/>
  <c r="BS275" i="7"/>
  <c r="EX181" i="7"/>
  <c r="FT43" i="7"/>
  <c r="EU295" i="7"/>
  <c r="O71" i="3"/>
  <c r="EX109" i="7" l="1"/>
  <c r="BS277" i="7"/>
  <c r="BT275" i="7"/>
  <c r="EY181" i="7"/>
  <c r="EY109" i="7" s="1"/>
  <c r="EV295" i="7"/>
  <c r="EW211" i="7"/>
  <c r="EX211" i="7" s="1"/>
  <c r="EY211" i="7" s="1"/>
  <c r="FU43" i="7"/>
  <c r="EZ109" i="7" l="1"/>
  <c r="FA109" i="7" s="1"/>
  <c r="P71" i="3"/>
  <c r="BU275" i="7"/>
  <c r="BT277" i="7"/>
  <c r="J7" i="3"/>
  <c r="Q71" i="3"/>
  <c r="EZ181" i="7"/>
  <c r="FV43" i="7"/>
  <c r="AK40" i="3" l="1"/>
  <c r="J10" i="3"/>
  <c r="BV275" i="7"/>
  <c r="BU277" i="7"/>
  <c r="J44" i="3"/>
  <c r="AK28" i="3"/>
  <c r="J45" i="3"/>
  <c r="FA181" i="7"/>
  <c r="EX295" i="7"/>
  <c r="R71" i="3"/>
  <c r="J8" i="3" l="1"/>
  <c r="J12" i="3"/>
  <c r="BW275" i="7"/>
  <c r="BV277" i="7"/>
  <c r="E76" i="4"/>
  <c r="J27" i="3"/>
  <c r="J24" i="3"/>
  <c r="J55" i="3"/>
  <c r="FB181" i="7"/>
  <c r="EY295" i="7"/>
  <c r="EZ211" i="7"/>
  <c r="S71" i="3" s="1"/>
  <c r="FB109" i="7" l="1"/>
  <c r="BX275" i="7"/>
  <c r="BW277" i="7"/>
  <c r="J61" i="3"/>
  <c r="J60" i="3" s="1"/>
  <c r="FC181" i="7"/>
  <c r="FC109" i="7" s="1"/>
  <c r="FA211" i="7"/>
  <c r="FB211" i="7" s="1"/>
  <c r="FC211" i="7" s="1"/>
  <c r="FD211" i="7" s="1"/>
  <c r="FE211" i="7" s="1"/>
  <c r="FF211" i="7" s="1"/>
  <c r="FG211" i="7" s="1"/>
  <c r="FH211" i="7" s="1"/>
  <c r="FI211" i="7" s="1"/>
  <c r="FJ211" i="7" s="1"/>
  <c r="FK211" i="7" s="1"/>
  <c r="FL211" i="7" s="1"/>
  <c r="FM211" i="7" s="1"/>
  <c r="FN211" i="7" s="1"/>
  <c r="FO211" i="7" s="1"/>
  <c r="FP211" i="7" s="1"/>
  <c r="FQ211" i="7" s="1"/>
  <c r="FR211" i="7" s="1"/>
  <c r="FS211" i="7" s="1"/>
  <c r="FT211" i="7" s="1"/>
  <c r="FU211" i="7" s="1"/>
  <c r="FV211" i="7" s="1"/>
  <c r="FD109" i="7" l="1"/>
  <c r="T71" i="3"/>
  <c r="BX277" i="7"/>
  <c r="BY275" i="7"/>
  <c r="J13" i="3"/>
  <c r="FD181" i="7"/>
  <c r="FA295" i="7"/>
  <c r="U71" i="3"/>
  <c r="AK35" i="3" l="1"/>
  <c r="BY277" i="7"/>
  <c r="BZ275" i="7"/>
  <c r="J26" i="3"/>
  <c r="J29" i="3" s="1"/>
  <c r="J15" i="3"/>
  <c r="FE181" i="7"/>
  <c r="FB295" i="7"/>
  <c r="V71" i="3"/>
  <c r="FE109" i="7" l="1"/>
  <c r="BZ277" i="7"/>
  <c r="CA275" i="7"/>
  <c r="AK30" i="3"/>
  <c r="J36" i="3"/>
  <c r="J38" i="3" s="1"/>
  <c r="J40" i="3" s="1"/>
  <c r="K7" i="3"/>
  <c r="J18" i="3"/>
  <c r="K10" i="3"/>
  <c r="FC295" i="7"/>
  <c r="W71" i="3"/>
  <c r="FF181" i="7"/>
  <c r="FF109" i="7" s="1"/>
  <c r="FG109" i="7" l="1"/>
  <c r="FH109" i="7" s="1"/>
  <c r="CA277" i="7"/>
  <c r="CB275" i="7"/>
  <c r="AL40" i="3"/>
  <c r="AL28" i="3"/>
  <c r="J43" i="3"/>
  <c r="J47" i="3" s="1"/>
  <c r="J54" i="3" s="1"/>
  <c r="J73" i="3"/>
  <c r="J75" i="3" s="1"/>
  <c r="K8" i="3"/>
  <c r="J19" i="3"/>
  <c r="K12" i="3"/>
  <c r="K45" i="3"/>
  <c r="J16" i="3"/>
  <c r="AK23" i="3"/>
  <c r="J62" i="3"/>
  <c r="J68" i="3" s="1"/>
  <c r="J69" i="3" s="1"/>
  <c r="K44" i="3"/>
  <c r="FG181" i="7"/>
  <c r="X71" i="3"/>
  <c r="CB277" i="7" l="1"/>
  <c r="C21" i="3" s="1"/>
  <c r="CC275" i="7"/>
  <c r="AK29" i="3"/>
  <c r="K55" i="3"/>
  <c r="K24" i="3"/>
  <c r="J70" i="3"/>
  <c r="K27" i="3"/>
  <c r="K65" i="3"/>
  <c r="FE295" i="7"/>
  <c r="Y71" i="3"/>
  <c r="FH181" i="7"/>
  <c r="K28" i="3" l="1"/>
  <c r="AK44" i="3"/>
  <c r="CD275" i="7"/>
  <c r="CC277" i="7"/>
  <c r="F76" i="4"/>
  <c r="AK38" i="3"/>
  <c r="K61" i="3"/>
  <c r="K60" i="3" s="1"/>
  <c r="AL35" i="3"/>
  <c r="FF295" i="7"/>
  <c r="Z71" i="3"/>
  <c r="FI181" i="7"/>
  <c r="FI109" i="7" l="1"/>
  <c r="EV22" i="7"/>
  <c r="FC22" i="7" s="1"/>
  <c r="FJ22" i="7" s="1"/>
  <c r="FQ22" i="7" s="1"/>
  <c r="EU22" i="7"/>
  <c r="CE275" i="7"/>
  <c r="CD277" i="7"/>
  <c r="AK41" i="3"/>
  <c r="K13" i="3"/>
  <c r="AK39" i="3"/>
  <c r="AA71" i="3"/>
  <c r="FJ181" i="7"/>
  <c r="FJ109" i="7" s="1"/>
  <c r="FK109" i="7" l="1"/>
  <c r="EW22" i="7"/>
  <c r="FB22" i="7"/>
  <c r="CF275" i="7"/>
  <c r="CE277" i="7"/>
  <c r="K26" i="3"/>
  <c r="K29" i="3" s="1"/>
  <c r="K15" i="3"/>
  <c r="FH295" i="7"/>
  <c r="FK181" i="7"/>
  <c r="AL30" i="3" l="1"/>
  <c r="FD22" i="7"/>
  <c r="FI22" i="7"/>
  <c r="CF277" i="7"/>
  <c r="CG275" i="7"/>
  <c r="K18" i="3"/>
  <c r="L7" i="3"/>
  <c r="FI295" i="7"/>
  <c r="FL181" i="7"/>
  <c r="FL109" i="7" l="1"/>
  <c r="FK22" i="7"/>
  <c r="FP22" i="7"/>
  <c r="FR22" i="7" s="1"/>
  <c r="CH275" i="7"/>
  <c r="CG277" i="7"/>
  <c r="L10" i="3"/>
  <c r="K19" i="3"/>
  <c r="AM28" i="3"/>
  <c r="L45" i="3"/>
  <c r="L44" i="3"/>
  <c r="AL23" i="3"/>
  <c r="K16" i="3"/>
  <c r="FJ295" i="7"/>
  <c r="FM181" i="7"/>
  <c r="FM109" i="7" s="1"/>
  <c r="FN109" i="7" l="1"/>
  <c r="FO109" i="7" s="1"/>
  <c r="CI275" i="7"/>
  <c r="CH277" i="7"/>
  <c r="L27" i="3"/>
  <c r="L65" i="3"/>
  <c r="L55" i="3"/>
  <c r="L28" i="3"/>
  <c r="AL29" i="3"/>
  <c r="FN181" i="7"/>
  <c r="CJ275" i="7" l="1"/>
  <c r="CI277" i="7"/>
  <c r="D21" i="3" s="1"/>
  <c r="L61" i="3"/>
  <c r="L60" i="3" s="1"/>
  <c r="FO181" i="7"/>
  <c r="FL295" i="7"/>
  <c r="G76" i="4" l="1"/>
  <c r="CK275" i="7"/>
  <c r="CJ277" i="7"/>
  <c r="FP181" i="7"/>
  <c r="FM295" i="7"/>
  <c r="AR64" i="3" l="1"/>
  <c r="AR86" i="3" s="1"/>
  <c r="FP109" i="7"/>
  <c r="CL275" i="7"/>
  <c r="CK277" i="7"/>
  <c r="EU83" i="7"/>
  <c r="FQ181" i="7"/>
  <c r="FQ109" i="7" s="1"/>
  <c r="ER83" i="7" l="1"/>
  <c r="AS64" i="3"/>
  <c r="AS86" i="3" s="1"/>
  <c r="FR109" i="7"/>
  <c r="CM275" i="7"/>
  <c r="CL277" i="7"/>
  <c r="EU89" i="7"/>
  <c r="FO295" i="7"/>
  <c r="FR181" i="7"/>
  <c r="BA70" i="3" l="1"/>
  <c r="ES83" i="7"/>
  <c r="ER89" i="7"/>
  <c r="AX70" i="3"/>
  <c r="AV64" i="3"/>
  <c r="AV86" i="3" s="1"/>
  <c r="CM277" i="7"/>
  <c r="CN275" i="7"/>
  <c r="AX64" i="3"/>
  <c r="FP295" i="7"/>
  <c r="FS181" i="7"/>
  <c r="AX86" i="3" l="1"/>
  <c r="AT64" i="3"/>
  <c r="AT86" i="3" s="1"/>
  <c r="AN64" i="3"/>
  <c r="AY70" i="3"/>
  <c r="ES89" i="7"/>
  <c r="ET83" i="7"/>
  <c r="EV83" i="7"/>
  <c r="FS109" i="7"/>
  <c r="CN277" i="7"/>
  <c r="CO275" i="7"/>
  <c r="EX83" i="7"/>
  <c r="FT181" i="7"/>
  <c r="FT109" i="7" s="1"/>
  <c r="FQ295" i="7"/>
  <c r="EW83" i="7" l="1"/>
  <c r="AW64" i="3"/>
  <c r="AW86" i="3" s="1"/>
  <c r="FU109" i="7"/>
  <c r="FV109" i="7" s="1"/>
  <c r="CP275" i="7"/>
  <c r="CO277" i="7"/>
  <c r="EX89" i="7"/>
  <c r="FU181" i="7"/>
  <c r="AN70" i="3" l="1"/>
  <c r="AN86" i="3" s="1"/>
  <c r="AZ70" i="3"/>
  <c r="EV89" i="7"/>
  <c r="ET89" i="7"/>
  <c r="CP277" i="7"/>
  <c r="E21" i="3" s="1"/>
  <c r="CQ275" i="7"/>
  <c r="FV181" i="7"/>
  <c r="FS295" i="7"/>
  <c r="EW89" i="7" l="1"/>
  <c r="CR275" i="7"/>
  <c r="CQ277" i="7"/>
  <c r="H76" i="4"/>
  <c r="FB83" i="7"/>
  <c r="FT295" i="7"/>
  <c r="EY83" i="7" l="1"/>
  <c r="AY64" i="3"/>
  <c r="AY86" i="3" s="1"/>
  <c r="CR277" i="7"/>
  <c r="CS275" i="7"/>
  <c r="FB89" i="7"/>
  <c r="EZ83" i="7" l="1"/>
  <c r="AZ64" i="3"/>
  <c r="AZ86" i="3" s="1"/>
  <c r="FC83" i="7"/>
  <c r="CT275" i="7"/>
  <c r="CS277" i="7"/>
  <c r="FV295" i="7"/>
  <c r="AU64" i="3" l="1"/>
  <c r="BA64" i="3"/>
  <c r="BA86" i="3" s="1"/>
  <c r="EY89" i="7"/>
  <c r="FA83" i="7"/>
  <c r="FD83" i="7"/>
  <c r="CU275" i="7"/>
  <c r="CT277" i="7"/>
  <c r="FE83" i="7"/>
  <c r="EZ89" i="7" l="1"/>
  <c r="CU277" i="7"/>
  <c r="CV275" i="7"/>
  <c r="FE89" i="7"/>
  <c r="AU70" i="3" l="1"/>
  <c r="AU86" i="3" s="1"/>
  <c r="FA89" i="7"/>
  <c r="FC89" i="7"/>
  <c r="CV277" i="7"/>
  <c r="CW275" i="7"/>
  <c r="FD89" i="7" l="1"/>
  <c r="FF83" i="7"/>
  <c r="CX275" i="7"/>
  <c r="CW277" i="7"/>
  <c r="F21" i="3" s="1"/>
  <c r="FI83" i="7"/>
  <c r="FG83" i="7" l="1"/>
  <c r="CX277" i="7"/>
  <c r="CY275" i="7"/>
  <c r="FI89" i="7"/>
  <c r="FJ83" i="7" l="1"/>
  <c r="BB64" i="3"/>
  <c r="BE64" i="3" s="1"/>
  <c r="CZ275" i="7"/>
  <c r="CY277" i="7"/>
  <c r="FH83" i="7" l="1"/>
  <c r="FK83" i="7"/>
  <c r="FF89" i="7"/>
  <c r="FM83" i="7"/>
  <c r="CZ277" i="7"/>
  <c r="DA275" i="7"/>
  <c r="FL83" i="7"/>
  <c r="FN83" i="7" l="1"/>
  <c r="FG89" i="7"/>
  <c r="FJ89" i="7"/>
  <c r="DB275" i="7"/>
  <c r="DA277" i="7"/>
  <c r="FL89" i="7"/>
  <c r="BB70" i="3" l="1"/>
  <c r="FK89" i="7"/>
  <c r="FH89" i="7"/>
  <c r="DC275" i="7"/>
  <c r="DB277" i="7"/>
  <c r="FM89" i="7"/>
  <c r="FO83" i="7" l="1"/>
  <c r="BB86" i="3"/>
  <c r="BE70" i="3"/>
  <c r="DC277" i="7"/>
  <c r="DD275" i="7"/>
  <c r="FN89" i="7"/>
  <c r="FP83" i="7"/>
  <c r="DE275" i="7" l="1"/>
  <c r="DD277" i="7"/>
  <c r="G21" i="3" s="1"/>
  <c r="FP89" i="7"/>
  <c r="FO89" i="7"/>
  <c r="DE277" i="7" l="1"/>
  <c r="DF275" i="7"/>
  <c r="FQ83" i="7" l="1"/>
  <c r="DF277" i="7"/>
  <c r="DG275" i="7"/>
  <c r="FS83" i="7"/>
  <c r="FR83" i="7" l="1"/>
  <c r="DG277" i="7"/>
  <c r="DH275" i="7"/>
  <c r="FS89" i="7"/>
  <c r="FQ89" i="7" l="1"/>
  <c r="FT83" i="7"/>
  <c r="DI275" i="7"/>
  <c r="DH277" i="7"/>
  <c r="FR89" i="7" l="1"/>
  <c r="FU83" i="7"/>
  <c r="DI277" i="7"/>
  <c r="DJ275" i="7"/>
  <c r="FT89" i="7" l="1"/>
  <c r="DK275" i="7"/>
  <c r="DJ277" i="7"/>
  <c r="FV83" i="7" l="1"/>
  <c r="FU89" i="7"/>
  <c r="DK277" i="7"/>
  <c r="H21" i="3" s="1"/>
  <c r="DL275" i="7"/>
  <c r="DM275" i="7" l="1"/>
  <c r="DL277" i="7"/>
  <c r="FV89" i="7" l="1"/>
  <c r="DM277" i="7"/>
  <c r="DN275" i="7"/>
  <c r="DN277" i="7" l="1"/>
  <c r="DO275" i="7"/>
  <c r="DO277" i="7" l="1"/>
  <c r="DP275" i="7"/>
  <c r="DQ275" i="7" l="1"/>
  <c r="DP277" i="7"/>
  <c r="DQ277" i="7" l="1"/>
  <c r="DR275" i="7"/>
  <c r="DS275" i="7" l="1"/>
  <c r="DR277" i="7"/>
  <c r="I21" i="3" l="1"/>
  <c r="DT275" i="7"/>
  <c r="DS277" i="7"/>
  <c r="DT277" i="7" l="1"/>
  <c r="DU275" i="7"/>
  <c r="DV275" i="7" s="1"/>
  <c r="DV277" i="7" l="1"/>
  <c r="DW275" i="7"/>
  <c r="DU277" i="7"/>
  <c r="DW277" i="7" l="1"/>
  <c r="DX275" i="7"/>
  <c r="DX277" i="7" l="1"/>
  <c r="DY275" i="7"/>
  <c r="DY277" i="7" l="1"/>
  <c r="DZ275" i="7"/>
  <c r="DZ277" i="7" l="1"/>
  <c r="EA275" i="7"/>
  <c r="EB275" i="7" l="1"/>
  <c r="EA277" i="7"/>
  <c r="J21" i="3"/>
  <c r="EB277" i="7" l="1"/>
  <c r="EC275" i="7"/>
  <c r="EC277" i="7" l="1"/>
  <c r="ED275" i="7"/>
  <c r="ED277" i="7" l="1"/>
  <c r="EE275" i="7"/>
  <c r="EF275" i="7" l="1"/>
  <c r="EE277" i="7"/>
  <c r="EF277" i="7" l="1"/>
  <c r="EG275" i="7"/>
  <c r="EG277" i="7" l="1"/>
  <c r="EH275" i="7"/>
  <c r="EI275" i="7" l="1"/>
  <c r="EH277" i="7"/>
  <c r="K21" i="3"/>
  <c r="EI277" i="7" l="1"/>
  <c r="EJ275" i="7"/>
  <c r="EJ277" i="7" l="1"/>
  <c r="EK275" i="7"/>
  <c r="EL275" i="7" l="1"/>
  <c r="EK277" i="7"/>
  <c r="EM275" i="7" l="1"/>
  <c r="EL277" i="7"/>
  <c r="EM277" i="7" l="1"/>
  <c r="EN275" i="7"/>
  <c r="EN277" i="7" l="1"/>
  <c r="EO275" i="7"/>
  <c r="EP275" i="7" l="1"/>
  <c r="EO277" i="7"/>
  <c r="L21" i="3"/>
  <c r="EP277" i="7" l="1"/>
  <c r="EQ275" i="7"/>
  <c r="EQ277" i="7" s="1"/>
  <c r="ER275" i="7" l="1"/>
  <c r="ER277" i="7" l="1"/>
  <c r="ES275" i="7"/>
  <c r="ET275" i="7" l="1"/>
  <c r="ES277" i="7"/>
  <c r="ET277" i="7" l="1"/>
  <c r="M21" i="3" s="1"/>
  <c r="EU275" i="7"/>
  <c r="EU277" i="7" l="1"/>
  <c r="N21" i="3" s="1"/>
  <c r="EV275" i="7"/>
  <c r="EW275" i="7" l="1"/>
  <c r="EV277" i="7"/>
  <c r="O21" i="3" s="1"/>
  <c r="EW277" i="7" l="1"/>
  <c r="P21" i="3" s="1"/>
  <c r="EX275" i="7"/>
  <c r="EY275" i="7" l="1"/>
  <c r="EX277" i="7"/>
  <c r="Q21" i="3" s="1"/>
  <c r="EZ275" i="7" l="1"/>
  <c r="EY277" i="7"/>
  <c r="R21" i="3" s="1"/>
  <c r="EZ277" i="7" l="1"/>
  <c r="S21" i="3" s="1"/>
  <c r="FA275" i="7"/>
  <c r="FB275" i="7" l="1"/>
  <c r="FA277" i="7"/>
  <c r="T21" i="3" s="1"/>
  <c r="FB277" i="7" l="1"/>
  <c r="U21" i="3" s="1"/>
  <c r="FC275" i="7"/>
  <c r="FD275" i="7" l="1"/>
  <c r="FC277" i="7"/>
  <c r="V21" i="3" s="1"/>
  <c r="FD277" i="7" l="1"/>
  <c r="W21" i="3" s="1"/>
  <c r="FE275" i="7"/>
  <c r="FF275" i="7" l="1"/>
  <c r="FE277" i="7"/>
  <c r="X21" i="3" s="1"/>
  <c r="FF277" i="7" l="1"/>
  <c r="Y21" i="3" s="1"/>
  <c r="FG275" i="7"/>
  <c r="FG277" i="7" l="1"/>
  <c r="Z21" i="3" s="1"/>
  <c r="FH275" i="7"/>
  <c r="FI275" i="7" l="1"/>
  <c r="FH277" i="7"/>
  <c r="AA21" i="3" s="1"/>
  <c r="FI277" i="7" l="1"/>
  <c r="FJ275" i="7"/>
  <c r="FJ277" i="7" l="1"/>
  <c r="FK275" i="7"/>
  <c r="FK277" i="7" l="1"/>
  <c r="FL275" i="7"/>
  <c r="FL277" i="7" l="1"/>
  <c r="FM275" i="7"/>
  <c r="FN275" i="7" l="1"/>
  <c r="FM277" i="7"/>
  <c r="FN277" i="7" l="1"/>
  <c r="FO275" i="7"/>
  <c r="FO277" i="7" l="1"/>
  <c r="FP275" i="7"/>
  <c r="FP277" i="7" l="1"/>
  <c r="FQ275" i="7"/>
  <c r="FR275" i="7" l="1"/>
  <c r="FQ277" i="7"/>
  <c r="FR277" i="7" l="1"/>
  <c r="FS275" i="7"/>
  <c r="FS277" i="7" l="1"/>
  <c r="FT275" i="7"/>
  <c r="FU275" i="7" l="1"/>
  <c r="FT277" i="7"/>
  <c r="FV275" i="7" l="1"/>
  <c r="FV277" i="7" s="1"/>
  <c r="FU277" i="7"/>
  <c r="DT267" i="7" l="1"/>
  <c r="DU265" i="7"/>
  <c r="DT271" i="7"/>
  <c r="DY265" i="7" l="1"/>
  <c r="EA268" i="7"/>
  <c r="DU267" i="7"/>
  <c r="DT268" i="7"/>
  <c r="DT273" i="7"/>
  <c r="DT269" i="7"/>
  <c r="DU271" i="7"/>
  <c r="EW271" i="7" s="1"/>
  <c r="FD271" i="7" s="1"/>
  <c r="FK271" i="7" s="1"/>
  <c r="FR271" i="7" s="1"/>
  <c r="DY271" i="7" l="1"/>
  <c r="DY267" i="7"/>
  <c r="EF268" i="7" s="1"/>
  <c r="DY287" i="7"/>
  <c r="DY289" i="7" s="1"/>
  <c r="DU269" i="7"/>
  <c r="EB268" i="7"/>
  <c r="DU268" i="7"/>
  <c r="DU273" i="7"/>
  <c r="DY273" i="7" l="1"/>
  <c r="AK34" i="3" s="1"/>
  <c r="DY268" i="7"/>
  <c r="DY269" i="7"/>
  <c r="AK33" i="3" s="1"/>
  <c r="AK31" i="3"/>
  <c r="J20" i="3"/>
  <c r="AL31" i="3" l="1"/>
  <c r="K36" i="3"/>
  <c r="K20" i="3"/>
  <c r="AL33" i="3"/>
  <c r="AL34" i="3"/>
  <c r="K34" i="3" l="1"/>
  <c r="K38" i="3" s="1"/>
  <c r="K40" i="3" s="1"/>
  <c r="K73" i="3" l="1"/>
  <c r="K75" i="3" s="1"/>
  <c r="K43" i="3" l="1"/>
  <c r="K47" i="3" s="1"/>
  <c r="K54" i="3" s="1"/>
  <c r="K62" i="3"/>
  <c r="K68" i="3" s="1"/>
  <c r="K69" i="3" s="1"/>
  <c r="K70" i="3" l="1"/>
  <c r="AL44" i="3"/>
  <c r="AL39" i="3" l="1"/>
  <c r="AL38" i="3"/>
  <c r="AL41" i="3" l="1"/>
  <c r="AM31" i="3" l="1"/>
  <c r="L34" i="3"/>
  <c r="AM33" i="3"/>
  <c r="L20" i="3"/>
  <c r="ER283" i="7" l="1"/>
  <c r="ER265" i="7"/>
  <c r="ES283" i="7" l="1"/>
  <c r="ER285" i="7"/>
  <c r="ES265" i="7"/>
  <c r="ER267" i="7"/>
  <c r="ER120" i="7" l="1"/>
  <c r="ER268" i="7"/>
  <c r="ER269" i="7"/>
  <c r="ER279" i="7"/>
  <c r="ES285" i="7"/>
  <c r="ET283" i="7"/>
  <c r="ET285" i="7" s="1"/>
  <c r="ET265" i="7"/>
  <c r="ES267" i="7"/>
  <c r="EU265" i="7" l="1"/>
  <c r="ET267" i="7"/>
  <c r="ET287" i="7"/>
  <c r="ER281" i="7"/>
  <c r="EV283" i="7" s="1"/>
  <c r="ES279" i="7"/>
  <c r="ES268" i="7"/>
  <c r="ES269" i="7"/>
  <c r="ES120" i="7"/>
  <c r="ER297" i="7"/>
  <c r="M20" i="3" l="1"/>
  <c r="ET289" i="7"/>
  <c r="AN31" i="3"/>
  <c r="ET120" i="7"/>
  <c r="ET279" i="7"/>
  <c r="ET281" i="7" s="1"/>
  <c r="ES281" i="7"/>
  <c r="EW283" i="7"/>
  <c r="EW285" i="7" s="1"/>
  <c r="EV285" i="7"/>
  <c r="EU197" i="7" s="1"/>
  <c r="ET269" i="7"/>
  <c r="AN33" i="3" s="1"/>
  <c r="ET268" i="7"/>
  <c r="EV265" i="7"/>
  <c r="EU267" i="7"/>
  <c r="N20" i="3" s="1"/>
  <c r="ET297" i="7" l="1"/>
  <c r="M34" i="3"/>
  <c r="EV120" i="7"/>
  <c r="O34" i="3" s="1"/>
  <c r="EU269" i="7"/>
  <c r="AO33" i="3" s="1"/>
  <c r="EU268" i="7"/>
  <c r="EU279" i="7"/>
  <c r="EU281" i="7" s="1"/>
  <c r="EW265" i="7"/>
  <c r="EV267" i="7"/>
  <c r="O20" i="3" s="1"/>
  <c r="EW120" i="7" l="1"/>
  <c r="P34" i="3" s="1"/>
  <c r="EV297" i="7"/>
  <c r="EV268" i="7"/>
  <c r="EV269" i="7"/>
  <c r="AP33" i="3" s="1"/>
  <c r="EV279" i="7"/>
  <c r="EX265" i="7"/>
  <c r="EW267" i="7"/>
  <c r="P20" i="3" s="1"/>
  <c r="EV281" i="7" l="1"/>
  <c r="EW279" i="7"/>
  <c r="EW281" i="7" s="1"/>
  <c r="EY283" i="7" s="1"/>
  <c r="EW269" i="7"/>
  <c r="AQ33" i="3" s="1"/>
  <c r="EW268" i="7"/>
  <c r="EY265" i="7"/>
  <c r="EX267" i="7"/>
  <c r="Q20" i="3" s="1"/>
  <c r="EX269" i="7" l="1"/>
  <c r="AR33" i="3" s="1"/>
  <c r="EX268" i="7"/>
  <c r="EX279" i="7"/>
  <c r="EX281" i="7" s="1"/>
  <c r="EZ265" i="7"/>
  <c r="EY267" i="7"/>
  <c r="R20" i="3" s="1"/>
  <c r="EY285" i="7"/>
  <c r="EX197" i="7" s="1"/>
  <c r="EZ283" i="7"/>
  <c r="EZ285" i="7" l="1"/>
  <c r="FA283" i="7"/>
  <c r="FA285" i="7" s="1"/>
  <c r="EY120" i="7"/>
  <c r="R34" i="3" s="1"/>
  <c r="EY269" i="7"/>
  <c r="AS33" i="3" s="1"/>
  <c r="EY268" i="7"/>
  <c r="EY279" i="7"/>
  <c r="FA265" i="7"/>
  <c r="EZ267" i="7"/>
  <c r="S20" i="3" s="1"/>
  <c r="EY281" i="7" l="1"/>
  <c r="FC283" i="7" s="1"/>
  <c r="EZ279" i="7"/>
  <c r="EZ269" i="7"/>
  <c r="AT33" i="3" s="1"/>
  <c r="EZ268" i="7"/>
  <c r="FB265" i="7"/>
  <c r="FA267" i="7"/>
  <c r="FA287" i="7"/>
  <c r="EZ120" i="7"/>
  <c r="S34" i="3" s="1"/>
  <c r="EY297" i="7"/>
  <c r="T20" i="3" l="1"/>
  <c r="FA289" i="7"/>
  <c r="AU31" i="3"/>
  <c r="FC265" i="7"/>
  <c r="FB267" i="7"/>
  <c r="U20" i="3" s="1"/>
  <c r="FA268" i="7"/>
  <c r="FA269" i="7"/>
  <c r="AU33" i="3" s="1"/>
  <c r="FA279" i="7"/>
  <c r="FA281" i="7" s="1"/>
  <c r="EZ281" i="7"/>
  <c r="FA120" i="7"/>
  <c r="FC285" i="7"/>
  <c r="FB197" i="7" s="1"/>
  <c r="FD283" i="7"/>
  <c r="FD285" i="7" s="1"/>
  <c r="FA297" i="7" l="1"/>
  <c r="T34" i="3"/>
  <c r="FB268" i="7"/>
  <c r="FB269" i="7"/>
  <c r="AV33" i="3" s="1"/>
  <c r="FB279" i="7"/>
  <c r="FB281" i="7" s="1"/>
  <c r="FD265" i="7"/>
  <c r="FC267" i="7"/>
  <c r="V20" i="3" s="1"/>
  <c r="FC120" i="7"/>
  <c r="V34" i="3" s="1"/>
  <c r="FE265" i="7" l="1"/>
  <c r="FD267" i="7"/>
  <c r="W20" i="3" s="1"/>
  <c r="FC268" i="7"/>
  <c r="FC269" i="7"/>
  <c r="AW33" i="3" s="1"/>
  <c r="FC279" i="7"/>
  <c r="FD120" i="7"/>
  <c r="W34" i="3" s="1"/>
  <c r="FC297" i="7"/>
  <c r="FF265" i="7" l="1"/>
  <c r="FE267" i="7"/>
  <c r="X20" i="3" s="1"/>
  <c r="FD268" i="7"/>
  <c r="FD269" i="7"/>
  <c r="AX33" i="3" s="1"/>
  <c r="FC281" i="7"/>
  <c r="FD279" i="7"/>
  <c r="FD281" i="7" s="1"/>
  <c r="FF283" i="7" s="1"/>
  <c r="FE269" i="7" l="1"/>
  <c r="AY33" i="3" s="1"/>
  <c r="FE268" i="7"/>
  <c r="FE279" i="7"/>
  <c r="FE281" i="7" s="1"/>
  <c r="FG265" i="7"/>
  <c r="FF267" i="7"/>
  <c r="Y20" i="3" s="1"/>
  <c r="FG283" i="7"/>
  <c r="FF285" i="7"/>
  <c r="FE197" i="7" s="1"/>
  <c r="FF269" i="7" l="1"/>
  <c r="AZ33" i="3" s="1"/>
  <c r="FF268" i="7"/>
  <c r="FF279" i="7"/>
  <c r="FH265" i="7"/>
  <c r="FG267" i="7"/>
  <c r="Z20" i="3" s="1"/>
  <c r="FF120" i="7"/>
  <c r="Y34" i="3" s="1"/>
  <c r="FH283" i="7"/>
  <c r="FH285" i="7" s="1"/>
  <c r="FG285" i="7"/>
  <c r="FG269" i="7" l="1"/>
  <c r="BA33" i="3" s="1"/>
  <c r="FG268" i="7"/>
  <c r="FI265" i="7"/>
  <c r="FH267" i="7"/>
  <c r="FH287" i="7"/>
  <c r="FG120" i="7"/>
  <c r="Z34" i="3" s="1"/>
  <c r="FF297" i="7"/>
  <c r="FF281" i="7"/>
  <c r="FJ283" i="7" s="1"/>
  <c r="FG279" i="7"/>
  <c r="AA20" i="3" l="1"/>
  <c r="FH289" i="7"/>
  <c r="BB31" i="3"/>
  <c r="FH120" i="7"/>
  <c r="FH279" i="7"/>
  <c r="FH281" i="7" s="1"/>
  <c r="FG281" i="7"/>
  <c r="FK283" i="7"/>
  <c r="FK285" i="7" s="1"/>
  <c r="FJ285" i="7"/>
  <c r="FI197" i="7" s="1"/>
  <c r="FH269" i="7"/>
  <c r="BB33" i="3" s="1"/>
  <c r="FH268" i="7"/>
  <c r="FJ265" i="7"/>
  <c r="FI267" i="7"/>
  <c r="FH297" i="7" l="1"/>
  <c r="AA34" i="3"/>
  <c r="FI269" i="7"/>
  <c r="FI268" i="7"/>
  <c r="FI279" i="7"/>
  <c r="FI281" i="7" s="1"/>
  <c r="FK265" i="7"/>
  <c r="FJ267" i="7"/>
  <c r="FJ120" i="7"/>
  <c r="FK120" i="7" l="1"/>
  <c r="FJ297" i="7"/>
  <c r="FJ269" i="7"/>
  <c r="FJ268" i="7"/>
  <c r="FJ279" i="7"/>
  <c r="FL265" i="7"/>
  <c r="FK267" i="7"/>
  <c r="FJ281" i="7" l="1"/>
  <c r="FK279" i="7"/>
  <c r="FK281" i="7" s="1"/>
  <c r="FM283" i="7" s="1"/>
  <c r="FK269" i="7"/>
  <c r="FK268" i="7"/>
  <c r="FM265" i="7"/>
  <c r="FL267" i="7"/>
  <c r="FL269" i="7" l="1"/>
  <c r="FL268" i="7"/>
  <c r="FL279" i="7"/>
  <c r="FL281" i="7" s="1"/>
  <c r="FN265" i="7"/>
  <c r="FM267" i="7"/>
  <c r="FN283" i="7"/>
  <c r="FM285" i="7"/>
  <c r="FL197" i="7" s="1"/>
  <c r="FM120" i="7" l="1"/>
  <c r="FM268" i="7"/>
  <c r="FM269" i="7"/>
  <c r="FM279" i="7"/>
  <c r="FN285" i="7"/>
  <c r="FO283" i="7"/>
  <c r="FO285" i="7" s="1"/>
  <c r="FO265" i="7"/>
  <c r="FN267" i="7"/>
  <c r="FP265" i="7" l="1"/>
  <c r="FO267" i="7"/>
  <c r="FO287" i="7"/>
  <c r="FO289" i="7" s="1"/>
  <c r="FN268" i="7"/>
  <c r="FN269" i="7"/>
  <c r="FM297" i="7"/>
  <c r="FN120" i="7"/>
  <c r="FN279" i="7"/>
  <c r="FM281" i="7"/>
  <c r="FQ283" i="7" s="1"/>
  <c r="FO268" i="7" l="1"/>
  <c r="FO269" i="7"/>
  <c r="FO120" i="7"/>
  <c r="FO297" i="7" s="1"/>
  <c r="FQ265" i="7"/>
  <c r="FP267" i="7"/>
  <c r="FR283" i="7"/>
  <c r="FR285" i="7" s="1"/>
  <c r="FQ285" i="7"/>
  <c r="FP197" i="7" s="1"/>
  <c r="FO279" i="7"/>
  <c r="FO281" i="7" s="1"/>
  <c r="FN281" i="7"/>
  <c r="FQ120" i="7" l="1"/>
  <c r="FP268" i="7"/>
  <c r="FP269" i="7"/>
  <c r="FP279" i="7"/>
  <c r="FP281" i="7" s="1"/>
  <c r="FR265" i="7"/>
  <c r="FQ267" i="7"/>
  <c r="FS265" i="7" l="1"/>
  <c r="FR267" i="7"/>
  <c r="FR120" i="7"/>
  <c r="FQ297" i="7"/>
  <c r="FQ269" i="7"/>
  <c r="FQ268" i="7"/>
  <c r="FQ279" i="7"/>
  <c r="FR269" i="7" l="1"/>
  <c r="FR268" i="7"/>
  <c r="FT265" i="7"/>
  <c r="FS267" i="7"/>
  <c r="FQ281" i="7"/>
  <c r="FR279" i="7"/>
  <c r="FR281" i="7" s="1"/>
  <c r="FT283" i="7" s="1"/>
  <c r="FS268" i="7" l="1"/>
  <c r="FS269" i="7"/>
  <c r="FS279" i="7"/>
  <c r="FS281" i="7" s="1"/>
  <c r="FU265" i="7"/>
  <c r="FT267" i="7"/>
  <c r="FT285" i="7"/>
  <c r="FS197" i="7" s="1"/>
  <c r="FU283" i="7"/>
  <c r="FT120" i="7" l="1"/>
  <c r="FV283" i="7"/>
  <c r="FV285" i="7" s="1"/>
  <c r="FU285" i="7"/>
  <c r="FV265" i="7"/>
  <c r="FU267" i="7"/>
  <c r="FT269" i="7"/>
  <c r="FT268" i="7"/>
  <c r="FT279" i="7"/>
  <c r="FU268" i="7" l="1"/>
  <c r="FU269" i="7"/>
  <c r="FU279" i="7"/>
  <c r="FT281" i="7"/>
  <c r="FV267" i="7"/>
  <c r="FV287" i="7"/>
  <c r="FV289" i="7" s="1"/>
  <c r="FT297" i="7"/>
  <c r="FU120" i="7"/>
  <c r="FU281" i="7" l="1"/>
  <c r="FV279" i="7"/>
  <c r="FV281" i="7" s="1"/>
  <c r="FV268" i="7"/>
  <c r="FV269" i="7"/>
  <c r="FV120" i="7"/>
  <c r="FV297" i="7" s="1"/>
  <c r="AX61" i="3" l="1"/>
  <c r="EX16" i="7" l="1"/>
  <c r="AX65" i="3" s="1"/>
  <c r="EU16" i="7"/>
  <c r="EU82" i="7"/>
  <c r="EX82" i="7"/>
  <c r="FE16" i="7" l="1"/>
  <c r="FB16" i="7"/>
  <c r="FI16" i="7"/>
  <c r="FL16" i="7"/>
  <c r="EX85" i="7"/>
  <c r="EX17" i="7"/>
  <c r="Q7" i="3" s="1"/>
  <c r="FE82" i="7"/>
  <c r="FB82" i="7"/>
  <c r="EU85" i="7"/>
  <c r="EU17" i="7"/>
  <c r="N7" i="3" s="1"/>
  <c r="FL82" i="7" l="1"/>
  <c r="FE85" i="7"/>
  <c r="FE17" i="7"/>
  <c r="X7" i="3" s="1"/>
  <c r="EU230" i="7"/>
  <c r="EU191" i="7" s="1"/>
  <c r="EU18" i="7"/>
  <c r="EU86" i="7"/>
  <c r="AO28" i="3" s="1"/>
  <c r="EU228" i="7"/>
  <c r="EU229" i="7"/>
  <c r="EU176" i="7" s="1"/>
  <c r="N44" i="3" s="1"/>
  <c r="FS16" i="7"/>
  <c r="FP16" i="7"/>
  <c r="FI82" i="7"/>
  <c r="FB17" i="7"/>
  <c r="U7" i="3" s="1"/>
  <c r="FB85" i="7"/>
  <c r="EX230" i="7"/>
  <c r="EX191" i="7" s="1"/>
  <c r="EX229" i="7"/>
  <c r="EX176" i="7" s="1"/>
  <c r="Q44" i="3" s="1"/>
  <c r="EX18" i="7"/>
  <c r="EX86" i="7"/>
  <c r="AR28" i="3" s="1"/>
  <c r="EX228" i="7"/>
  <c r="EX225" i="7" s="1"/>
  <c r="EU199" i="7" l="1"/>
  <c r="N61" i="3" s="1"/>
  <c r="N55" i="3"/>
  <c r="EX199" i="7"/>
  <c r="Q61" i="3" s="1"/>
  <c r="Q55" i="3"/>
  <c r="EU226" i="7"/>
  <c r="EX227" i="7"/>
  <c r="EU227" i="7"/>
  <c r="FB230" i="7"/>
  <c r="FB191" i="7" s="1"/>
  <c r="FB229" i="7"/>
  <c r="FB176" i="7" s="1"/>
  <c r="U44" i="3" s="1"/>
  <c r="FB18" i="7"/>
  <c r="FB86" i="7"/>
  <c r="AV28" i="3" s="1"/>
  <c r="FB228" i="7"/>
  <c r="FB225" i="7" s="1"/>
  <c r="FE230" i="7"/>
  <c r="FE191" i="7" s="1"/>
  <c r="FE229" i="7"/>
  <c r="FE176" i="7" s="1"/>
  <c r="X44" i="3" s="1"/>
  <c r="FE18" i="7"/>
  <c r="FE86" i="7"/>
  <c r="AY28" i="3" s="1"/>
  <c r="FE228" i="7"/>
  <c r="FL17" i="7"/>
  <c r="FL85" i="7"/>
  <c r="FS82" i="7"/>
  <c r="EU177" i="7"/>
  <c r="N45" i="3" s="1"/>
  <c r="EU231" i="7"/>
  <c r="FP82" i="7"/>
  <c r="EX177" i="7"/>
  <c r="Q45" i="3" s="1"/>
  <c r="EX231" i="7"/>
  <c r="FI17" i="7"/>
  <c r="FI85" i="7"/>
  <c r="EX226" i="7"/>
  <c r="EU225" i="7"/>
  <c r="FB199" i="7" l="1"/>
  <c r="U61" i="3" s="1"/>
  <c r="U55" i="3"/>
  <c r="FE199" i="7"/>
  <c r="X61" i="3" s="1"/>
  <c r="X55" i="3"/>
  <c r="Q60" i="3"/>
  <c r="N60" i="3"/>
  <c r="FE227" i="7"/>
  <c r="FB226" i="7"/>
  <c r="FE226" i="7"/>
  <c r="FP85" i="7"/>
  <c r="FP17" i="7"/>
  <c r="FS85" i="7"/>
  <c r="FS17" i="7"/>
  <c r="EX233" i="7"/>
  <c r="EU233" i="7"/>
  <c r="FE231" i="7"/>
  <c r="FE177" i="7"/>
  <c r="X45" i="3" s="1"/>
  <c r="FE225" i="7"/>
  <c r="FL230" i="7"/>
  <c r="FL191" i="7" s="1"/>
  <c r="FL199" i="7" s="1"/>
  <c r="FL86" i="7"/>
  <c r="FL18" i="7"/>
  <c r="FL228" i="7"/>
  <c r="FL225" i="7" s="1"/>
  <c r="FL229" i="7"/>
  <c r="FL176" i="7" s="1"/>
  <c r="FI230" i="7"/>
  <c r="FI191" i="7" s="1"/>
  <c r="FI199" i="7" s="1"/>
  <c r="FI228" i="7"/>
  <c r="FI225" i="7" s="1"/>
  <c r="FI229" i="7"/>
  <c r="FI176" i="7" s="1"/>
  <c r="FI86" i="7"/>
  <c r="FI18" i="7"/>
  <c r="FB177" i="7"/>
  <c r="U45" i="3" s="1"/>
  <c r="FB231" i="7"/>
  <c r="FB227" i="7"/>
  <c r="X60" i="3" l="1"/>
  <c r="U60" i="3"/>
  <c r="FI227" i="7"/>
  <c r="FL227" i="7"/>
  <c r="FI226" i="7"/>
  <c r="FL226" i="7"/>
  <c r="FE233" i="7"/>
  <c r="FP230" i="7"/>
  <c r="FP191" i="7" s="1"/>
  <c r="FP199" i="7" s="1"/>
  <c r="FP228" i="7"/>
  <c r="FP225" i="7" s="1"/>
  <c r="FP229" i="7"/>
  <c r="FP176" i="7" s="1"/>
  <c r="FP18" i="7"/>
  <c r="FP86" i="7"/>
  <c r="FB233" i="7"/>
  <c r="FL177" i="7"/>
  <c r="FL231" i="7"/>
  <c r="FI231" i="7"/>
  <c r="FI177" i="7"/>
  <c r="FS230" i="7"/>
  <c r="FS191" i="7" s="1"/>
  <c r="FS199" i="7" s="1"/>
  <c r="FS228" i="7"/>
  <c r="FS229" i="7"/>
  <c r="FS176" i="7" s="1"/>
  <c r="FS18" i="7"/>
  <c r="FS86" i="7"/>
  <c r="FS227" i="7" l="1"/>
  <c r="FS226" i="7"/>
  <c r="FP227" i="7"/>
  <c r="FS231" i="7"/>
  <c r="FS177" i="7"/>
  <c r="FS225" i="7"/>
  <c r="FI233" i="7"/>
  <c r="FL233" i="7"/>
  <c r="FP226" i="7"/>
  <c r="FP231" i="7"/>
  <c r="FP177" i="7"/>
  <c r="FP233" i="7" l="1"/>
  <c r="FS233" i="7"/>
  <c r="DT126" i="7" l="1"/>
  <c r="DX127" i="7"/>
  <c r="DW127" i="7" s="1"/>
  <c r="DW126" i="7" s="1"/>
  <c r="DX126" i="7" s="1"/>
  <c r="DS126" i="7"/>
  <c r="DU126" i="7" l="1"/>
  <c r="DY126" i="7" s="1"/>
  <c r="EU88" i="7" l="1"/>
  <c r="FI88" i="7"/>
  <c r="FP88" i="7"/>
  <c r="FB88" i="7" l="1"/>
  <c r="EC127" i="7" l="1"/>
  <c r="ED127" i="7" s="1"/>
  <c r="ED126" i="7" s="1"/>
  <c r="EC128" i="7"/>
  <c r="ED128" i="7" s="1"/>
  <c r="EE126" i="7" l="1"/>
  <c r="EF126" i="7" s="1"/>
  <c r="ER22" i="7" l="1"/>
  <c r="EY22" i="7" s="1"/>
  <c r="FF22" i="7" s="1"/>
  <c r="FM22" i="7" s="1"/>
  <c r="FT22" i="7" s="1"/>
  <c r="EX22" i="7" l="1"/>
  <c r="ES22" i="7"/>
  <c r="ET22" i="7" s="1"/>
  <c r="L9" i="3"/>
  <c r="FE22" i="7" l="1"/>
  <c r="EZ22" i="7"/>
  <c r="FA22" i="7" s="1"/>
  <c r="L33" i="3"/>
  <c r="L8" i="3"/>
  <c r="L30" i="3"/>
  <c r="L32" i="3" l="1"/>
  <c r="L24" i="3"/>
  <c r="FL22" i="7"/>
  <c r="FG22" i="7"/>
  <c r="FH22" i="7" s="1"/>
  <c r="FN22" i="7" l="1"/>
  <c r="FO22" i="7" s="1"/>
  <c r="FS22" i="7"/>
  <c r="FU22" i="7" s="1"/>
  <c r="FV22" i="7" s="1"/>
  <c r="L50" i="3"/>
  <c r="L53" i="3" s="1"/>
  <c r="ER204" i="7" l="1"/>
  <c r="ES204" i="7" s="1"/>
  <c r="ET204" i="7" s="1"/>
  <c r="EU204" i="7" l="1"/>
  <c r="M65" i="3"/>
  <c r="M28" i="3" l="1"/>
  <c r="N65" i="3"/>
  <c r="O28" i="3" l="1"/>
  <c r="EV204" i="7"/>
  <c r="EW204" i="7" l="1"/>
  <c r="O65" i="3"/>
  <c r="P28" i="3"/>
  <c r="T28" i="3" l="1"/>
  <c r="EX204" i="7"/>
  <c r="P65" i="3"/>
  <c r="Q65" i="3" l="1"/>
  <c r="EY204" i="7"/>
  <c r="R65" i="3" l="1"/>
  <c r="EZ204" i="7"/>
  <c r="FA204" i="7" l="1"/>
  <c r="S65" i="3"/>
  <c r="FB204" i="7" l="1"/>
  <c r="T65" i="3"/>
  <c r="U65" i="3" l="1"/>
  <c r="FC204" i="7"/>
  <c r="V65" i="3" l="1"/>
  <c r="FD204" i="7"/>
  <c r="V28" i="3"/>
  <c r="W28" i="3" l="1"/>
  <c r="W65" i="3"/>
  <c r="FE204" i="7"/>
  <c r="AA28" i="3" l="1"/>
  <c r="FF204" i="7"/>
  <c r="X65" i="3"/>
  <c r="Y65" i="3" l="1"/>
  <c r="FG204" i="7"/>
  <c r="Z65" i="3" l="1"/>
  <c r="FH204" i="7"/>
  <c r="FI204" i="7" l="1"/>
  <c r="AA65" i="3"/>
  <c r="FJ204" i="7" l="1"/>
  <c r="FK204" i="7" s="1"/>
  <c r="FL204" i="7" s="1"/>
  <c r="FM204" i="7" s="1"/>
  <c r="FN204" i="7" s="1"/>
  <c r="FO204" i="7" s="1"/>
  <c r="FP204" i="7" s="1"/>
  <c r="FQ204" i="7" l="1"/>
  <c r="FR204" i="7" s="1"/>
  <c r="FS204" i="7" s="1"/>
  <c r="FT204" i="7" s="1"/>
  <c r="FU204" i="7" s="1"/>
  <c r="FV204" i="7" s="1"/>
  <c r="EV30" i="7" l="1"/>
  <c r="EV167" i="7" l="1"/>
  <c r="EV291" i="7"/>
  <c r="O9" i="3"/>
  <c r="EV112" i="7"/>
  <c r="FC30" i="7" l="1"/>
  <c r="FC112" i="7" s="1"/>
  <c r="FC164" i="7" s="1"/>
  <c r="FJ30" i="7"/>
  <c r="EV164" i="7"/>
  <c r="EV114" i="7"/>
  <c r="EV118" i="7" s="1"/>
  <c r="O33" i="3" s="1"/>
  <c r="O30" i="3"/>
  <c r="FC291" i="7" l="1"/>
  <c r="FC167" i="7"/>
  <c r="V9" i="3"/>
  <c r="V30" i="3"/>
  <c r="FC114" i="7"/>
  <c r="FC118" i="7" s="1"/>
  <c r="V33" i="3" s="1"/>
  <c r="FQ30" i="7"/>
  <c r="FJ167" i="7"/>
  <c r="FJ291" i="7"/>
  <c r="FJ112" i="7"/>
  <c r="O32" i="3"/>
  <c r="V32" i="3" l="1"/>
  <c r="FJ114" i="7"/>
  <c r="FJ118" i="7" s="1"/>
  <c r="FJ164" i="7"/>
  <c r="FQ291" i="7"/>
  <c r="FQ112" i="7"/>
  <c r="FQ167" i="7"/>
  <c r="FQ164" i="7" l="1"/>
  <c r="FQ114" i="7"/>
  <c r="FQ118" i="7" s="1"/>
  <c r="EX30" i="7" l="1"/>
  <c r="FE30" i="7"/>
  <c r="Q9" i="3" l="1"/>
  <c r="EX112" i="7"/>
  <c r="EX114" i="7" s="1"/>
  <c r="EX118" i="7" s="1"/>
  <c r="EX291" i="7"/>
  <c r="EX167" i="7"/>
  <c r="FE112" i="7"/>
  <c r="FE291" i="7"/>
  <c r="X9" i="3"/>
  <c r="FE167" i="7"/>
  <c r="FS30" i="7"/>
  <c r="Q30" i="3" l="1"/>
  <c r="EX164" i="7"/>
  <c r="FL30" i="7"/>
  <c r="FL167" i="7" s="1"/>
  <c r="X30" i="3"/>
  <c r="FE114" i="7"/>
  <c r="FE118" i="7" s="1"/>
  <c r="X33" i="3" s="1"/>
  <c r="FE164" i="7"/>
  <c r="Q33" i="3"/>
  <c r="FS112" i="7"/>
  <c r="FS291" i="7"/>
  <c r="FS167" i="7"/>
  <c r="Q32" i="3" l="1"/>
  <c r="FL112" i="7"/>
  <c r="FL114" i="7" s="1"/>
  <c r="FL118" i="7" s="1"/>
  <c r="FL291" i="7"/>
  <c r="X32" i="3"/>
  <c r="FS114" i="7"/>
  <c r="FS118" i="7" s="1"/>
  <c r="FS164" i="7"/>
  <c r="FL164" i="7" l="1"/>
  <c r="EH125" i="7" l="1"/>
  <c r="EH127" i="7" s="1"/>
  <c r="EH126" i="7" s="1"/>
  <c r="EI126" i="7" s="1"/>
  <c r="EJ125" i="7"/>
  <c r="EK125" i="7" s="1"/>
  <c r="EI127" i="7"/>
  <c r="EL127" i="7" s="1"/>
  <c r="EJ127" i="7" l="1"/>
  <c r="EJ126" i="7" s="1"/>
  <c r="EK127" i="7" l="1"/>
  <c r="EK126" i="7" s="1"/>
  <c r="EL126" i="7" s="1"/>
  <c r="EM126" i="7" s="1"/>
  <c r="L39" i="3"/>
  <c r="EJ155" i="7" l="1"/>
  <c r="EJ158" i="7"/>
  <c r="ER155" i="7" l="1"/>
  <c r="ER63" i="7" s="1"/>
  <c r="ER64" i="7" l="1"/>
  <c r="ES64" i="7" s="1"/>
  <c r="ET64" i="7" s="1"/>
  <c r="ET65" i="7" s="1"/>
  <c r="ET104" i="7" s="1"/>
  <c r="ES63" i="7"/>
  <c r="ET63" i="7" s="1"/>
  <c r="EU64" i="7" l="1"/>
  <c r="EV155" i="7"/>
  <c r="EV63" i="7" s="1"/>
  <c r="EV64" i="7" s="1"/>
  <c r="EW64" i="7" s="1"/>
  <c r="ER65" i="7"/>
  <c r="EW63" i="7" l="1"/>
  <c r="ES65" i="7"/>
  <c r="ER104" i="7"/>
  <c r="EX155" i="7"/>
  <c r="EX63" i="7" s="1"/>
  <c r="EX64" i="7" s="1"/>
  <c r="EU65" i="7"/>
  <c r="AM40" i="3"/>
  <c r="L11" i="3"/>
  <c r="EV65" i="7" l="1"/>
  <c r="EW65" i="7"/>
  <c r="L25" i="3"/>
  <c r="EY155" i="7"/>
  <c r="EY63" i="7" s="1"/>
  <c r="M11" i="3"/>
  <c r="L12" i="3"/>
  <c r="ES104" i="7"/>
  <c r="EU104" i="7"/>
  <c r="N11" i="3"/>
  <c r="EZ63" i="7" l="1"/>
  <c r="FA63" i="7" s="1"/>
  <c r="EY64" i="7"/>
  <c r="EZ64" i="7" s="1"/>
  <c r="FA64" i="7" s="1"/>
  <c r="FA65" i="7" s="1"/>
  <c r="M25" i="3"/>
  <c r="N25" i="3"/>
  <c r="EW104" i="7"/>
  <c r="P11" i="3"/>
  <c r="EX65" i="7"/>
  <c r="EV104" i="7"/>
  <c r="O11" i="3"/>
  <c r="FB155" i="7"/>
  <c r="FB63" i="7" s="1"/>
  <c r="FB64" i="7" l="1"/>
  <c r="AM35" i="3"/>
  <c r="FC155" i="7"/>
  <c r="FC63" i="7" s="1"/>
  <c r="FC64" i="7" s="1"/>
  <c r="FD64" i="7" s="1"/>
  <c r="P25" i="3"/>
  <c r="O25" i="3"/>
  <c r="EX104" i="7"/>
  <c r="Q11" i="3"/>
  <c r="EY65" i="7"/>
  <c r="FD63" i="7" l="1"/>
  <c r="EY104" i="7"/>
  <c r="R11" i="3"/>
  <c r="EZ65" i="7"/>
  <c r="FB65" i="7"/>
  <c r="FE155" i="7"/>
  <c r="FE63" i="7" s="1"/>
  <c r="Q25" i="3"/>
  <c r="FE64" i="7" l="1"/>
  <c r="FA104" i="7"/>
  <c r="T11" i="3"/>
  <c r="FF155" i="7"/>
  <c r="FF63" i="7" s="1"/>
  <c r="FF64" i="7" s="1"/>
  <c r="FG64" i="7" s="1"/>
  <c r="FH64" i="7" s="1"/>
  <c r="FD65" i="7"/>
  <c r="FC65" i="7"/>
  <c r="L13" i="3"/>
  <c r="FB104" i="7"/>
  <c r="U11" i="3"/>
  <c r="R25" i="3"/>
  <c r="EZ104" i="7"/>
  <c r="S11" i="3"/>
  <c r="FG63" i="7" l="1"/>
  <c r="FH63" i="7" s="1"/>
  <c r="S25" i="3"/>
  <c r="FI155" i="7"/>
  <c r="FI63" i="7" s="1"/>
  <c r="FC104" i="7"/>
  <c r="V11" i="3"/>
  <c r="L15" i="3"/>
  <c r="FD104" i="7"/>
  <c r="W11" i="3"/>
  <c r="L26" i="3"/>
  <c r="L29" i="3" s="1"/>
  <c r="AM30" i="3" s="1"/>
  <c r="FE65" i="7"/>
  <c r="U25" i="3"/>
  <c r="T25" i="3"/>
  <c r="FI64" i="7" l="1"/>
  <c r="W25" i="3"/>
  <c r="L18" i="3"/>
  <c r="FJ155" i="7"/>
  <c r="FJ63" i="7" s="1"/>
  <c r="FJ64" i="7" s="1"/>
  <c r="FK64" i="7" s="1"/>
  <c r="FF65" i="7"/>
  <c r="FE104" i="7"/>
  <c r="X11" i="3"/>
  <c r="V25" i="3"/>
  <c r="FK63" i="7" l="1"/>
  <c r="L73" i="3"/>
  <c r="L75" i="3" s="1"/>
  <c r="FG65" i="7"/>
  <c r="FH65" i="7"/>
  <c r="AM23" i="3"/>
  <c r="AM34" i="3"/>
  <c r="L16" i="3"/>
  <c r="AM29" i="3"/>
  <c r="F30" i="4"/>
  <c r="F34" i="4" s="1"/>
  <c r="F36" i="4" s="1"/>
  <c r="F38" i="4" s="1"/>
  <c r="L19" i="3"/>
  <c r="FL155" i="7"/>
  <c r="FL63" i="7" s="1"/>
  <c r="L36" i="3"/>
  <c r="L38" i="3" s="1"/>
  <c r="L40" i="3" s="1"/>
  <c r="FI65" i="7"/>
  <c r="X25" i="3"/>
  <c r="FF104" i="7"/>
  <c r="Y11" i="3"/>
  <c r="FL64" i="7" l="1"/>
  <c r="ET294" i="7"/>
  <c r="Y25" i="3"/>
  <c r="FI104" i="7"/>
  <c r="L62" i="3"/>
  <c r="L68" i="3" s="1"/>
  <c r="L69" i="3" s="1"/>
  <c r="FM155" i="7"/>
  <c r="FM63" i="7" s="1"/>
  <c r="FM64" i="7" s="1"/>
  <c r="FN64" i="7" s="1"/>
  <c r="FO64" i="7" s="1"/>
  <c r="FJ65" i="7"/>
  <c r="FK65" i="7"/>
  <c r="FH104" i="7"/>
  <c r="AA11" i="3"/>
  <c r="FG104" i="7"/>
  <c r="Z11" i="3"/>
  <c r="FN63" i="7" l="1"/>
  <c r="FO63" i="7" s="1"/>
  <c r="FP155" i="7"/>
  <c r="FP63" i="7" s="1"/>
  <c r="Z25" i="3"/>
  <c r="AA25" i="3"/>
  <c r="FL65" i="7"/>
  <c r="ET152" i="7"/>
  <c r="L43" i="3"/>
  <c r="L47" i="3" s="1"/>
  <c r="L54" i="3" s="1"/>
  <c r="L70" i="3" s="1"/>
  <c r="FK104" i="7"/>
  <c r="FJ104" i="7"/>
  <c r="FP64" i="7" l="1"/>
  <c r="FL104" i="7"/>
  <c r="ET141" i="7"/>
  <c r="AM39" i="3"/>
  <c r="AM38" i="3"/>
  <c r="FQ155" i="7"/>
  <c r="FQ63" i="7" s="1"/>
  <c r="FQ64" i="7" s="1"/>
  <c r="FM65" i="7"/>
  <c r="FR64" i="7" l="1"/>
  <c r="FR63" i="7"/>
  <c r="FP65" i="7"/>
  <c r="EU141" i="7"/>
  <c r="EW141" i="7"/>
  <c r="AM44" i="3"/>
  <c r="FS155" i="7"/>
  <c r="FS63" i="7" s="1"/>
  <c r="FO65" i="7"/>
  <c r="FN65" i="7"/>
  <c r="FM104" i="7"/>
  <c r="AM41" i="3"/>
  <c r="FS64" i="7" l="1"/>
  <c r="FO104" i="7"/>
  <c r="FT155" i="7"/>
  <c r="FT63" i="7" s="1"/>
  <c r="FT64" i="7" s="1"/>
  <c r="FP104" i="7"/>
  <c r="FN104" i="7"/>
  <c r="FR65" i="7"/>
  <c r="FQ65" i="7"/>
  <c r="ES152" i="7" l="1"/>
  <c r="FU64" i="7"/>
  <c r="FV64" i="7" s="1"/>
  <c r="FU63" i="7"/>
  <c r="FV63" i="7" s="1"/>
  <c r="EV145" i="7"/>
  <c r="EX145" i="7"/>
  <c r="FR104" i="7"/>
  <c r="FQ104" i="7"/>
  <c r="FS65" i="7"/>
  <c r="EY145" i="7" l="1"/>
  <c r="FB145" i="7"/>
  <c r="ER152" i="7"/>
  <c r="FT65" i="7"/>
  <c r="FS104" i="7"/>
  <c r="ER173" i="7" l="1"/>
  <c r="FE145" i="7"/>
  <c r="FC145" i="7"/>
  <c r="FU65" i="7"/>
  <c r="FV65" i="7"/>
  <c r="ES141" i="7"/>
  <c r="FT104" i="7"/>
  <c r="ES173" i="7" l="1"/>
  <c r="ER131" i="7"/>
  <c r="FF145" i="7"/>
  <c r="FI145" i="7"/>
  <c r="FV104" i="7"/>
  <c r="FU104" i="7"/>
  <c r="ES131" i="7" l="1"/>
  <c r="ET173" i="7"/>
  <c r="FL145" i="7"/>
  <c r="FJ145" i="7"/>
  <c r="ER141" i="7"/>
  <c r="ER146" i="7"/>
  <c r="ER148" i="7" s="1"/>
  <c r="EU173" i="7" l="1"/>
  <c r="ET131" i="7"/>
  <c r="FP145" i="7"/>
  <c r="FM145" i="7"/>
  <c r="ES146" i="7"/>
  <c r="ES148" i="7" s="1"/>
  <c r="EV173" i="7" l="1"/>
  <c r="EU131" i="7"/>
  <c r="FQ145" i="7"/>
  <c r="FS145" i="7"/>
  <c r="FT145" i="7" s="1"/>
  <c r="ET146" i="7"/>
  <c r="ET148" i="7" s="1"/>
  <c r="EV131" i="7" l="1"/>
  <c r="EW173" i="7"/>
  <c r="EX173" i="7" l="1"/>
  <c r="EW131" i="7"/>
  <c r="EX131" i="7" l="1"/>
  <c r="EY173" i="7"/>
  <c r="EZ173" i="7" l="1"/>
  <c r="EY131" i="7"/>
  <c r="FA173" i="7" l="1"/>
  <c r="EZ131" i="7"/>
  <c r="FA131" i="7" l="1"/>
  <c r="FB173" i="7"/>
  <c r="FC173" i="7" l="1"/>
  <c r="FB131" i="7"/>
  <c r="FC131" i="7" l="1"/>
  <c r="FD173" i="7"/>
  <c r="FD131" i="7" l="1"/>
  <c r="FE173" i="7"/>
  <c r="FF173" i="7" l="1"/>
  <c r="FE131" i="7"/>
  <c r="FG173" i="7" l="1"/>
  <c r="FF131" i="7"/>
  <c r="FG131" i="7" l="1"/>
  <c r="FH173" i="7"/>
  <c r="FH131" i="7" l="1"/>
  <c r="FI173" i="7"/>
  <c r="FJ173" i="7" l="1"/>
  <c r="FI131" i="7"/>
  <c r="FJ131" i="7" l="1"/>
  <c r="FK173" i="7"/>
  <c r="FK131" i="7" l="1"/>
  <c r="FL173" i="7"/>
  <c r="FL131" i="7" l="1"/>
  <c r="FM173" i="7"/>
  <c r="FN173" i="7" l="1"/>
  <c r="FM131" i="7"/>
  <c r="FN131" i="7" l="1"/>
  <c r="FO173" i="7"/>
  <c r="FO131" i="7" l="1"/>
  <c r="FP173" i="7"/>
  <c r="FQ173" i="7" l="1"/>
  <c r="FP131" i="7"/>
  <c r="FQ131" i="7" l="1"/>
  <c r="FR173" i="7"/>
  <c r="FS173" i="7" l="1"/>
  <c r="FR131" i="7"/>
  <c r="FS131" i="7" l="1"/>
  <c r="FT173" i="7"/>
  <c r="FT131" i="7" l="1"/>
  <c r="FU173" i="7"/>
  <c r="FU131" i="7" l="1"/>
  <c r="FV173" i="7"/>
  <c r="FV131" i="7" s="1"/>
  <c r="AR61" i="3" l="1"/>
  <c r="AR83" i="3" s="1"/>
  <c r="ER16" i="7"/>
  <c r="AR65" i="3" s="1"/>
  <c r="ER82" i="7"/>
  <c r="ER17" i="7" l="1"/>
  <c r="ER85" i="7"/>
  <c r="ES16" i="7" l="1"/>
  <c r="AS65" i="3" s="1"/>
  <c r="AS61" i="3"/>
  <c r="AS83" i="3" s="1"/>
  <c r="ES82" i="7"/>
  <c r="ET16" i="7"/>
  <c r="AY61" i="3"/>
  <c r="ES85" i="7"/>
  <c r="ES17" i="7"/>
  <c r="ER18" i="7"/>
  <c r="ER86" i="7"/>
  <c r="ER230" i="7"/>
  <c r="ER229" i="7"/>
  <c r="ER228" i="7"/>
  <c r="ET82" i="7" l="1"/>
  <c r="AN61" i="3"/>
  <c r="AT61" i="3"/>
  <c r="AT83" i="3" s="1"/>
  <c r="AN65" i="3"/>
  <c r="AT65" i="3"/>
  <c r="EY16" i="7"/>
  <c r="AY65" i="3" s="1"/>
  <c r="ES18" i="7"/>
  <c r="ES86" i="7"/>
  <c r="EY82" i="7"/>
  <c r="ER225" i="7"/>
  <c r="ES228" i="7"/>
  <c r="ER177" i="7"/>
  <c r="ES177" i="7" s="1"/>
  <c r="ER231" i="7"/>
  <c r="ER226" i="7"/>
  <c r="ER176" i="7"/>
  <c r="ES176" i="7" s="1"/>
  <c r="ES229" i="7"/>
  <c r="ER227" i="7"/>
  <c r="ER191" i="7"/>
  <c r="ES230" i="7"/>
  <c r="ET230" i="7" s="1"/>
  <c r="ET17" i="7"/>
  <c r="ET85" i="7"/>
  <c r="AZ61" i="3"/>
  <c r="EZ16" i="7" l="1"/>
  <c r="AZ65" i="3" s="1"/>
  <c r="ES227" i="7"/>
  <c r="EZ82" i="7"/>
  <c r="ES191" i="7"/>
  <c r="ER199" i="7"/>
  <c r="ER232" i="7"/>
  <c r="ER106" i="7" s="1"/>
  <c r="ER233" i="7"/>
  <c r="ES223" i="7"/>
  <c r="ET176" i="7"/>
  <c r="ES222" i="7"/>
  <c r="ET177" i="7"/>
  <c r="EY85" i="7"/>
  <c r="EY17" i="7"/>
  <c r="ET228" i="7"/>
  <c r="ES231" i="7"/>
  <c r="ES225" i="7"/>
  <c r="ET18" i="7"/>
  <c r="ET227" i="7"/>
  <c r="M7" i="3"/>
  <c r="ET86" i="7"/>
  <c r="AN28" i="3" s="1"/>
  <c r="ET229" i="7"/>
  <c r="ET226" i="7" s="1"/>
  <c r="ES226" i="7"/>
  <c r="R7" i="3" l="1"/>
  <c r="EY228" i="7"/>
  <c r="EY229" i="7"/>
  <c r="EY18" i="7"/>
  <c r="EY86" i="7"/>
  <c r="AS28" i="3" s="1"/>
  <c r="EY230" i="7"/>
  <c r="EZ17" i="7"/>
  <c r="EZ85" i="7"/>
  <c r="ES232" i="7"/>
  <c r="ES106" i="7" s="1"/>
  <c r="ES233" i="7"/>
  <c r="ET231" i="7"/>
  <c r="ET225" i="7"/>
  <c r="ET222" i="7"/>
  <c r="M45" i="3"/>
  <c r="M44" i="3"/>
  <c r="ET223" i="7"/>
  <c r="ES199" i="7"/>
  <c r="ET191" i="7"/>
  <c r="ES224" i="7"/>
  <c r="FF16" i="7" l="1"/>
  <c r="EZ229" i="7"/>
  <c r="FA229" i="7" s="1"/>
  <c r="EY176" i="7"/>
  <c r="EY226" i="7"/>
  <c r="EY225" i="7"/>
  <c r="EY231" i="7"/>
  <c r="EY177" i="7"/>
  <c r="EZ228" i="7"/>
  <c r="EZ18" i="7"/>
  <c r="S7" i="3"/>
  <c r="EZ86" i="7"/>
  <c r="AT28" i="3" s="1"/>
  <c r="M55" i="3"/>
  <c r="ET224" i="7"/>
  <c r="ET199" i="7"/>
  <c r="M61" i="3" s="1"/>
  <c r="EZ230" i="7"/>
  <c r="EY227" i="7"/>
  <c r="EY191" i="7"/>
  <c r="FF82" i="7"/>
  <c r="EU232" i="7"/>
  <c r="EU106" i="7" s="1"/>
  <c r="ET232" i="7"/>
  <c r="ET106" i="7" s="1"/>
  <c r="ET233" i="7"/>
  <c r="FG16" i="7" l="1"/>
  <c r="EZ226" i="7"/>
  <c r="M60" i="3"/>
  <c r="N27" i="3"/>
  <c r="FA230" i="7"/>
  <c r="EZ227" i="7"/>
  <c r="EZ225" i="7"/>
  <c r="EZ231" i="7"/>
  <c r="FA228" i="7"/>
  <c r="FG82" i="7"/>
  <c r="EZ177" i="7"/>
  <c r="R45" i="3"/>
  <c r="EZ176" i="7"/>
  <c r="R44" i="3"/>
  <c r="FF17" i="7"/>
  <c r="FF85" i="7"/>
  <c r="EY232" i="7"/>
  <c r="EY106" i="7" s="1"/>
  <c r="R27" i="3" s="1"/>
  <c r="EY233" i="7"/>
  <c r="D74" i="4"/>
  <c r="R55" i="3"/>
  <c r="EY199" i="7"/>
  <c r="R61" i="3" s="1"/>
  <c r="EZ191" i="7"/>
  <c r="R60" i="3" l="1"/>
  <c r="S55" i="3"/>
  <c r="EZ199" i="7"/>
  <c r="S61" i="3" s="1"/>
  <c r="EZ224" i="7"/>
  <c r="FA191" i="7"/>
  <c r="EZ223" i="7"/>
  <c r="FA176" i="7"/>
  <c r="S44" i="3"/>
  <c r="FG85" i="7"/>
  <c r="FG17" i="7"/>
  <c r="FM16" i="7"/>
  <c r="FA231" i="7"/>
  <c r="EZ222" i="7"/>
  <c r="FA177" i="7"/>
  <c r="S45" i="3"/>
  <c r="EZ233" i="7"/>
  <c r="FF86" i="7"/>
  <c r="AZ28" i="3" s="1"/>
  <c r="Y7" i="3"/>
  <c r="FF18" i="7"/>
  <c r="FF230" i="7"/>
  <c r="FF229" i="7"/>
  <c r="FF228" i="7"/>
  <c r="S60" i="3" l="1"/>
  <c r="FM82" i="7"/>
  <c r="FG86" i="7"/>
  <c r="BA28" i="3" s="1"/>
  <c r="FG18" i="7"/>
  <c r="Z7" i="3"/>
  <c r="FF177" i="7"/>
  <c r="FG228" i="7"/>
  <c r="FF225" i="7"/>
  <c r="FF231" i="7"/>
  <c r="T45" i="3"/>
  <c r="FF226" i="7"/>
  <c r="FF176" i="7"/>
  <c r="FG229" i="7"/>
  <c r="T44" i="3"/>
  <c r="FF227" i="7"/>
  <c r="FF191" i="7"/>
  <c r="FG230" i="7"/>
  <c r="FH230" i="7" s="1"/>
  <c r="T55" i="3"/>
  <c r="FA199" i="7"/>
  <c r="T61" i="3" s="1"/>
  <c r="FA232" i="7"/>
  <c r="FA106" i="7" s="1"/>
  <c r="FB232" i="7"/>
  <c r="FB106" i="7" s="1"/>
  <c r="FN16" i="7"/>
  <c r="T60" i="3" l="1"/>
  <c r="FH229" i="7"/>
  <c r="FG226" i="7"/>
  <c r="T27" i="3"/>
  <c r="E74" i="4"/>
  <c r="FG176" i="7"/>
  <c r="Y44" i="3"/>
  <c r="U27" i="3"/>
  <c r="FF233" i="7"/>
  <c r="FF232" i="7"/>
  <c r="FF106" i="7" s="1"/>
  <c r="Y27" i="3" s="1"/>
  <c r="FN82" i="7"/>
  <c r="FG227" i="7"/>
  <c r="FF199" i="7"/>
  <c r="Y61" i="3" s="1"/>
  <c r="Y55" i="3"/>
  <c r="FG191" i="7"/>
  <c r="FM85" i="7"/>
  <c r="FM17" i="7"/>
  <c r="FG225" i="7"/>
  <c r="FG231" i="7"/>
  <c r="FH228" i="7"/>
  <c r="FG177" i="7"/>
  <c r="Y45" i="3"/>
  <c r="FH177" i="7" l="1"/>
  <c r="FG222" i="7"/>
  <c r="Z45" i="3"/>
  <c r="FH231" i="7"/>
  <c r="FG199" i="7"/>
  <c r="Z61" i="3" s="1"/>
  <c r="FH191" i="7"/>
  <c r="FG224" i="7"/>
  <c r="Z55" i="3"/>
  <c r="FT16" i="7"/>
  <c r="FG233" i="7"/>
  <c r="FM86" i="7"/>
  <c r="FM18" i="7"/>
  <c r="FM228" i="7"/>
  <c r="FM229" i="7"/>
  <c r="FM230" i="7"/>
  <c r="Y60" i="3"/>
  <c r="FN17" i="7"/>
  <c r="FN85" i="7"/>
  <c r="FH176" i="7"/>
  <c r="FG223" i="7"/>
  <c r="Z44" i="3"/>
  <c r="FN18" i="7" l="1"/>
  <c r="FN86" i="7"/>
  <c r="FI232" i="7"/>
  <c r="FI106" i="7" s="1"/>
  <c r="FH232" i="7"/>
  <c r="FH106" i="7" s="1"/>
  <c r="FM227" i="7"/>
  <c r="FN230" i="7"/>
  <c r="FO230" i="7" s="1"/>
  <c r="FM191" i="7"/>
  <c r="FT82" i="7"/>
  <c r="FM226" i="7"/>
  <c r="FN229" i="7"/>
  <c r="FO229" i="7" s="1"/>
  <c r="FM176" i="7"/>
  <c r="FN176" i="7" s="1"/>
  <c r="AA45" i="3"/>
  <c r="FM225" i="7"/>
  <c r="FN228" i="7"/>
  <c r="FM231" i="7"/>
  <c r="FM177" i="7"/>
  <c r="FN177" i="7" s="1"/>
  <c r="AA44" i="3"/>
  <c r="FH199" i="7"/>
  <c r="AA61" i="3" s="1"/>
  <c r="AA55" i="3"/>
  <c r="FU16" i="7"/>
  <c r="Z60" i="3"/>
  <c r="FN226" i="7" l="1"/>
  <c r="FN227" i="7"/>
  <c r="AA60" i="3"/>
  <c r="FO177" i="7"/>
  <c r="FN222" i="7"/>
  <c r="FM232" i="7"/>
  <c r="FM106" i="7" s="1"/>
  <c r="FM233" i="7"/>
  <c r="AA27" i="3"/>
  <c r="F74" i="4"/>
  <c r="FN225" i="7"/>
  <c r="FO228" i="7"/>
  <c r="FN231" i="7"/>
  <c r="FT85" i="7"/>
  <c r="FT17" i="7"/>
  <c r="FN191" i="7"/>
  <c r="FM199" i="7"/>
  <c r="FU82" i="7"/>
  <c r="FN223" i="7"/>
  <c r="FO176" i="7"/>
  <c r="FU17" i="7" l="1"/>
  <c r="FU85" i="7"/>
  <c r="FN233" i="7"/>
  <c r="FO231" i="7"/>
  <c r="FT228" i="7"/>
  <c r="FT230" i="7"/>
  <c r="FT18" i="7"/>
  <c r="FT86" i="7"/>
  <c r="FT229" i="7"/>
  <c r="FO191" i="7"/>
  <c r="FN199" i="7"/>
  <c r="FN224" i="7"/>
  <c r="FO232" i="7" l="1"/>
  <c r="FO106" i="7" s="1"/>
  <c r="FP232" i="7"/>
  <c r="FP106" i="7" s="1"/>
  <c r="FU228" i="7"/>
  <c r="FT225" i="7"/>
  <c r="FT231" i="7"/>
  <c r="FT177" i="7"/>
  <c r="FU177" i="7" s="1"/>
  <c r="FU18" i="7"/>
  <c r="FU86" i="7"/>
  <c r="FT176" i="7"/>
  <c r="FU176" i="7" s="1"/>
  <c r="FU229" i="7"/>
  <c r="FV229" i="7" s="1"/>
  <c r="FT226" i="7"/>
  <c r="FT191" i="7"/>
  <c r="FU230" i="7"/>
  <c r="FO199" i="7"/>
  <c r="FT227" i="7"/>
  <c r="G74" i="4" l="1"/>
  <c r="FV176" i="7"/>
  <c r="FU223" i="7"/>
  <c r="FV177" i="7"/>
  <c r="FU222" i="7"/>
  <c r="FT232" i="7"/>
  <c r="FT106" i="7" s="1"/>
  <c r="FT233" i="7"/>
  <c r="FV230" i="7"/>
  <c r="FU227" i="7"/>
  <c r="FU191" i="7"/>
  <c r="FT199" i="7"/>
  <c r="FU226" i="7"/>
  <c r="FU225" i="7"/>
  <c r="FU231" i="7"/>
  <c r="FV228" i="7"/>
  <c r="FV231" i="7" l="1"/>
  <c r="FU233" i="7"/>
  <c r="FV191" i="7"/>
  <c r="FU199" i="7"/>
  <c r="FU224" i="7"/>
  <c r="FV199" i="7" l="1"/>
  <c r="FV232" i="7"/>
  <c r="FV106" i="7" s="1"/>
  <c r="H74" i="4" l="1"/>
  <c r="EU30" i="7" l="1"/>
  <c r="EU167" i="7" s="1"/>
  <c r="EW30" i="7"/>
  <c r="P9" i="3" s="1"/>
  <c r="BA67" i="3"/>
  <c r="N9" i="3" l="1"/>
  <c r="EU291" i="7"/>
  <c r="FB30" i="7"/>
  <c r="EW291" i="7"/>
  <c r="EW167" i="7"/>
  <c r="EU112" i="7"/>
  <c r="FI30" i="7" l="1"/>
  <c r="FD30" i="7"/>
  <c r="EW112" i="7"/>
  <c r="EU114" i="7"/>
  <c r="EU118" i="7" s="1"/>
  <c r="N33" i="3" s="1"/>
  <c r="EU164" i="7"/>
  <c r="N30" i="3"/>
  <c r="FB167" i="7"/>
  <c r="FB112" i="7"/>
  <c r="U9" i="3"/>
  <c r="FB291" i="7"/>
  <c r="N32" i="3" l="1"/>
  <c r="FI112" i="7"/>
  <c r="FI167" i="7"/>
  <c r="FI291" i="7"/>
  <c r="EW114" i="7"/>
  <c r="EW164" i="7"/>
  <c r="P30" i="3"/>
  <c r="FD167" i="7"/>
  <c r="W9" i="3"/>
  <c r="FD291" i="7"/>
  <c r="FB114" i="7"/>
  <c r="FB118" i="7" s="1"/>
  <c r="U33" i="3" s="1"/>
  <c r="FD112" i="7"/>
  <c r="U30" i="3"/>
  <c r="FB164" i="7"/>
  <c r="FP30" i="7"/>
  <c r="FK30" i="7"/>
  <c r="FK112" i="7" l="1"/>
  <c r="FI114" i="7"/>
  <c r="FI118" i="7" s="1"/>
  <c r="FI164" i="7"/>
  <c r="EW118" i="7"/>
  <c r="P33" i="3" s="1"/>
  <c r="P32" i="3" s="1"/>
  <c r="FR30" i="7"/>
  <c r="U32" i="3"/>
  <c r="FP167" i="7"/>
  <c r="FP112" i="7"/>
  <c r="FP291" i="7"/>
  <c r="FK291" i="7"/>
  <c r="FK167" i="7"/>
  <c r="FD114" i="7"/>
  <c r="FD164" i="7"/>
  <c r="W30" i="3"/>
  <c r="FD118" i="7" l="1"/>
  <c r="W33" i="3" s="1"/>
  <c r="W32" i="3" s="1"/>
  <c r="FP164" i="7"/>
  <c r="FR112" i="7"/>
  <c r="FP114" i="7"/>
  <c r="FP118" i="7" s="1"/>
  <c r="FR167" i="7"/>
  <c r="FR291" i="7"/>
  <c r="FK164" i="7"/>
  <c r="FK114" i="7"/>
  <c r="FK118" i="7" l="1"/>
  <c r="FR114" i="7"/>
  <c r="FR164" i="7"/>
  <c r="FR118" i="7" l="1"/>
  <c r="AV61" i="3" l="1"/>
  <c r="AV83" i="3" s="1"/>
  <c r="AW61" i="3" l="1"/>
  <c r="AW83" i="3" s="1"/>
  <c r="EV16" i="7"/>
  <c r="AV65" i="3" s="1"/>
  <c r="EV82" i="7"/>
  <c r="EV88" i="7" l="1"/>
  <c r="FC16" i="7"/>
  <c r="FC82" i="7"/>
  <c r="EW16" i="7"/>
  <c r="AW65" i="3" s="1"/>
  <c r="EW82" i="7"/>
  <c r="EV17" i="7"/>
  <c r="EV85" i="7"/>
  <c r="BA61" i="3" l="1"/>
  <c r="BA83" i="3" s="1"/>
  <c r="AU61" i="3"/>
  <c r="FA16" i="7"/>
  <c r="FA82" i="7"/>
  <c r="EW17" i="7"/>
  <c r="EW85" i="7"/>
  <c r="EW88" i="7"/>
  <c r="EV18" i="7"/>
  <c r="EV86" i="7"/>
  <c r="AP28" i="3" s="1"/>
  <c r="EV228" i="7"/>
  <c r="EV225" i="7" s="1"/>
  <c r="EV229" i="7"/>
  <c r="EV226" i="7" s="1"/>
  <c r="EV230" i="7"/>
  <c r="EV227" i="7" s="1"/>
  <c r="O7" i="3"/>
  <c r="FC88" i="7"/>
  <c r="BB61" i="3"/>
  <c r="BE61" i="3" s="1"/>
  <c r="FD16" i="7"/>
  <c r="FD82" i="7"/>
  <c r="FC17" i="7"/>
  <c r="FC85" i="7"/>
  <c r="FJ16" i="7"/>
  <c r="FJ82" i="7"/>
  <c r="BA65" i="3" l="1"/>
  <c r="AU65" i="3"/>
  <c r="FA17" i="7"/>
  <c r="FA85" i="7"/>
  <c r="FD88" i="7"/>
  <c r="FJ88" i="7"/>
  <c r="FJ17" i="7"/>
  <c r="FJ85" i="7"/>
  <c r="FQ16" i="7"/>
  <c r="FQ82" i="7"/>
  <c r="FK16" i="7"/>
  <c r="FK82" i="7"/>
  <c r="EW229" i="7"/>
  <c r="EW226" i="7" s="1"/>
  <c r="EV176" i="7"/>
  <c r="FC18" i="7"/>
  <c r="FC86" i="7"/>
  <c r="AW28" i="3" s="1"/>
  <c r="FC228" i="7"/>
  <c r="FC225" i="7" s="1"/>
  <c r="FC229" i="7"/>
  <c r="FC226" i="7" s="1"/>
  <c r="FC230" i="7"/>
  <c r="FC227" i="7" s="1"/>
  <c r="V7" i="3"/>
  <c r="EW18" i="7"/>
  <c r="EW86" i="7"/>
  <c r="AQ28" i="3" s="1"/>
  <c r="P7" i="3"/>
  <c r="FD17" i="7"/>
  <c r="FD85" i="7"/>
  <c r="EW230" i="7"/>
  <c r="EW227" i="7" s="1"/>
  <c r="EV191" i="7"/>
  <c r="FH16" i="7"/>
  <c r="BB65" i="3" s="1"/>
  <c r="BE65" i="3" s="1"/>
  <c r="FH82" i="7"/>
  <c r="EV231" i="7"/>
  <c r="EW228" i="7"/>
  <c r="EW225" i="7" s="1"/>
  <c r="EV177" i="7"/>
  <c r="EV199" i="7" l="1"/>
  <c r="O61" i="3" s="1"/>
  <c r="EW191" i="7"/>
  <c r="O55" i="3"/>
  <c r="FQ17" i="7"/>
  <c r="FQ85" i="7"/>
  <c r="EW177" i="7"/>
  <c r="O45" i="3"/>
  <c r="FH17" i="7"/>
  <c r="FH85" i="7"/>
  <c r="FO16" i="7"/>
  <c r="FO82" i="7"/>
  <c r="FQ88" i="7"/>
  <c r="FR16" i="7"/>
  <c r="FR82" i="7"/>
  <c r="EW231" i="7"/>
  <c r="EV232" i="7"/>
  <c r="EV106" i="7" s="1"/>
  <c r="O27" i="3" s="1"/>
  <c r="EV233" i="7"/>
  <c r="FD229" i="7"/>
  <c r="FD226" i="7" s="1"/>
  <c r="FC176" i="7"/>
  <c r="EW176" i="7"/>
  <c r="O44" i="3"/>
  <c r="FJ18" i="7"/>
  <c r="FJ86" i="7"/>
  <c r="FJ229" i="7"/>
  <c r="FJ226" i="7" s="1"/>
  <c r="FJ228" i="7"/>
  <c r="FJ225" i="7" s="1"/>
  <c r="FJ230" i="7"/>
  <c r="FC191" i="7"/>
  <c r="FD230" i="7"/>
  <c r="FD227" i="7" s="1"/>
  <c r="FD18" i="7"/>
  <c r="FD86" i="7"/>
  <c r="AX28" i="3" s="1"/>
  <c r="W7" i="3"/>
  <c r="FC231" i="7"/>
  <c r="FC177" i="7"/>
  <c r="FD228" i="7"/>
  <c r="FD225" i="7" s="1"/>
  <c r="FK17" i="7"/>
  <c r="FK85" i="7"/>
  <c r="FK88" i="7"/>
  <c r="FA18" i="7"/>
  <c r="FA86" i="7"/>
  <c r="AU28" i="3" s="1"/>
  <c r="FA226" i="7"/>
  <c r="FA233" i="7"/>
  <c r="FA223" i="7"/>
  <c r="FA227" i="7"/>
  <c r="FA222" i="7"/>
  <c r="FA225" i="7"/>
  <c r="FA224" i="7"/>
  <c r="T7" i="3"/>
  <c r="FD176" i="7" l="1"/>
  <c r="V44" i="3"/>
  <c r="EW199" i="7"/>
  <c r="P61" i="3" s="1"/>
  <c r="EW224" i="7"/>
  <c r="P55" i="3"/>
  <c r="FQ18" i="7"/>
  <c r="FQ86" i="7"/>
  <c r="FQ230" i="7"/>
  <c r="FQ229" i="7"/>
  <c r="FQ226" i="7" s="1"/>
  <c r="FQ228" i="7"/>
  <c r="O60" i="3"/>
  <c r="FR88" i="7"/>
  <c r="FR85" i="7"/>
  <c r="FR17" i="7"/>
  <c r="FH18" i="7"/>
  <c r="FH86" i="7"/>
  <c r="BB28" i="3" s="1"/>
  <c r="FH225" i="7"/>
  <c r="FH227" i="7"/>
  <c r="FH224" i="7"/>
  <c r="AA7" i="3"/>
  <c r="FH233" i="7"/>
  <c r="FH223" i="7"/>
  <c r="FH222" i="7"/>
  <c r="FH226" i="7"/>
  <c r="FK18" i="7"/>
  <c r="FK86" i="7"/>
  <c r="FJ191" i="7"/>
  <c r="FK230" i="7"/>
  <c r="FK227" i="7" s="1"/>
  <c r="FD231" i="7"/>
  <c r="FJ177" i="7"/>
  <c r="FK177" i="7" s="1"/>
  <c r="FK222" i="7" s="1"/>
  <c r="FJ231" i="7"/>
  <c r="FK228" i="7"/>
  <c r="EW223" i="7"/>
  <c r="P44" i="3"/>
  <c r="EW222" i="7"/>
  <c r="P45" i="3"/>
  <c r="V45" i="3"/>
  <c r="FD177" i="7"/>
  <c r="FJ176" i="7"/>
  <c r="FK176" i="7" s="1"/>
  <c r="FK223" i="7" s="1"/>
  <c r="FK229" i="7"/>
  <c r="FK226" i="7" s="1"/>
  <c r="EW232" i="7"/>
  <c r="EW106" i="7" s="1"/>
  <c r="P27" i="3" s="1"/>
  <c r="EW233" i="7"/>
  <c r="EX232" i="7"/>
  <c r="EX106" i="7" s="1"/>
  <c r="EZ232" i="7"/>
  <c r="EZ106" i="7" s="1"/>
  <c r="FO17" i="7"/>
  <c r="FO85" i="7"/>
  <c r="FV16" i="7"/>
  <c r="FV82" i="7"/>
  <c r="FC232" i="7"/>
  <c r="FC106" i="7" s="1"/>
  <c r="V27" i="3" s="1"/>
  <c r="FC233" i="7"/>
  <c r="FC199" i="7"/>
  <c r="V61" i="3" s="1"/>
  <c r="FD191" i="7"/>
  <c r="V55" i="3"/>
  <c r="FJ227" i="7"/>
  <c r="P60" i="3" l="1"/>
  <c r="FQ191" i="7"/>
  <c r="FR230" i="7"/>
  <c r="FR227" i="7" s="1"/>
  <c r="FR18" i="7"/>
  <c r="FR86" i="7"/>
  <c r="FQ227" i="7"/>
  <c r="FK191" i="7"/>
  <c r="FJ199" i="7"/>
  <c r="FV17" i="7"/>
  <c r="FV85" i="7"/>
  <c r="FJ232" i="7"/>
  <c r="FJ106" i="7" s="1"/>
  <c r="FJ233" i="7"/>
  <c r="FQ177" i="7"/>
  <c r="FR177" i="7" s="1"/>
  <c r="FR222" i="7" s="1"/>
  <c r="FQ231" i="7"/>
  <c r="FR228" i="7"/>
  <c r="FR225" i="7" s="1"/>
  <c r="FD223" i="7"/>
  <c r="W44" i="3"/>
  <c r="FO18" i="7"/>
  <c r="FO86" i="7"/>
  <c r="FO226" i="7"/>
  <c r="FO233" i="7"/>
  <c r="FO222" i="7"/>
  <c r="FO223" i="7"/>
  <c r="FO224" i="7"/>
  <c r="FO225" i="7"/>
  <c r="FO227" i="7"/>
  <c r="FD222" i="7"/>
  <c r="W45" i="3"/>
  <c r="FQ176" i="7"/>
  <c r="FR176" i="7" s="1"/>
  <c r="FR223" i="7" s="1"/>
  <c r="FR229" i="7"/>
  <c r="FR226" i="7" s="1"/>
  <c r="FK231" i="7"/>
  <c r="S27" i="3"/>
  <c r="FD199" i="7"/>
  <c r="W61" i="3" s="1"/>
  <c r="FD224" i="7"/>
  <c r="W55" i="3"/>
  <c r="Q27" i="3"/>
  <c r="V60" i="3"/>
  <c r="FD232" i="7"/>
  <c r="FD106" i="7" s="1"/>
  <c r="W27" i="3" s="1"/>
  <c r="FE232" i="7"/>
  <c r="FE106" i="7" s="1"/>
  <c r="FD233" i="7"/>
  <c r="FG232" i="7"/>
  <c r="FG106" i="7" s="1"/>
  <c r="FK225" i="7"/>
  <c r="FQ225" i="7"/>
  <c r="W60" i="3" l="1"/>
  <c r="FR191" i="7"/>
  <c r="FQ199" i="7"/>
  <c r="FK232" i="7"/>
  <c r="FK106" i="7" s="1"/>
  <c r="FL232" i="7"/>
  <c r="FL106" i="7" s="1"/>
  <c r="FN232" i="7"/>
  <c r="FN106" i="7" s="1"/>
  <c r="FK233" i="7"/>
  <c r="FQ233" i="7"/>
  <c r="FQ232" i="7"/>
  <c r="FQ106" i="7" s="1"/>
  <c r="X27" i="3"/>
  <c r="FR231" i="7"/>
  <c r="FK224" i="7"/>
  <c r="FK199" i="7"/>
  <c r="Z27" i="3"/>
  <c r="FV18" i="7"/>
  <c r="FV86" i="7"/>
  <c r="FV222" i="7"/>
  <c r="FV226" i="7"/>
  <c r="FV224" i="7"/>
  <c r="FV227" i="7"/>
  <c r="FV225" i="7"/>
  <c r="FV223" i="7"/>
  <c r="FV233" i="7"/>
  <c r="FR199" i="7" l="1"/>
  <c r="FR224" i="7"/>
  <c r="FR233" i="7"/>
  <c r="FU232" i="7"/>
  <c r="FU106" i="7" s="1"/>
  <c r="FR232" i="7"/>
  <c r="FR106" i="7" s="1"/>
  <c r="FS232" i="7"/>
  <c r="FS106" i="7" s="1"/>
  <c r="EO91" i="7" l="1"/>
  <c r="EO103" i="7"/>
  <c r="EO109" i="7" s="1"/>
  <c r="EP109" i="7" s="1"/>
  <c r="EO138" i="7"/>
  <c r="EO290" i="7" l="1"/>
  <c r="ET28" i="7" l="1"/>
  <c r="ER30" i="7"/>
  <c r="ET30" i="7"/>
  <c r="ET45" i="7" l="1"/>
  <c r="ER112" i="7"/>
  <c r="EY30" i="7"/>
  <c r="ER167" i="7"/>
  <c r="ER291" i="7"/>
  <c r="ES30" i="7"/>
  <c r="ER88" i="7" l="1"/>
  <c r="FF30" i="7"/>
  <c r="EZ30" i="7"/>
  <c r="EY112" i="7"/>
  <c r="EY291" i="7"/>
  <c r="EY167" i="7"/>
  <c r="R9" i="3"/>
  <c r="ER114" i="7"/>
  <c r="ER118" i="7" s="1"/>
  <c r="ES112" i="7"/>
  <c r="ER164" i="7"/>
  <c r="ER168" i="7" s="1"/>
  <c r="ET291" i="7"/>
  <c r="ET167" i="7"/>
  <c r="M9" i="3"/>
  <c r="D73" i="4"/>
  <c r="AX67" i="3"/>
  <c r="ES291" i="7"/>
  <c r="ES167" i="7"/>
  <c r="AX83" i="3" l="1"/>
  <c r="FA30" i="7"/>
  <c r="AY67" i="3"/>
  <c r="FG30" i="7"/>
  <c r="EX88" i="7"/>
  <c r="FF112" i="7"/>
  <c r="FF167" i="7"/>
  <c r="Y9" i="3"/>
  <c r="FF291" i="7"/>
  <c r="ER184" i="7"/>
  <c r="ES168" i="7"/>
  <c r="ET168" i="7" s="1"/>
  <c r="EU168" i="7" s="1"/>
  <c r="ET112" i="7"/>
  <c r="ES114" i="7"/>
  <c r="ES164" i="7"/>
  <c r="EY114" i="7"/>
  <c r="EY118" i="7" s="1"/>
  <c r="R33" i="3" s="1"/>
  <c r="EZ112" i="7"/>
  <c r="EY164" i="7"/>
  <c r="R30" i="3"/>
  <c r="EZ167" i="7"/>
  <c r="EZ291" i="7"/>
  <c r="S9" i="3"/>
  <c r="ER169" i="7"/>
  <c r="ES88" i="7"/>
  <c r="ET169" i="7"/>
  <c r="FM30" i="7"/>
  <c r="EY88" i="7"/>
  <c r="ES169" i="7" l="1"/>
  <c r="R32" i="3"/>
  <c r="FT30" i="7"/>
  <c r="FE88" i="7"/>
  <c r="EZ88" i="7"/>
  <c r="ET164" i="7"/>
  <c r="M30" i="3"/>
  <c r="FF88" i="7"/>
  <c r="ET114" i="7"/>
  <c r="ES118" i="7"/>
  <c r="FN30" i="7"/>
  <c r="FM112" i="7"/>
  <c r="FM167" i="7"/>
  <c r="FM291" i="7"/>
  <c r="EU184" i="7"/>
  <c r="EU169" i="7"/>
  <c r="EV168" i="7"/>
  <c r="FA88" i="7"/>
  <c r="ES184" i="7"/>
  <c r="ER188" i="7"/>
  <c r="FH30" i="7"/>
  <c r="AY83" i="3"/>
  <c r="FF114" i="7"/>
  <c r="FF118" i="7" s="1"/>
  <c r="Y33" i="3" s="1"/>
  <c r="FF164" i="7"/>
  <c r="FG112" i="7"/>
  <c r="Y30" i="3"/>
  <c r="FA112" i="7"/>
  <c r="EZ164" i="7"/>
  <c r="EZ114" i="7"/>
  <c r="S30" i="3"/>
  <c r="FG167" i="7"/>
  <c r="FG291" i="7"/>
  <c r="Z9" i="3"/>
  <c r="FA167" i="7"/>
  <c r="FA291" i="7"/>
  <c r="T9" i="3"/>
  <c r="E73" i="4"/>
  <c r="AZ67" i="3"/>
  <c r="AN67" i="3"/>
  <c r="Y32" i="3" l="1"/>
  <c r="AN83" i="3"/>
  <c r="FM88" i="7"/>
  <c r="FL88" i="7"/>
  <c r="FH167" i="7"/>
  <c r="FH291" i="7"/>
  <c r="F73" i="4"/>
  <c r="AA9" i="3"/>
  <c r="FA164" i="7"/>
  <c r="E75" i="4"/>
  <c r="T30" i="3"/>
  <c r="EW168" i="7"/>
  <c r="EV169" i="7"/>
  <c r="EV184" i="7"/>
  <c r="ET118" i="7"/>
  <c r="M33" i="3" s="1"/>
  <c r="M32" i="3" s="1"/>
  <c r="D75" i="4"/>
  <c r="FA114" i="7"/>
  <c r="FA118" i="7" s="1"/>
  <c r="T33" i="3" s="1"/>
  <c r="EZ118" i="7"/>
  <c r="S33" i="3" s="1"/>
  <c r="S32" i="3" s="1"/>
  <c r="FM114" i="7"/>
  <c r="FM118" i="7" s="1"/>
  <c r="FN112" i="7"/>
  <c r="FM164" i="7"/>
  <c r="FU30" i="7"/>
  <c r="ET88" i="7"/>
  <c r="ET184" i="7"/>
  <c r="ES188" i="7"/>
  <c r="AU67" i="3"/>
  <c r="FH88" i="7"/>
  <c r="FN291" i="7"/>
  <c r="FN167" i="7"/>
  <c r="AZ83" i="3"/>
  <c r="FG114" i="7"/>
  <c r="FH112" i="7"/>
  <c r="FG164" i="7"/>
  <c r="Z30" i="3"/>
  <c r="EU188" i="7"/>
  <c r="N50" i="3"/>
  <c r="N53" i="3" s="1"/>
  <c r="FT112" i="7"/>
  <c r="FT291" i="7"/>
  <c r="FT167" i="7"/>
  <c r="FG88" i="7"/>
  <c r="FT88" i="7"/>
  <c r="FO30" i="7"/>
  <c r="T32" i="3" l="1"/>
  <c r="FH164" i="7"/>
  <c r="AA30" i="3"/>
  <c r="F75" i="4"/>
  <c r="FS88" i="7"/>
  <c r="FU167" i="7"/>
  <c r="FU291" i="7"/>
  <c r="FV30" i="7"/>
  <c r="EV188" i="7"/>
  <c r="EW184" i="7"/>
  <c r="O50" i="3"/>
  <c r="O53" i="3" s="1"/>
  <c r="FO88" i="7"/>
  <c r="FH114" i="7"/>
  <c r="FH118" i="7" s="1"/>
  <c r="AA33" i="3" s="1"/>
  <c r="FG118" i="7"/>
  <c r="Z33" i="3" s="1"/>
  <c r="Z32" i="3" s="1"/>
  <c r="AU83" i="3"/>
  <c r="BB67" i="3"/>
  <c r="ET188" i="7"/>
  <c r="M50" i="3"/>
  <c r="M53" i="3" s="1"/>
  <c r="FO112" i="7"/>
  <c r="FN164" i="7"/>
  <c r="FN114" i="7"/>
  <c r="EX168" i="7"/>
  <c r="EW169" i="7"/>
  <c r="FN88" i="7"/>
  <c r="FT114" i="7"/>
  <c r="FT118" i="7" s="1"/>
  <c r="FU112" i="7"/>
  <c r="FT164" i="7"/>
  <c r="FO291" i="7"/>
  <c r="FO167" i="7"/>
  <c r="G73" i="4"/>
  <c r="AA32" i="3" l="1"/>
  <c r="FV88" i="7"/>
  <c r="FU88" i="7"/>
  <c r="FO164" i="7"/>
  <c r="G75" i="4"/>
  <c r="EW188" i="7"/>
  <c r="P50" i="3"/>
  <c r="P53" i="3" s="1"/>
  <c r="FV167" i="7"/>
  <c r="FV291" i="7"/>
  <c r="H73" i="4"/>
  <c r="I73" i="4" s="1"/>
  <c r="BB83" i="3"/>
  <c r="BE67" i="3"/>
  <c r="EY168" i="7"/>
  <c r="EX184" i="7"/>
  <c r="EX169" i="7"/>
  <c r="FO114" i="7"/>
  <c r="FO118" i="7" s="1"/>
  <c r="FN118" i="7"/>
  <c r="FV112" i="7"/>
  <c r="FU164" i="7"/>
  <c r="FU114" i="7"/>
  <c r="EY184" i="7" l="1"/>
  <c r="EZ168" i="7"/>
  <c r="EY169" i="7"/>
  <c r="FV164" i="7"/>
  <c r="H75" i="4"/>
  <c r="EX188" i="7"/>
  <c r="Q50" i="3"/>
  <c r="Q53" i="3" s="1"/>
  <c r="FV114" i="7"/>
  <c r="FV118" i="7" s="1"/>
  <c r="FU118" i="7"/>
  <c r="I75" i="4" l="1"/>
  <c r="FA168" i="7"/>
  <c r="EZ169" i="7"/>
  <c r="EZ184" i="7"/>
  <c r="EY188" i="7"/>
  <c r="R50" i="3"/>
  <c r="R53" i="3" s="1"/>
  <c r="FA184" i="7" l="1"/>
  <c r="EZ188" i="7"/>
  <c r="S50" i="3"/>
  <c r="S53" i="3" s="1"/>
  <c r="FB168" i="7"/>
  <c r="FA169" i="7"/>
  <c r="FA188" i="7" l="1"/>
  <c r="T50" i="3"/>
  <c r="T53" i="3" s="1"/>
  <c r="FC168" i="7"/>
  <c r="FB184" i="7"/>
  <c r="FB169" i="7"/>
  <c r="U50" i="3" l="1"/>
  <c r="U53" i="3" s="1"/>
  <c r="FB188" i="7"/>
  <c r="FC184" i="7"/>
  <c r="FD168" i="7"/>
  <c r="FC169" i="7"/>
  <c r="FC188" i="7" l="1"/>
  <c r="FD184" i="7"/>
  <c r="V50" i="3"/>
  <c r="V53" i="3" s="1"/>
  <c r="FD169" i="7"/>
  <c r="FE168" i="7"/>
  <c r="FF168" i="7" l="1"/>
  <c r="FE169" i="7"/>
  <c r="FE184" i="7"/>
  <c r="FD188" i="7"/>
  <c r="W50" i="3"/>
  <c r="W53" i="3" s="1"/>
  <c r="FE188" i="7" l="1"/>
  <c r="X50" i="3"/>
  <c r="X53" i="3" s="1"/>
  <c r="FG168" i="7"/>
  <c r="FF184" i="7"/>
  <c r="FF169" i="7"/>
  <c r="FG184" i="7" l="1"/>
  <c r="FF188" i="7"/>
  <c r="Y50" i="3"/>
  <c r="Y53" i="3" s="1"/>
  <c r="FH168" i="7"/>
  <c r="FG169" i="7"/>
  <c r="FI168" i="7" l="1"/>
  <c r="FH169" i="7"/>
  <c r="FH184" i="7"/>
  <c r="FG188" i="7"/>
  <c r="Z50" i="3"/>
  <c r="Z53" i="3" s="1"/>
  <c r="FH188" i="7" l="1"/>
  <c r="AA50" i="3"/>
  <c r="AA53" i="3" s="1"/>
  <c r="FI169" i="7"/>
  <c r="FJ168" i="7"/>
  <c r="FI184" i="7"/>
  <c r="FI188" i="7" s="1"/>
  <c r="FJ169" i="7" l="1"/>
  <c r="FJ184" i="7"/>
  <c r="FK168" i="7"/>
  <c r="FK184" i="7" l="1"/>
  <c r="FK188" i="7" s="1"/>
  <c r="FJ188" i="7"/>
  <c r="FL168" i="7"/>
  <c r="FK169" i="7"/>
  <c r="FM168" i="7" l="1"/>
  <c r="FL169" i="7"/>
  <c r="FL184" i="7"/>
  <c r="FL188" i="7" s="1"/>
  <c r="FN168" i="7" l="1"/>
  <c r="FM184" i="7"/>
  <c r="FM169" i="7"/>
  <c r="FO168" i="7" l="1"/>
  <c r="FN169" i="7"/>
  <c r="FM188" i="7"/>
  <c r="FN184" i="7"/>
  <c r="FP168" i="7" l="1"/>
  <c r="FO169" i="7"/>
  <c r="FN188" i="7"/>
  <c r="FO184" i="7"/>
  <c r="FO188" i="7" s="1"/>
  <c r="FP169" i="7" l="1"/>
  <c r="FP184" i="7"/>
  <c r="FP188" i="7" s="1"/>
  <c r="FQ168" i="7"/>
  <c r="FQ184" i="7" l="1"/>
  <c r="FR168" i="7"/>
  <c r="FQ169" i="7"/>
  <c r="FR184" i="7" l="1"/>
  <c r="FR188" i="7" s="1"/>
  <c r="FQ188" i="7"/>
  <c r="FR169" i="7"/>
  <c r="FS168" i="7"/>
  <c r="FS184" i="7" l="1"/>
  <c r="FS188" i="7" s="1"/>
  <c r="FS169" i="7"/>
  <c r="FT168" i="7"/>
  <c r="FU168" i="7" l="1"/>
  <c r="FT184" i="7"/>
  <c r="FT169" i="7"/>
  <c r="FV168" i="7" l="1"/>
  <c r="FV169" i="7" s="1"/>
  <c r="FU169" i="7"/>
  <c r="FT188" i="7"/>
  <c r="FU184" i="7"/>
  <c r="FV184" i="7" l="1"/>
  <c r="FV188" i="7" s="1"/>
  <c r="FU188" i="7"/>
  <c r="EQ58" i="7" l="1"/>
  <c r="EQ90" i="7" s="1"/>
  <c r="EQ240" i="7"/>
  <c r="EQ315" i="7" l="1"/>
  <c r="EQ314" i="7" s="1"/>
  <c r="EQ44" i="7"/>
  <c r="ER44" i="7" s="1"/>
  <c r="EU44" i="7" s="1"/>
  <c r="EQ50" i="7"/>
  <c r="EQ137" i="7"/>
  <c r="EQ241" i="7"/>
  <c r="EQ72" i="7"/>
  <c r="EQ49" i="7"/>
  <c r="EQ73" i="7" l="1"/>
  <c r="EU48" i="7"/>
  <c r="EU36" i="7" s="1"/>
  <c r="EU35" i="7" s="1"/>
  <c r="ES44" i="7"/>
  <c r="ET44" i="7" s="1"/>
  <c r="ER48" i="7"/>
  <c r="ER36" i="7" s="1"/>
  <c r="EQ93" i="7"/>
  <c r="EQ95" i="7" s="1"/>
  <c r="ER67" i="7" l="1"/>
  <c r="ER137" i="7"/>
  <c r="ER50" i="7"/>
  <c r="ER49" i="7"/>
  <c r="ER57" i="7"/>
  <c r="ER58" i="7" s="1"/>
  <c r="ER90" i="7" s="1"/>
  <c r="EV44" i="7"/>
  <c r="ET48" i="7"/>
  <c r="ES48" i="7"/>
  <c r="EQ242" i="7"/>
  <c r="EQ99" i="7"/>
  <c r="EQ96" i="7"/>
  <c r="EQ97" i="7" s="1"/>
  <c r="ET67" i="7" l="1"/>
  <c r="M12" i="3" s="1"/>
  <c r="ET49" i="7"/>
  <c r="M10" i="3"/>
  <c r="ET137" i="7"/>
  <c r="AN40" i="3" s="1"/>
  <c r="ET57" i="7"/>
  <c r="ET58" i="7" s="1"/>
  <c r="ET90" i="7" s="1"/>
  <c r="ET50" i="7"/>
  <c r="D70" i="4"/>
  <c r="ET36" i="7"/>
  <c r="EU57" i="7"/>
  <c r="EU58" i="7" s="1"/>
  <c r="EU90" i="7" s="1"/>
  <c r="EU50" i="7"/>
  <c r="N10" i="3"/>
  <c r="EU49" i="7"/>
  <c r="EU137" i="7"/>
  <c r="AO40" i="3" s="1"/>
  <c r="EU67" i="7"/>
  <c r="ES57" i="7"/>
  <c r="ES58" i="7" s="1"/>
  <c r="ES90" i="7" s="1"/>
  <c r="ES67" i="7"/>
  <c r="ES49" i="7"/>
  <c r="ES36" i="7"/>
  <c r="ES35" i="7" s="1"/>
  <c r="ES50" i="7"/>
  <c r="ES137" i="7"/>
  <c r="ER21" i="7"/>
  <c r="ER91" i="7"/>
  <c r="ER103" i="7"/>
  <c r="ER290" i="7" s="1"/>
  <c r="ER37" i="7"/>
  <c r="ER93" i="7" s="1"/>
  <c r="ER95" i="7" s="1"/>
  <c r="ER97" i="7" s="1"/>
  <c r="ES97" i="7" s="1"/>
  <c r="ET97" i="7" s="1"/>
  <c r="ER35" i="7"/>
  <c r="EX44" i="7"/>
  <c r="EW44" i="7"/>
  <c r="EW48" i="7" s="1"/>
  <c r="EV48" i="7"/>
  <c r="EQ74" i="7"/>
  <c r="EQ258" i="7"/>
  <c r="EQ261" i="7" s="1"/>
  <c r="EQ257" i="7"/>
  <c r="EQ260" i="7" s="1"/>
  <c r="EQ296" i="7"/>
  <c r="ES98" i="7" l="1"/>
  <c r="EW57" i="7"/>
  <c r="EW58" i="7" s="1"/>
  <c r="EW90" i="7" s="1"/>
  <c r="EW67" i="7"/>
  <c r="EW36" i="7"/>
  <c r="EW49" i="7"/>
  <c r="EW50" i="7"/>
  <c r="EW137" i="7"/>
  <c r="AQ40" i="3" s="1"/>
  <c r="P10" i="3"/>
  <c r="ES68" i="7"/>
  <c r="ES70" i="7" s="1"/>
  <c r="ES105" i="7" s="1"/>
  <c r="O10" i="3"/>
  <c r="EV36" i="7"/>
  <c r="EV49" i="7"/>
  <c r="EV57" i="7"/>
  <c r="EV58" i="7" s="1"/>
  <c r="EV90" i="7" s="1"/>
  <c r="EV50" i="7"/>
  <c r="EV137" i="7"/>
  <c r="AP40" i="3" s="1"/>
  <c r="EV67" i="7"/>
  <c r="EY44" i="7"/>
  <c r="EX48" i="7"/>
  <c r="N8" i="3"/>
  <c r="AO72" i="3" s="1"/>
  <c r="EU37" i="7"/>
  <c r="EU93" i="7" s="1"/>
  <c r="EU95" i="7" s="1"/>
  <c r="EU97" i="7" s="1"/>
  <c r="EU91" i="7"/>
  <c r="EU103" i="7"/>
  <c r="EU21" i="7"/>
  <c r="N12" i="3"/>
  <c r="ET37" i="7"/>
  <c r="ET93" i="7" s="1"/>
  <c r="ET95" i="7" s="1"/>
  <c r="ET96" i="7" s="1"/>
  <c r="M8" i="3"/>
  <c r="AN72" i="3" s="1"/>
  <c r="ET21" i="7"/>
  <c r="ET35" i="7"/>
  <c r="ET2" i="7"/>
  <c r="ET91" i="7"/>
  <c r="ER98" i="7"/>
  <c r="ER68" i="7"/>
  <c r="ER70" i="7" s="1"/>
  <c r="ES37" i="7"/>
  <c r="ES93" i="7" s="1"/>
  <c r="ES95" i="7" s="1"/>
  <c r="ES91" i="7"/>
  <c r="D72" i="4"/>
  <c r="ET68" i="7"/>
  <c r="ET70" i="7" s="1"/>
  <c r="ET98" i="7"/>
  <c r="EQ298" i="7"/>
  <c r="EQ299" i="7" s="1"/>
  <c r="EQ262" i="7"/>
  <c r="EQ271" i="7"/>
  <c r="EQ263" i="7"/>
  <c r="EQ272" i="7"/>
  <c r="EQ273" i="7"/>
  <c r="ES72" i="7" l="1"/>
  <c r="ES99" i="7"/>
  <c r="EU290" i="7"/>
  <c r="N24" i="3"/>
  <c r="EU68" i="7"/>
  <c r="EU70" i="7" s="1"/>
  <c r="EU98" i="7"/>
  <c r="AO71" i="3"/>
  <c r="AO94" i="3" s="1"/>
  <c r="AO93" i="3"/>
  <c r="AO87" i="3"/>
  <c r="AO91" i="3"/>
  <c r="AO95" i="3"/>
  <c r="AO92" i="3"/>
  <c r="AO90" i="3"/>
  <c r="O12" i="3"/>
  <c r="ER105" i="7"/>
  <c r="ER110" i="7" s="1"/>
  <c r="ER99" i="7"/>
  <c r="ER72" i="7"/>
  <c r="AN92" i="3"/>
  <c r="AN91" i="3"/>
  <c r="AN93" i="3"/>
  <c r="AN95" i="3"/>
  <c r="AN90" i="3"/>
  <c r="AN71" i="3"/>
  <c r="AN94" i="3" s="1"/>
  <c r="AN87" i="3"/>
  <c r="EW35" i="7"/>
  <c r="EW91" i="7"/>
  <c r="P8" i="3"/>
  <c r="AQ72" i="3" s="1"/>
  <c r="EW37" i="7"/>
  <c r="EW93" i="7" s="1"/>
  <c r="EW95" i="7" s="1"/>
  <c r="P12" i="3"/>
  <c r="EX36" i="7"/>
  <c r="EX67" i="7"/>
  <c r="Q10" i="3"/>
  <c r="EX57" i="7"/>
  <c r="EX58" i="7" s="1"/>
  <c r="EX90" i="7" s="1"/>
  <c r="EX49" i="7"/>
  <c r="EX137" i="7"/>
  <c r="AR40" i="3" s="1"/>
  <c r="EX50" i="7"/>
  <c r="EV21" i="7"/>
  <c r="EV91" i="7"/>
  <c r="EV103" i="7"/>
  <c r="EW103" i="7" s="1"/>
  <c r="O8" i="3"/>
  <c r="AP72" i="3" s="1"/>
  <c r="EV35" i="7"/>
  <c r="EV37" i="7"/>
  <c r="EV93" i="7" s="1"/>
  <c r="EV95" i="7" s="1"/>
  <c r="EV97" i="7" s="1"/>
  <c r="FB44" i="7"/>
  <c r="EZ44" i="7"/>
  <c r="EY48" i="7"/>
  <c r="AN35" i="3"/>
  <c r="ET99" i="7"/>
  <c r="ET105" i="7"/>
  <c r="M13" i="3"/>
  <c r="ET72" i="7"/>
  <c r="EQ300" i="7"/>
  <c r="ER294" i="7"/>
  <c r="ES73" i="7"/>
  <c r="ES79" i="7"/>
  <c r="ES257" i="7" s="1"/>
  <c r="FA44" i="7" l="1"/>
  <c r="EZ48" i="7"/>
  <c r="ER122" i="7"/>
  <c r="ER128" i="7"/>
  <c r="EV68" i="7"/>
  <c r="EV70" i="7" s="1"/>
  <c r="EV98" i="7"/>
  <c r="AQ95" i="3"/>
  <c r="AQ87" i="3"/>
  <c r="AQ92" i="3"/>
  <c r="AQ91" i="3"/>
  <c r="AQ71" i="3"/>
  <c r="AQ94" i="3" s="1"/>
  <c r="AQ93" i="3"/>
  <c r="AQ90" i="3"/>
  <c r="AP71" i="3"/>
  <c r="AP94" i="3" s="1"/>
  <c r="AP87" i="3"/>
  <c r="AP95" i="3"/>
  <c r="AP91" i="3"/>
  <c r="AP93" i="3"/>
  <c r="AP92" i="3"/>
  <c r="AP90" i="3"/>
  <c r="EW97" i="7"/>
  <c r="Q12" i="3"/>
  <c r="FB48" i="7"/>
  <c r="FC44" i="7"/>
  <c r="P24" i="3"/>
  <c r="EW290" i="7"/>
  <c r="EV290" i="7"/>
  <c r="O24" i="3"/>
  <c r="EY57" i="7"/>
  <c r="EY58" i="7" s="1"/>
  <c r="EY90" i="7" s="1"/>
  <c r="EY50" i="7"/>
  <c r="EY36" i="7"/>
  <c r="EY67" i="7"/>
  <c r="R10" i="3"/>
  <c r="EY49" i="7"/>
  <c r="EY137" i="7"/>
  <c r="AS40" i="3" s="1"/>
  <c r="EW21" i="7"/>
  <c r="EX91" i="7"/>
  <c r="Q8" i="3"/>
  <c r="AR72" i="3" s="1"/>
  <c r="EX37" i="7"/>
  <c r="EX93" i="7" s="1"/>
  <c r="EX95" i="7" s="1"/>
  <c r="EX97" i="7" s="1"/>
  <c r="EX103" i="7"/>
  <c r="EX35" i="7"/>
  <c r="EX21" i="7"/>
  <c r="ER73" i="7"/>
  <c r="ER79" i="7"/>
  <c r="EU99" i="7"/>
  <c r="EU105" i="7"/>
  <c r="N13" i="3"/>
  <c r="EU72" i="7"/>
  <c r="M26" i="3"/>
  <c r="ET73" i="7"/>
  <c r="ET79" i="7"/>
  <c r="M15" i="3"/>
  <c r="ES76" i="7"/>
  <c r="ES258" i="7" s="1"/>
  <c r="ES261" i="7" s="1"/>
  <c r="ES74" i="7"/>
  <c r="EX290" i="7" l="1"/>
  <c r="Q24" i="3"/>
  <c r="EV99" i="7"/>
  <c r="EV105" i="7"/>
  <c r="O13" i="3"/>
  <c r="EV72" i="7"/>
  <c r="N15" i="3"/>
  <c r="EU73" i="7"/>
  <c r="EU79" i="7"/>
  <c r="N26" i="3"/>
  <c r="N29" i="3" s="1"/>
  <c r="AO30" i="3" s="1"/>
  <c r="EU110" i="7"/>
  <c r="EW96" i="7"/>
  <c r="AQ35" i="3" s="1"/>
  <c r="EW98" i="7"/>
  <c r="EW68" i="7"/>
  <c r="EW70" i="7" s="1"/>
  <c r="AR87" i="3"/>
  <c r="AR91" i="3"/>
  <c r="AR93" i="3"/>
  <c r="AR71" i="3"/>
  <c r="AR94" i="3" s="1"/>
  <c r="AR95" i="3"/>
  <c r="AR92" i="3"/>
  <c r="AR90" i="3"/>
  <c r="ER213" i="7"/>
  <c r="ER257" i="7"/>
  <c r="ER260" i="7" s="1"/>
  <c r="ER262" i="7" s="1"/>
  <c r="ER296" i="7"/>
  <c r="EZ36" i="7"/>
  <c r="EZ67" i="7"/>
  <c r="S10" i="3"/>
  <c r="EZ49" i="7"/>
  <c r="EZ137" i="7"/>
  <c r="AT40" i="3" s="1"/>
  <c r="EZ57" i="7"/>
  <c r="EZ58" i="7" s="1"/>
  <c r="EZ90" i="7" s="1"/>
  <c r="EZ50" i="7"/>
  <c r="EX98" i="7"/>
  <c r="EX68" i="7"/>
  <c r="EX70" i="7" s="1"/>
  <c r="R12" i="3"/>
  <c r="R8" i="3"/>
  <c r="AS72" i="3" s="1"/>
  <c r="EY37" i="7"/>
  <c r="EY93" i="7" s="1"/>
  <c r="EY95" i="7" s="1"/>
  <c r="EY97" i="7" s="1"/>
  <c r="EZ97" i="7" s="1"/>
  <c r="EY21" i="7"/>
  <c r="EY103" i="7"/>
  <c r="EY91" i="7"/>
  <c r="EY35" i="7"/>
  <c r="ER124" i="7"/>
  <c r="ER127" i="7" s="1"/>
  <c r="ER175" i="7" s="1"/>
  <c r="ES122" i="7"/>
  <c r="ER201" i="7"/>
  <c r="ER74" i="7"/>
  <c r="ER76" i="7"/>
  <c r="ER258" i="7" s="1"/>
  <c r="ER261" i="7" s="1"/>
  <c r="FE44" i="7"/>
  <c r="FD44" i="7"/>
  <c r="FD48" i="7" s="1"/>
  <c r="FC48" i="7"/>
  <c r="FB57" i="7"/>
  <c r="FB58" i="7" s="1"/>
  <c r="FB90" i="7" s="1"/>
  <c r="U10" i="3"/>
  <c r="FB49" i="7"/>
  <c r="FB50" i="7"/>
  <c r="FB137" i="7"/>
  <c r="AV40" i="3" s="1"/>
  <c r="FB67" i="7"/>
  <c r="FB36" i="7"/>
  <c r="FA48" i="7"/>
  <c r="ET296" i="7"/>
  <c r="ET257" i="7"/>
  <c r="ET260" i="7" s="1"/>
  <c r="M18" i="3"/>
  <c r="ET76" i="7"/>
  <c r="ET258" i="7" s="1"/>
  <c r="ET261" i="7" s="1"/>
  <c r="ET74" i="7"/>
  <c r="ES273" i="7"/>
  <c r="ES272" i="7"/>
  <c r="ES263" i="7"/>
  <c r="EZ21" i="7" l="1"/>
  <c r="FF44" i="7"/>
  <c r="FE48" i="7"/>
  <c r="T10" i="3"/>
  <c r="FA57" i="7"/>
  <c r="FA58" i="7" s="1"/>
  <c r="FA90" i="7" s="1"/>
  <c r="FA67" i="7"/>
  <c r="FA49" i="7"/>
  <c r="E70" i="4"/>
  <c r="FA137" i="7"/>
  <c r="AU40" i="3" s="1"/>
  <c r="FA36" i="7"/>
  <c r="FA50" i="7"/>
  <c r="EX99" i="7"/>
  <c r="Q13" i="3"/>
  <c r="EX105" i="7"/>
  <c r="EX72" i="7"/>
  <c r="EU128" i="7"/>
  <c r="O26" i="3"/>
  <c r="O29" i="3" s="1"/>
  <c r="AP30" i="3" s="1"/>
  <c r="EV110" i="7"/>
  <c r="S12" i="3"/>
  <c r="R24" i="3"/>
  <c r="EY290" i="7"/>
  <c r="EZ91" i="7"/>
  <c r="EZ37" i="7"/>
  <c r="EZ93" i="7" s="1"/>
  <c r="EZ95" i="7" s="1"/>
  <c r="EZ96" i="7" s="1"/>
  <c r="AT35" i="3" s="1"/>
  <c r="S8" i="3"/>
  <c r="AT72" i="3" s="1"/>
  <c r="EZ35" i="7"/>
  <c r="ES201" i="7"/>
  <c r="ER207" i="7"/>
  <c r="ER208" i="7" s="1"/>
  <c r="ER132" i="7"/>
  <c r="U12" i="3"/>
  <c r="EY68" i="7"/>
  <c r="EY70" i="7" s="1"/>
  <c r="EY98" i="7"/>
  <c r="EU74" i="7"/>
  <c r="EU76" i="7"/>
  <c r="EU258" i="7" s="1"/>
  <c r="EU261" i="7" s="1"/>
  <c r="O15" i="3"/>
  <c r="EV73" i="7"/>
  <c r="EV79" i="7"/>
  <c r="ER272" i="7"/>
  <c r="ER273" i="7"/>
  <c r="ER271" i="7"/>
  <c r="ER263" i="7"/>
  <c r="EZ68" i="7"/>
  <c r="EZ70" i="7" s="1"/>
  <c r="EZ98" i="7"/>
  <c r="FA97" i="7"/>
  <c r="FB21" i="7"/>
  <c r="FB37" i="7"/>
  <c r="FB93" i="7" s="1"/>
  <c r="FB95" i="7" s="1"/>
  <c r="FB97" i="7" s="1"/>
  <c r="FB91" i="7"/>
  <c r="FB103" i="7"/>
  <c r="U8" i="3"/>
  <c r="AV72" i="3" s="1"/>
  <c r="FB35" i="7"/>
  <c r="N18" i="3"/>
  <c r="EU257" i="7"/>
  <c r="EU260" i="7" s="1"/>
  <c r="EU296" i="7"/>
  <c r="FC36" i="7"/>
  <c r="FC57" i="7"/>
  <c r="FC58" i="7" s="1"/>
  <c r="FC90" i="7" s="1"/>
  <c r="FC50" i="7"/>
  <c r="FC49" i="7"/>
  <c r="FC67" i="7"/>
  <c r="FC137" i="7"/>
  <c r="AW40" i="3" s="1"/>
  <c r="V10" i="3"/>
  <c r="ES124" i="7"/>
  <c r="ET122" i="7"/>
  <c r="FD49" i="7"/>
  <c r="FD57" i="7"/>
  <c r="FD58" i="7" s="1"/>
  <c r="FD90" i="7" s="1"/>
  <c r="FD67" i="7"/>
  <c r="FD137" i="7"/>
  <c r="AX40" i="3" s="1"/>
  <c r="W10" i="3"/>
  <c r="FD50" i="7"/>
  <c r="FD36" i="7"/>
  <c r="ER153" i="7"/>
  <c r="ER154" i="7" s="1"/>
  <c r="ER156" i="7" s="1"/>
  <c r="ER158" i="7" s="1"/>
  <c r="ER179" i="7"/>
  <c r="ER189" i="7" s="1"/>
  <c r="ES175" i="7"/>
  <c r="AS93" i="3"/>
  <c r="AS71" i="3"/>
  <c r="AS94" i="3" s="1"/>
  <c r="AS87" i="3"/>
  <c r="AS91" i="3"/>
  <c r="AS92" i="3"/>
  <c r="AS95" i="3"/>
  <c r="AS90" i="3"/>
  <c r="ES213" i="7"/>
  <c r="ER298" i="7"/>
  <c r="ER299" i="7" s="1"/>
  <c r="ER218" i="7"/>
  <c r="ER242" i="7"/>
  <c r="EW99" i="7"/>
  <c r="EW105" i="7"/>
  <c r="P13" i="3"/>
  <c r="EW72" i="7"/>
  <c r="EZ103" i="7"/>
  <c r="M19" i="3"/>
  <c r="ET262" i="7"/>
  <c r="ES260" i="7"/>
  <c r="ET271" i="7"/>
  <c r="ET273" i="7"/>
  <c r="AN34" i="3" s="1"/>
  <c r="M16" i="3"/>
  <c r="ET272" i="7"/>
  <c r="AN23" i="3"/>
  <c r="ET263" i="7"/>
  <c r="AN29" i="3" s="1"/>
  <c r="G30" i="4"/>
  <c r="G34" i="4" s="1"/>
  <c r="G36" i="4" s="1"/>
  <c r="G38" i="4" s="1"/>
  <c r="ER300" i="7" l="1"/>
  <c r="FB98" i="7"/>
  <c r="FB68" i="7"/>
  <c r="FB70" i="7" s="1"/>
  <c r="AT91" i="3"/>
  <c r="AT71" i="3"/>
  <c r="AT94" i="3" s="1"/>
  <c r="AT90" i="3"/>
  <c r="AT87" i="3"/>
  <c r="AT95" i="3"/>
  <c r="AT92" i="3"/>
  <c r="AT93" i="3"/>
  <c r="T12" i="3"/>
  <c r="FA68" i="7"/>
  <c r="FA70" i="7" s="1"/>
  <c r="FA72" i="7" s="1"/>
  <c r="FA98" i="7"/>
  <c r="W12" i="3"/>
  <c r="ER209" i="7"/>
  <c r="ER219" i="7" s="1"/>
  <c r="ER240" i="7"/>
  <c r="FI44" i="7"/>
  <c r="FG44" i="7"/>
  <c r="FF48" i="7"/>
  <c r="EV128" i="7"/>
  <c r="N19" i="3"/>
  <c r="EU262" i="7"/>
  <c r="EY99" i="7"/>
  <c r="R13" i="3"/>
  <c r="EY105" i="7"/>
  <c r="EY72" i="7"/>
  <c r="EZ290" i="7"/>
  <c r="S24" i="3"/>
  <c r="FA103" i="7"/>
  <c r="ES179" i="7"/>
  <c r="ES189" i="7" s="1"/>
  <c r="ES153" i="7"/>
  <c r="ES154" i="7" s="1"/>
  <c r="ET175" i="7"/>
  <c r="V12" i="3"/>
  <c r="EW73" i="7"/>
  <c r="P15" i="3"/>
  <c r="EW79" i="7"/>
  <c r="EV76" i="7"/>
  <c r="EV258" i="7" s="1"/>
  <c r="EV261" i="7" s="1"/>
  <c r="EV74" i="7"/>
  <c r="ER142" i="7"/>
  <c r="ER144" i="7" s="1"/>
  <c r="ER134" i="7"/>
  <c r="EX73" i="7"/>
  <c r="Q15" i="3"/>
  <c r="EX79" i="7"/>
  <c r="FE50" i="7"/>
  <c r="X10" i="3"/>
  <c r="FE49" i="7"/>
  <c r="FE137" i="7"/>
  <c r="AY40" i="3" s="1"/>
  <c r="FE36" i="7"/>
  <c r="FE57" i="7"/>
  <c r="FE58" i="7" s="1"/>
  <c r="FE90" i="7" s="1"/>
  <c r="FE67" i="7"/>
  <c r="ES156" i="7"/>
  <c r="ES158" i="7" s="1"/>
  <c r="EZ99" i="7"/>
  <c r="EZ105" i="7"/>
  <c r="S26" i="3" s="1"/>
  <c r="S13" i="3"/>
  <c r="M36" i="3"/>
  <c r="M38" i="3" s="1"/>
  <c r="ET124" i="7"/>
  <c r="U24" i="3"/>
  <c r="FB290" i="7"/>
  <c r="N16" i="3"/>
  <c r="EU271" i="7"/>
  <c r="EU272" i="7"/>
  <c r="AO23" i="3"/>
  <c r="EU263" i="7"/>
  <c r="AO29" i="3" s="1"/>
  <c r="EU273" i="7"/>
  <c r="AO34" i="3" s="1"/>
  <c r="ES132" i="7"/>
  <c r="ES207" i="7"/>
  <c r="ES208" i="7" s="1"/>
  <c r="ET201" i="7"/>
  <c r="EZ72" i="7"/>
  <c r="T8" i="3"/>
  <c r="AU72" i="3" s="1"/>
  <c r="FA35" i="7"/>
  <c r="FA21" i="7"/>
  <c r="FA91" i="7"/>
  <c r="FA37" i="7"/>
  <c r="FA93" i="7" s="1"/>
  <c r="FA95" i="7" s="1"/>
  <c r="FA96" i="7" s="1"/>
  <c r="ET213" i="7"/>
  <c r="ES218" i="7"/>
  <c r="ES242" i="7"/>
  <c r="EV257" i="7"/>
  <c r="EV260" i="7" s="1"/>
  <c r="EV296" i="7"/>
  <c r="O18" i="3"/>
  <c r="AV71" i="3"/>
  <c r="AV94" i="3" s="1"/>
  <c r="AV93" i="3"/>
  <c r="AV90" i="3"/>
  <c r="AV91" i="3"/>
  <c r="AV95" i="3"/>
  <c r="AV92" i="3"/>
  <c r="AV87" i="3"/>
  <c r="Q26" i="3"/>
  <c r="Q29" i="3" s="1"/>
  <c r="AR30" i="3" s="1"/>
  <c r="EX110" i="7"/>
  <c r="P26" i="3"/>
  <c r="P29" i="3" s="1"/>
  <c r="AQ30" i="3" s="1"/>
  <c r="EW110" i="7"/>
  <c r="EW128" i="7" s="1"/>
  <c r="FD37" i="7"/>
  <c r="FD93" i="7" s="1"/>
  <c r="FD95" i="7" s="1"/>
  <c r="FD91" i="7"/>
  <c r="W8" i="3"/>
  <c r="AX72" i="3" s="1"/>
  <c r="FD35" i="7"/>
  <c r="FC21" i="7"/>
  <c r="FC35" i="7"/>
  <c r="FC37" i="7"/>
  <c r="FC93" i="7" s="1"/>
  <c r="FC95" i="7" s="1"/>
  <c r="FC97" i="7" s="1"/>
  <c r="FD97" i="7" s="1"/>
  <c r="FC91" i="7"/>
  <c r="FC103" i="7"/>
  <c r="V8" i="3"/>
  <c r="AW72" i="3" s="1"/>
  <c r="E72" i="4"/>
  <c r="E77" i="4" s="1"/>
  <c r="ES262" i="7"/>
  <c r="S29" i="3" l="1"/>
  <c r="AT30" i="3" s="1"/>
  <c r="EZ110" i="7"/>
  <c r="EZ128" i="7" s="1"/>
  <c r="AU35" i="3"/>
  <c r="ES209" i="7"/>
  <c r="ES219" i="7" s="1"/>
  <c r="ES240" i="7"/>
  <c r="E81" i="4"/>
  <c r="E84" i="4"/>
  <c r="E88" i="4" s="1"/>
  <c r="EX296" i="7"/>
  <c r="Q18" i="3"/>
  <c r="EX257" i="7"/>
  <c r="EX260" i="7" s="1"/>
  <c r="ES155" i="7"/>
  <c r="ET156" i="7"/>
  <c r="ET158" i="7" s="1"/>
  <c r="FI48" i="7"/>
  <c r="FJ44" i="7"/>
  <c r="X12" i="3"/>
  <c r="EW257" i="7"/>
  <c r="EW260" i="7" s="1"/>
  <c r="P18" i="3"/>
  <c r="T24" i="3"/>
  <c r="FA290" i="7"/>
  <c r="AW71" i="3"/>
  <c r="AW94" i="3" s="1"/>
  <c r="AW87" i="3"/>
  <c r="AW91" i="3"/>
  <c r="AW95" i="3"/>
  <c r="AW92" i="3"/>
  <c r="AW90" i="3"/>
  <c r="AW93" i="3"/>
  <c r="M62" i="3"/>
  <c r="M68" i="3" s="1"/>
  <c r="M69" i="3" s="1"/>
  <c r="ET132" i="7"/>
  <c r="ET207" i="7"/>
  <c r="ET208" i="7" s="1"/>
  <c r="EU122" i="7"/>
  <c r="EX76" i="7"/>
  <c r="EX258" i="7" s="1"/>
  <c r="EX261" i="7" s="1"/>
  <c r="EX74" i="7"/>
  <c r="FC290" i="7"/>
  <c r="V24" i="3"/>
  <c r="M73" i="3"/>
  <c r="M75" i="3" s="1"/>
  <c r="EU213" i="7"/>
  <c r="ET218" i="7"/>
  <c r="ET242" i="7"/>
  <c r="ET298" i="7"/>
  <c r="ET299" i="7" s="1"/>
  <c r="ES142" i="7"/>
  <c r="ES144" i="7" s="1"/>
  <c r="ES145" i="7" s="1"/>
  <c r="ES134" i="7"/>
  <c r="FD103" i="7"/>
  <c r="EY73" i="7"/>
  <c r="EY79" i="7"/>
  <c r="R15" i="3"/>
  <c r="FF137" i="7"/>
  <c r="AZ40" i="3" s="1"/>
  <c r="FF67" i="7"/>
  <c r="FF49" i="7"/>
  <c r="Y10" i="3"/>
  <c r="FF57" i="7"/>
  <c r="FF58" i="7" s="1"/>
  <c r="FF90" i="7" s="1"/>
  <c r="FF50" i="7"/>
  <c r="FF36" i="7"/>
  <c r="T13" i="3"/>
  <c r="FA105" i="7"/>
  <c r="T26" i="3" s="1"/>
  <c r="FA99" i="7"/>
  <c r="FB99" i="7"/>
  <c r="FB105" i="7"/>
  <c r="U13" i="3"/>
  <c r="FB72" i="7"/>
  <c r="EX128" i="7"/>
  <c r="EV271" i="7"/>
  <c r="EV273" i="7"/>
  <c r="AP34" i="3" s="1"/>
  <c r="AP23" i="3"/>
  <c r="EV263" i="7"/>
  <c r="AP29" i="3" s="1"/>
  <c r="O16" i="3"/>
  <c r="EV272" i="7"/>
  <c r="T15" i="3"/>
  <c r="FA73" i="7"/>
  <c r="FA79" i="7"/>
  <c r="FD21" i="7"/>
  <c r="AX93" i="3"/>
  <c r="AX92" i="3"/>
  <c r="AX95" i="3"/>
  <c r="AX87" i="3"/>
  <c r="AX91" i="3"/>
  <c r="AX90" i="3"/>
  <c r="AX71" i="3"/>
  <c r="AX94" i="3" s="1"/>
  <c r="O19" i="3"/>
  <c r="EV262" i="7"/>
  <c r="EZ73" i="7"/>
  <c r="EZ79" i="7"/>
  <c r="S15" i="3"/>
  <c r="X8" i="3"/>
  <c r="AY72" i="3" s="1"/>
  <c r="FE103" i="7"/>
  <c r="FE35" i="7"/>
  <c r="FE21" i="7"/>
  <c r="FE37" i="7"/>
  <c r="FE93" i="7" s="1"/>
  <c r="FE95" i="7" s="1"/>
  <c r="FE97" i="7" s="1"/>
  <c r="FE91" i="7"/>
  <c r="EW74" i="7"/>
  <c r="EW76" i="7"/>
  <c r="EW258" i="7" s="1"/>
  <c r="EW261" i="7" s="1"/>
  <c r="AU71" i="3"/>
  <c r="AU94" i="3" s="1"/>
  <c r="AU90" i="3"/>
  <c r="AU91" i="3"/>
  <c r="AU93" i="3"/>
  <c r="AU87" i="3"/>
  <c r="AU95" i="3"/>
  <c r="AU92" i="3"/>
  <c r="ER135" i="7"/>
  <c r="ER236" i="7"/>
  <c r="ER241" i="7" s="1"/>
  <c r="ER138" i="7"/>
  <c r="ER238" i="7"/>
  <c r="ER237" i="7"/>
  <c r="FD68" i="7"/>
  <c r="FD70" i="7" s="1"/>
  <c r="FD96" i="7"/>
  <c r="AX35" i="3" s="1"/>
  <c r="FD98" i="7"/>
  <c r="FC98" i="7"/>
  <c r="FC68" i="7"/>
  <c r="FC70" i="7" s="1"/>
  <c r="ET179" i="7"/>
  <c r="ET189" i="7" s="1"/>
  <c r="EU152" i="7"/>
  <c r="EW152" i="7"/>
  <c r="ET153" i="7"/>
  <c r="ET154" i="7" s="1"/>
  <c r="FA152" i="7"/>
  <c r="M43" i="3"/>
  <c r="M47" i="3" s="1"/>
  <c r="M54" i="3" s="1"/>
  <c r="R26" i="3"/>
  <c r="R29" i="3" s="1"/>
  <c r="AS30" i="3" s="1"/>
  <c r="EY110" i="7"/>
  <c r="FH44" i="7"/>
  <c r="FG48" i="7"/>
  <c r="M70" i="3" l="1"/>
  <c r="FA110" i="7"/>
  <c r="EZ76" i="7"/>
  <c r="EZ258" i="7" s="1"/>
  <c r="EZ261" i="7" s="1"/>
  <c r="EZ74" i="7"/>
  <c r="FD99" i="7"/>
  <c r="W13" i="3"/>
  <c r="FD105" i="7"/>
  <c r="W26" i="3" s="1"/>
  <c r="FD72" i="7"/>
  <c r="FA294" i="7"/>
  <c r="ET300" i="7"/>
  <c r="EU294" i="7"/>
  <c r="FG137" i="7"/>
  <c r="BA40" i="3" s="1"/>
  <c r="FG36" i="7"/>
  <c r="FG67" i="7"/>
  <c r="Z10" i="3"/>
  <c r="FG50" i="7"/>
  <c r="FG49" i="7"/>
  <c r="FG57" i="7"/>
  <c r="FG58" i="7" s="1"/>
  <c r="FG90" i="7" s="1"/>
  <c r="Y8" i="3"/>
  <c r="AZ72" i="3" s="1"/>
  <c r="FF21" i="7"/>
  <c r="FF91" i="7"/>
  <c r="FF37" i="7"/>
  <c r="FF93" i="7" s="1"/>
  <c r="FF95" i="7" s="1"/>
  <c r="FF97" i="7" s="1"/>
  <c r="FF35" i="7"/>
  <c r="FF103" i="7"/>
  <c r="FG103" i="7" s="1"/>
  <c r="ET155" i="7"/>
  <c r="FH48" i="7"/>
  <c r="EY257" i="7"/>
  <c r="EY260" i="7" s="1"/>
  <c r="R18" i="3"/>
  <c r="EY296" i="7"/>
  <c r="EY128" i="7"/>
  <c r="AY93" i="3"/>
  <c r="AY87" i="3"/>
  <c r="AY91" i="3"/>
  <c r="AY90" i="3"/>
  <c r="AY95" i="3"/>
  <c r="AY71" i="3"/>
  <c r="AY94" i="3" s="1"/>
  <c r="AY92" i="3"/>
  <c r="AQ23" i="3"/>
  <c r="EW272" i="7"/>
  <c r="EW273" i="7"/>
  <c r="AQ34" i="3" s="1"/>
  <c r="EW263" i="7"/>
  <c r="AQ29" i="3" s="1"/>
  <c r="P16" i="3"/>
  <c r="FD290" i="7"/>
  <c r="W24" i="3"/>
  <c r="FE98" i="7"/>
  <c r="FE68" i="7"/>
  <c r="FE70" i="7" s="1"/>
  <c r="FB73" i="7"/>
  <c r="FB79" i="7"/>
  <c r="U15" i="3"/>
  <c r="FI57" i="7"/>
  <c r="FI58" i="7" s="1"/>
  <c r="FI90" i="7" s="1"/>
  <c r="FI49" i="7"/>
  <c r="FI50" i="7"/>
  <c r="FI67" i="7"/>
  <c r="FI137" i="7"/>
  <c r="FI36" i="7"/>
  <c r="U26" i="3"/>
  <c r="U29" i="3" s="1"/>
  <c r="AV30" i="3" s="1"/>
  <c r="FB110" i="7"/>
  <c r="EU218" i="7"/>
  <c r="EU298" i="7"/>
  <c r="EV213" i="7"/>
  <c r="N73" i="3"/>
  <c r="N75" i="3" s="1"/>
  <c r="EU242" i="7"/>
  <c r="FC99" i="7"/>
  <c r="FC105" i="7"/>
  <c r="V13" i="3"/>
  <c r="FC72" i="7"/>
  <c r="EW262" i="7"/>
  <c r="P19" i="3"/>
  <c r="FA76" i="7"/>
  <c r="FA258" i="7" s="1"/>
  <c r="FA261" i="7" s="1"/>
  <c r="AU23" i="3" s="1"/>
  <c r="FA74" i="7"/>
  <c r="T29" i="3"/>
  <c r="AU30" i="3" s="1"/>
  <c r="ES238" i="7"/>
  <c r="ES135" i="7"/>
  <c r="ES236" i="7"/>
  <c r="ES241" i="7" s="1"/>
  <c r="ES237" i="7"/>
  <c r="ES138" i="7"/>
  <c r="ET134" i="7"/>
  <c r="ET142" i="7"/>
  <c r="FK44" i="7"/>
  <c r="FK48" i="7" s="1"/>
  <c r="FL44" i="7"/>
  <c r="FJ48" i="7"/>
  <c r="ET209" i="7"/>
  <c r="ET219" i="7" s="1"/>
  <c r="ET240" i="7"/>
  <c r="AN44" i="3" s="1"/>
  <c r="FE290" i="7"/>
  <c r="X24" i="3"/>
  <c r="EX271" i="7"/>
  <c r="Q16" i="3"/>
  <c r="EX272" i="7"/>
  <c r="EX273" i="7"/>
  <c r="AR34" i="3" s="1"/>
  <c r="AR23" i="3"/>
  <c r="EX263" i="7"/>
  <c r="AR29" i="3" s="1"/>
  <c r="EY74" i="7"/>
  <c r="EY76" i="7"/>
  <c r="EY258" i="7" s="1"/>
  <c r="EY261" i="7" s="1"/>
  <c r="EU201" i="7"/>
  <c r="EU124" i="7"/>
  <c r="EU127" i="7" s="1"/>
  <c r="EU175" i="7" s="1"/>
  <c r="N36" i="3"/>
  <c r="N38" i="3" s="1"/>
  <c r="N40" i="3" s="1"/>
  <c r="FA257" i="7"/>
  <c r="FA260" i="7" s="1"/>
  <c r="T18" i="3"/>
  <c r="FA296" i="7"/>
  <c r="S18" i="3"/>
  <c r="EZ257" i="7"/>
  <c r="Y12" i="3"/>
  <c r="Q19" i="3"/>
  <c r="EX262" i="7"/>
  <c r="FA128" i="7" l="1"/>
  <c r="FD110" i="7"/>
  <c r="FD128" i="7" s="1"/>
  <c r="FA272" i="7"/>
  <c r="FA273" i="7"/>
  <c r="AU34" i="3" s="1"/>
  <c r="FA271" i="7"/>
  <c r="T16" i="3"/>
  <c r="H30" i="4"/>
  <c r="H34" i="4" s="1"/>
  <c r="H36" i="4" s="1"/>
  <c r="H38" i="4" s="1"/>
  <c r="D6" i="4" s="1"/>
  <c r="FA263" i="7"/>
  <c r="AU29" i="3" s="1"/>
  <c r="FB257" i="7"/>
  <c r="FB260" i="7" s="1"/>
  <c r="FB296" i="7"/>
  <c r="U18" i="3"/>
  <c r="EV218" i="7"/>
  <c r="EW213" i="7"/>
  <c r="EV298" i="7"/>
  <c r="O73" i="3"/>
  <c r="O75" i="3" s="1"/>
  <c r="EV242" i="7"/>
  <c r="FF68" i="7"/>
  <c r="FF70" i="7" s="1"/>
  <c r="FF98" i="7"/>
  <c r="FG97" i="7"/>
  <c r="X13" i="3"/>
  <c r="FE99" i="7"/>
  <c r="FE105" i="7"/>
  <c r="FE72" i="7"/>
  <c r="AA10" i="3"/>
  <c r="FH50" i="7"/>
  <c r="FH57" i="7"/>
  <c r="FH58" i="7" s="1"/>
  <c r="FH90" i="7" s="1"/>
  <c r="FH49" i="7"/>
  <c r="FH137" i="7"/>
  <c r="BB40" i="3" s="1"/>
  <c r="F70" i="4"/>
  <c r="FH36" i="7"/>
  <c r="FH67" i="7"/>
  <c r="FG21" i="7"/>
  <c r="Z8" i="3"/>
  <c r="BA72" i="3" s="1"/>
  <c r="FG35" i="7"/>
  <c r="FG37" i="7"/>
  <c r="FG93" i="7" s="1"/>
  <c r="FG95" i="7" s="1"/>
  <c r="FG91" i="7"/>
  <c r="ET135" i="7"/>
  <c r="ET237" i="7"/>
  <c r="AN39" i="3" s="1"/>
  <c r="AN38" i="3"/>
  <c r="ET236" i="7"/>
  <c r="ET241" i="7" s="1"/>
  <c r="ET238" i="7"/>
  <c r="C52" i="4"/>
  <c r="ET138" i="7"/>
  <c r="AN41" i="3" s="1"/>
  <c r="FB74" i="7"/>
  <c r="FB76" i="7"/>
  <c r="FB258" i="7" s="1"/>
  <c r="FB261" i="7" s="1"/>
  <c r="N43" i="3"/>
  <c r="N47" i="3" s="1"/>
  <c r="N54" i="3" s="1"/>
  <c r="N70" i="3" s="1"/>
  <c r="EV152" i="7"/>
  <c r="EU153" i="7"/>
  <c r="EU154" i="7" s="1"/>
  <c r="EU156" i="7" s="1"/>
  <c r="EU158" i="7" s="1"/>
  <c r="EU179" i="7"/>
  <c r="EU189" i="7" s="1"/>
  <c r="FJ50" i="7"/>
  <c r="FJ36" i="7"/>
  <c r="FJ67" i="7"/>
  <c r="FJ49" i="7"/>
  <c r="FJ137" i="7"/>
  <c r="FJ57" i="7"/>
  <c r="FJ58" i="7" s="1"/>
  <c r="FJ90" i="7" s="1"/>
  <c r="Z12" i="3"/>
  <c r="FM44" i="7"/>
  <c r="FL48" i="7"/>
  <c r="FB128" i="7"/>
  <c r="FK57" i="7"/>
  <c r="FK58" i="7" s="1"/>
  <c r="FK90" i="7" s="1"/>
  <c r="FK50" i="7"/>
  <c r="FK36" i="7"/>
  <c r="FK67" i="7"/>
  <c r="FK137" i="7"/>
  <c r="FK49" i="7"/>
  <c r="V26" i="3"/>
  <c r="V29" i="3" s="1"/>
  <c r="AW30" i="3" s="1"/>
  <c r="FC110" i="7"/>
  <c r="AZ95" i="3"/>
  <c r="AZ91" i="3"/>
  <c r="AZ71" i="3"/>
  <c r="AZ94" i="3" s="1"/>
  <c r="AZ92" i="3"/>
  <c r="AZ90" i="3"/>
  <c r="AZ87" i="3"/>
  <c r="AZ93" i="3"/>
  <c r="EZ260" i="7"/>
  <c r="T19" i="3"/>
  <c r="FA262" i="7"/>
  <c r="Z24" i="3"/>
  <c r="FG290" i="7"/>
  <c r="FI35" i="7"/>
  <c r="FI21" i="7"/>
  <c r="FI37" i="7"/>
  <c r="FI93" i="7" s="1"/>
  <c r="FI95" i="7" s="1"/>
  <c r="FI97" i="7" s="1"/>
  <c r="FI91" i="7"/>
  <c r="FI103" i="7"/>
  <c r="Y24" i="3"/>
  <c r="FF290" i="7"/>
  <c r="FD79" i="7"/>
  <c r="FD73" i="7"/>
  <c r="W15" i="3"/>
  <c r="EU132" i="7"/>
  <c r="EU207" i="7"/>
  <c r="EU208" i="7" s="1"/>
  <c r="N62" i="3"/>
  <c r="N68" i="3" s="1"/>
  <c r="N69" i="3" s="1"/>
  <c r="EV122" i="7"/>
  <c r="W29" i="3"/>
  <c r="AX30" i="3" s="1"/>
  <c r="R16" i="3"/>
  <c r="AS23" i="3"/>
  <c r="EY271" i="7"/>
  <c r="EY263" i="7"/>
  <c r="AS29" i="3" s="1"/>
  <c r="EY272" i="7"/>
  <c r="EY273" i="7"/>
  <c r="AS34" i="3" s="1"/>
  <c r="FC73" i="7"/>
  <c r="V15" i="3"/>
  <c r="FC79" i="7"/>
  <c r="EY262" i="7"/>
  <c r="R19" i="3"/>
  <c r="EU146" i="7"/>
  <c r="FA141" i="7"/>
  <c r="ET144" i="7"/>
  <c r="ET145" i="7" s="1"/>
  <c r="FH103" i="7"/>
  <c r="EU299" i="7"/>
  <c r="EZ272" i="7"/>
  <c r="AT23" i="3"/>
  <c r="EZ273" i="7"/>
  <c r="AT34" i="3" s="1"/>
  <c r="S16" i="3"/>
  <c r="EZ263" i="7"/>
  <c r="AT29" i="3" s="1"/>
  <c r="S19" i="3" l="1"/>
  <c r="EZ262" i="7"/>
  <c r="O36" i="3"/>
  <c r="O38" i="3" s="1"/>
  <c r="O40" i="3" s="1"/>
  <c r="EW122" i="7"/>
  <c r="EV124" i="7"/>
  <c r="EV127" i="7" s="1"/>
  <c r="EV175" i="7" s="1"/>
  <c r="FN44" i="7"/>
  <c r="FP44" i="7"/>
  <c r="FM48" i="7"/>
  <c r="FI98" i="7"/>
  <c r="FI68" i="7"/>
  <c r="FI70" i="7" s="1"/>
  <c r="AA12" i="3"/>
  <c r="FF105" i="7"/>
  <c r="Y13" i="3"/>
  <c r="FF99" i="7"/>
  <c r="FF72" i="7"/>
  <c r="AA24" i="3"/>
  <c r="FH290" i="7"/>
  <c r="FH91" i="7"/>
  <c r="AA8" i="3"/>
  <c r="BB72" i="3" s="1"/>
  <c r="FH37" i="7"/>
  <c r="FH93" i="7" s="1"/>
  <c r="FH95" i="7" s="1"/>
  <c r="FH35" i="7"/>
  <c r="FH21" i="7"/>
  <c r="R6" i="4"/>
  <c r="C15" i="4"/>
  <c r="E15" i="4" s="1"/>
  <c r="BB18" i="3"/>
  <c r="A24" i="4"/>
  <c r="U6" i="4"/>
  <c r="FC74" i="7"/>
  <c r="FC76" i="7"/>
  <c r="FC258" i="7" s="1"/>
  <c r="FC261" i="7" s="1"/>
  <c r="FD74" i="7"/>
  <c r="FD76" i="7"/>
  <c r="FD258" i="7" s="1"/>
  <c r="FD261" i="7" s="1"/>
  <c r="EV294" i="7"/>
  <c r="EV299" i="7" s="1"/>
  <c r="EU300" i="7"/>
  <c r="EV201" i="7"/>
  <c r="AV23" i="3"/>
  <c r="FB263" i="7"/>
  <c r="AV29" i="3" s="1"/>
  <c r="FB273" i="7"/>
  <c r="AV34" i="3" s="1"/>
  <c r="FB272" i="7"/>
  <c r="U16" i="3"/>
  <c r="FB271" i="7"/>
  <c r="FB262" i="7"/>
  <c r="U19" i="3"/>
  <c r="EU134" i="7"/>
  <c r="EU142" i="7"/>
  <c r="FB141" i="7"/>
  <c r="FD141" i="7"/>
  <c r="FI290" i="7"/>
  <c r="FK37" i="7"/>
  <c r="FK93" i="7" s="1"/>
  <c r="FK95" i="7" s="1"/>
  <c r="FK35" i="7"/>
  <c r="FK91" i="7"/>
  <c r="EU209" i="7"/>
  <c r="EU219" i="7" s="1"/>
  <c r="EU240" i="7"/>
  <c r="AO44" i="3" s="1"/>
  <c r="C96" i="4"/>
  <c r="F6" i="4" s="1"/>
  <c r="C53" i="4"/>
  <c r="C109" i="4"/>
  <c r="F72" i="4"/>
  <c r="F77" i="4" s="1"/>
  <c r="X26" i="3"/>
  <c r="X29" i="3" s="1"/>
  <c r="AY30" i="3" s="1"/>
  <c r="FE110" i="7"/>
  <c r="FC128" i="7"/>
  <c r="W18" i="3"/>
  <c r="FD257" i="7"/>
  <c r="FD260" i="7" s="1"/>
  <c r="FG96" i="7"/>
  <c r="BA35" i="3" s="1"/>
  <c r="FG98" i="7"/>
  <c r="FG68" i="7"/>
  <c r="FG70" i="7" s="1"/>
  <c r="FH97" i="7"/>
  <c r="FL67" i="7"/>
  <c r="FL57" i="7"/>
  <c r="FL58" i="7" s="1"/>
  <c r="FL90" i="7" s="1"/>
  <c r="FL50" i="7"/>
  <c r="FL137" i="7"/>
  <c r="FL49" i="7"/>
  <c r="FL36" i="7"/>
  <c r="FJ21" i="7"/>
  <c r="FJ103" i="7"/>
  <c r="FJ290" i="7" s="1"/>
  <c r="FJ37" i="7"/>
  <c r="FJ93" i="7" s="1"/>
  <c r="FJ95" i="7" s="1"/>
  <c r="FJ97" i="7" s="1"/>
  <c r="FK97" i="7" s="1"/>
  <c r="FJ91" i="7"/>
  <c r="FJ35" i="7"/>
  <c r="X15" i="3"/>
  <c r="FE73" i="7"/>
  <c r="FE79" i="7"/>
  <c r="FC296" i="7"/>
  <c r="FC257" i="7"/>
  <c r="FC260" i="7" s="1"/>
  <c r="V18" i="3"/>
  <c r="EU148" i="7"/>
  <c r="BA91" i="3"/>
  <c r="BA92" i="3"/>
  <c r="BA93" i="3"/>
  <c r="BA71" i="3"/>
  <c r="BA94" i="3" s="1"/>
  <c r="BA87" i="3"/>
  <c r="BA95" i="3"/>
  <c r="BA90" i="3"/>
  <c r="EX213" i="7"/>
  <c r="EW218" i="7"/>
  <c r="P73" i="3"/>
  <c r="P75" i="3" s="1"/>
  <c r="EW242" i="7"/>
  <c r="I6" i="4" l="1"/>
  <c r="O6" i="4"/>
  <c r="L6" i="4"/>
  <c r="FK98" i="7"/>
  <c r="FK68" i="7"/>
  <c r="FK70" i="7" s="1"/>
  <c r="FK96" i="7"/>
  <c r="EW175" i="7"/>
  <c r="EV153" i="7"/>
  <c r="EV154" i="7" s="1"/>
  <c r="EV156" i="7" s="1"/>
  <c r="EV158" i="7" s="1"/>
  <c r="EV179" i="7"/>
  <c r="EV189" i="7" s="1"/>
  <c r="O43" i="3"/>
  <c r="O47" i="3" s="1"/>
  <c r="O54" i="3" s="1"/>
  <c r="EW124" i="7"/>
  <c r="EW127" i="7" s="1"/>
  <c r="P36" i="3"/>
  <c r="P38" i="3" s="1"/>
  <c r="P40" i="3" s="1"/>
  <c r="FO44" i="7"/>
  <c r="FN48" i="7"/>
  <c r="FD263" i="7"/>
  <c r="AX29" i="3" s="1"/>
  <c r="W16" i="3"/>
  <c r="FD272" i="7"/>
  <c r="FD273" i="7"/>
  <c r="AX34" i="3" s="1"/>
  <c r="AX23" i="3"/>
  <c r="V19" i="3"/>
  <c r="FC262" i="7"/>
  <c r="EW201" i="7"/>
  <c r="EV207" i="7"/>
  <c r="EV208" i="7" s="1"/>
  <c r="EV132" i="7"/>
  <c r="O62" i="3"/>
  <c r="O68" i="3" s="1"/>
  <c r="O69" i="3" s="1"/>
  <c r="BB90" i="3"/>
  <c r="BB95" i="3"/>
  <c r="BB91" i="3"/>
  <c r="BB92" i="3"/>
  <c r="BB93" i="3"/>
  <c r="BB87" i="3"/>
  <c r="BB71" i="3"/>
  <c r="BE72" i="3"/>
  <c r="FF73" i="7"/>
  <c r="Y15" i="3"/>
  <c r="FF79" i="7"/>
  <c r="FI105" i="7"/>
  <c r="FI110" i="7" s="1"/>
  <c r="FI99" i="7"/>
  <c r="FI72" i="7"/>
  <c r="V16" i="3"/>
  <c r="FC272" i="7"/>
  <c r="FC273" i="7"/>
  <c r="AW34" i="3" s="1"/>
  <c r="AW23" i="3"/>
  <c r="FC271" i="7"/>
  <c r="FC263" i="7"/>
  <c r="AW29" i="3" s="1"/>
  <c r="F84" i="4"/>
  <c r="F88" i="4" s="1"/>
  <c r="F81" i="4"/>
  <c r="EV141" i="7"/>
  <c r="EU144" i="7"/>
  <c r="EV146" i="7"/>
  <c r="FJ98" i="7"/>
  <c r="FJ68" i="7"/>
  <c r="FJ70" i="7" s="1"/>
  <c r="EX218" i="7"/>
  <c r="EY213" i="7"/>
  <c r="EX298" i="7"/>
  <c r="Q73" i="3"/>
  <c r="Q75" i="3" s="1"/>
  <c r="EX242" i="7"/>
  <c r="FK21" i="7"/>
  <c r="AT25" i="3"/>
  <c r="C271" i="3"/>
  <c r="AX24" i="3"/>
  <c r="AF25" i="3"/>
  <c r="AH24" i="3"/>
  <c r="BA24" i="3"/>
  <c r="AS24" i="3"/>
  <c r="AK24" i="3"/>
  <c r="C225" i="3"/>
  <c r="AH25" i="3"/>
  <c r="AG24" i="3"/>
  <c r="AK25" i="3"/>
  <c r="BB24" i="3"/>
  <c r="AT24" i="3"/>
  <c r="AP24" i="3"/>
  <c r="AM25" i="3"/>
  <c r="AE24" i="3"/>
  <c r="AW24" i="3"/>
  <c r="AZ25" i="3"/>
  <c r="AY24" i="3"/>
  <c r="C179" i="3"/>
  <c r="AV25" i="3"/>
  <c r="C246" i="3"/>
  <c r="AS25" i="3"/>
  <c r="C223" i="3"/>
  <c r="C253" i="3"/>
  <c r="AY25" i="3"/>
  <c r="AI24" i="3"/>
  <c r="C227" i="3"/>
  <c r="AJ24" i="3"/>
  <c r="BB25" i="3"/>
  <c r="AQ24" i="3"/>
  <c r="C269" i="3"/>
  <c r="AD24" i="3"/>
  <c r="AQ25" i="3"/>
  <c r="AZ24" i="3"/>
  <c r="AU25" i="3"/>
  <c r="AE25" i="3"/>
  <c r="AJ25" i="3"/>
  <c r="AW25" i="3"/>
  <c r="AG25" i="3"/>
  <c r="AI25" i="3"/>
  <c r="C248" i="3"/>
  <c r="AU24" i="3"/>
  <c r="AP25" i="3"/>
  <c r="AR25" i="3"/>
  <c r="AO25" i="3"/>
  <c r="AD25" i="3"/>
  <c r="AF24" i="3"/>
  <c r="BA25" i="3"/>
  <c r="AL25" i="3"/>
  <c r="C273" i="3"/>
  <c r="AX25" i="3"/>
  <c r="AV24" i="3"/>
  <c r="AM24" i="3"/>
  <c r="C272" i="3"/>
  <c r="C222" i="3"/>
  <c r="C250" i="3"/>
  <c r="AL24" i="3"/>
  <c r="AO24" i="3"/>
  <c r="AR24" i="3"/>
  <c r="AN24" i="3"/>
  <c r="AN25" i="3"/>
  <c r="FK103" i="7"/>
  <c r="FE76" i="7"/>
  <c r="FE258" i="7" s="1"/>
  <c r="FE261" i="7" s="1"/>
  <c r="FE74" i="7"/>
  <c r="FG105" i="7"/>
  <c r="FG99" i="7"/>
  <c r="Z13" i="3"/>
  <c r="FG72" i="7"/>
  <c r="D96" i="4"/>
  <c r="C98" i="4"/>
  <c r="D98" i="4" s="1"/>
  <c r="EV300" i="7"/>
  <c r="EX294" i="7"/>
  <c r="FM57" i="7"/>
  <c r="FM58" i="7" s="1"/>
  <c r="FM90" i="7" s="1"/>
  <c r="FM36" i="7"/>
  <c r="FM137" i="7"/>
  <c r="FM67" i="7"/>
  <c r="FM49" i="7"/>
  <c r="FM50" i="7"/>
  <c r="EU135" i="7"/>
  <c r="AO38" i="3"/>
  <c r="EU237" i="7"/>
  <c r="AO39" i="3" s="1"/>
  <c r="EU236" i="7"/>
  <c r="EU241" i="7" s="1"/>
  <c r="EU238" i="7"/>
  <c r="EU138" i="7"/>
  <c r="AO41" i="3" s="1"/>
  <c r="FD262" i="7"/>
  <c r="W19" i="3"/>
  <c r="D109" i="4"/>
  <c r="C111" i="4"/>
  <c r="D111" i="4" s="1"/>
  <c r="FE257" i="7"/>
  <c r="FE260" i="7" s="1"/>
  <c r="X18" i="3"/>
  <c r="FE296" i="7"/>
  <c r="FH96" i="7"/>
  <c r="FH68" i="7"/>
  <c r="FH70" i="7" s="1"/>
  <c r="FH98" i="7"/>
  <c r="FL21" i="7"/>
  <c r="FL35" i="7"/>
  <c r="FL37" i="7"/>
  <c r="FL93" i="7" s="1"/>
  <c r="FL95" i="7" s="1"/>
  <c r="FL97" i="7" s="1"/>
  <c r="FL103" i="7"/>
  <c r="FL91" i="7"/>
  <c r="FE128" i="7"/>
  <c r="Y26" i="3"/>
  <c r="Y29" i="3" s="1"/>
  <c r="AZ30" i="3" s="1"/>
  <c r="FF110" i="7"/>
  <c r="FP48" i="7"/>
  <c r="FQ44" i="7"/>
  <c r="EX299" i="7" l="1"/>
  <c r="EY294" i="7" s="1"/>
  <c r="O70" i="3"/>
  <c r="FK290" i="7"/>
  <c r="EY298" i="7"/>
  <c r="R73" i="3"/>
  <c r="R75" i="3" s="1"/>
  <c r="EZ213" i="7"/>
  <c r="EY218" i="7"/>
  <c r="EY242" i="7"/>
  <c r="EV148" i="7"/>
  <c r="EW146" i="7"/>
  <c r="EW148" i="7" s="1"/>
  <c r="FI128" i="7"/>
  <c r="EW132" i="7"/>
  <c r="P62" i="3"/>
  <c r="P68" i="3" s="1"/>
  <c r="P69" i="3" s="1"/>
  <c r="EW207" i="7"/>
  <c r="EW208" i="7" s="1"/>
  <c r="EX122" i="7"/>
  <c r="FS44" i="7"/>
  <c r="FR44" i="7"/>
  <c r="FR48" i="7" s="1"/>
  <c r="FQ48" i="7"/>
  <c r="FG73" i="7"/>
  <c r="Z15" i="3"/>
  <c r="FG79" i="7"/>
  <c r="C238" i="3"/>
  <c r="FF296" i="7"/>
  <c r="FF257" i="7"/>
  <c r="FF260" i="7" s="1"/>
  <c r="Y18" i="3"/>
  <c r="EV209" i="7"/>
  <c r="EV219" i="7" s="1"/>
  <c r="EV240" i="7"/>
  <c r="AP44" i="3" s="1"/>
  <c r="FL98" i="7"/>
  <c r="FL68" i="7"/>
  <c r="FL70" i="7" s="1"/>
  <c r="FJ105" i="7"/>
  <c r="FJ110" i="7" s="1"/>
  <c r="FJ99" i="7"/>
  <c r="FJ72" i="7"/>
  <c r="EW156" i="7"/>
  <c r="EW158" i="7" s="1"/>
  <c r="FP57" i="7"/>
  <c r="FP58" i="7" s="1"/>
  <c r="FP90" i="7" s="1"/>
  <c r="FP50" i="7"/>
  <c r="FP49" i="7"/>
  <c r="FP137" i="7"/>
  <c r="FP67" i="7"/>
  <c r="FP36" i="7"/>
  <c r="FL290" i="7"/>
  <c r="FF128" i="7"/>
  <c r="FE262" i="7"/>
  <c r="X19" i="3"/>
  <c r="EX152" i="7"/>
  <c r="EZ152" i="7"/>
  <c r="EW153" i="7"/>
  <c r="EW154" i="7" s="1"/>
  <c r="P43" i="3"/>
  <c r="P47" i="3" s="1"/>
  <c r="P54" i="3" s="1"/>
  <c r="EW179" i="7"/>
  <c r="EW189" i="7" s="1"/>
  <c r="BB35" i="3"/>
  <c r="C239" i="3"/>
  <c r="FM35" i="7"/>
  <c r="FM103" i="7"/>
  <c r="FM290" i="7" s="1"/>
  <c r="FM91" i="7"/>
  <c r="FM37" i="7"/>
  <c r="FM93" i="7" s="1"/>
  <c r="FM95" i="7" s="1"/>
  <c r="FM97" i="7" s="1"/>
  <c r="FN97" i="7" s="1"/>
  <c r="FM21" i="7"/>
  <c r="FN36" i="7"/>
  <c r="FN57" i="7"/>
  <c r="FN58" i="7" s="1"/>
  <c r="FN90" i="7" s="1"/>
  <c r="FN67" i="7"/>
  <c r="FN50" i="7"/>
  <c r="FN137" i="7"/>
  <c r="FN49" i="7"/>
  <c r="FF74" i="7"/>
  <c r="FF76" i="7"/>
  <c r="FF258" i="7" s="1"/>
  <c r="FF261" i="7" s="1"/>
  <c r="Z26" i="3"/>
  <c r="Z29" i="3" s="1"/>
  <c r="BA30" i="3" s="1"/>
  <c r="FG110" i="7"/>
  <c r="FG128" i="7" s="1"/>
  <c r="EX300" i="7"/>
  <c r="FI79" i="7"/>
  <c r="FI73" i="7"/>
  <c r="BB94" i="3"/>
  <c r="BE71" i="3"/>
  <c r="EV134" i="7"/>
  <c r="EV142" i="7"/>
  <c r="EV144" i="7" s="1"/>
  <c r="FO48" i="7"/>
  <c r="FK99" i="7"/>
  <c r="FK105" i="7"/>
  <c r="FK110" i="7" s="1"/>
  <c r="FK128" i="7" s="1"/>
  <c r="FK72" i="7"/>
  <c r="FH99" i="7"/>
  <c r="FH105" i="7"/>
  <c r="AA13" i="3"/>
  <c r="FH72" i="7"/>
  <c r="AY23" i="3"/>
  <c r="FE271" i="7"/>
  <c r="X16" i="3"/>
  <c r="FE272" i="7"/>
  <c r="FE263" i="7"/>
  <c r="AY29" i="3" s="1"/>
  <c r="FE273" i="7"/>
  <c r="AY34" i="3" s="1"/>
  <c r="EQ21" i="7"/>
  <c r="ES21" i="7"/>
  <c r="EQ35" i="7"/>
  <c r="EQ91" i="7"/>
  <c r="EQ103" i="7"/>
  <c r="ES103" i="7"/>
  <c r="ET103" i="7" s="1"/>
  <c r="M24" i="3" s="1"/>
  <c r="EQ138" i="7"/>
  <c r="EY299" i="7" l="1"/>
  <c r="P70" i="3"/>
  <c r="FL99" i="7"/>
  <c r="FL105" i="7"/>
  <c r="FL110" i="7" s="1"/>
  <c r="FL128" i="7" s="1"/>
  <c r="FL72" i="7"/>
  <c r="FG257" i="7"/>
  <c r="Z18" i="3"/>
  <c r="FF273" i="7"/>
  <c r="AZ34" i="3" s="1"/>
  <c r="FF271" i="7"/>
  <c r="FF263" i="7"/>
  <c r="AZ29" i="3" s="1"/>
  <c r="AZ23" i="3"/>
  <c r="FF272" i="7"/>
  <c r="Y16" i="3"/>
  <c r="EW155" i="7"/>
  <c r="FH79" i="7"/>
  <c r="FH73" i="7"/>
  <c r="AA15" i="3"/>
  <c r="FI257" i="7"/>
  <c r="FI260" i="7" s="1"/>
  <c r="FI262" i="7" s="1"/>
  <c r="FI296" i="7"/>
  <c r="FJ73" i="7"/>
  <c r="FJ79" i="7"/>
  <c r="EW134" i="7"/>
  <c r="EW142" i="7"/>
  <c r="FN91" i="7"/>
  <c r="FN37" i="7"/>
  <c r="FN93" i="7" s="1"/>
  <c r="FN95" i="7" s="1"/>
  <c r="FN96" i="7" s="1"/>
  <c r="FN35" i="7"/>
  <c r="FP35" i="7"/>
  <c r="FP21" i="7"/>
  <c r="FP37" i="7"/>
  <c r="FP93" i="7" s="1"/>
  <c r="FP95" i="7" s="1"/>
  <c r="FP97" i="7" s="1"/>
  <c r="FP91" i="7"/>
  <c r="FP103" i="7"/>
  <c r="FN21" i="7"/>
  <c r="FF262" i="7"/>
  <c r="Y19" i="3"/>
  <c r="FR50" i="7"/>
  <c r="FR67" i="7"/>
  <c r="FR137" i="7"/>
  <c r="FR36" i="7"/>
  <c r="FR49" i="7"/>
  <c r="FR57" i="7"/>
  <c r="FR58" i="7" s="1"/>
  <c r="FR90" i="7" s="1"/>
  <c r="EX124" i="7"/>
  <c r="EX127" i="7" s="1"/>
  <c r="EX175" i="7" s="1"/>
  <c r="Q36" i="3"/>
  <c r="Q38" i="3" s="1"/>
  <c r="Q40" i="3" s="1"/>
  <c r="FK79" i="7"/>
  <c r="FK257" i="7" s="1"/>
  <c r="FK260" i="7" s="1"/>
  <c r="FK262" i="7" s="1"/>
  <c r="FK73" i="7"/>
  <c r="FN68" i="7"/>
  <c r="FN70" i="7" s="1"/>
  <c r="FN98" i="7"/>
  <c r="FO97" i="7"/>
  <c r="EX201" i="7"/>
  <c r="FI76" i="7"/>
  <c r="FI258" i="7" s="1"/>
  <c r="FI261" i="7" s="1"/>
  <c r="FI74" i="7"/>
  <c r="FN103" i="7"/>
  <c r="EZ218" i="7"/>
  <c r="S73" i="3"/>
  <c r="S75" i="3" s="1"/>
  <c r="FA213" i="7"/>
  <c r="EZ242" i="7"/>
  <c r="FO50" i="7"/>
  <c r="G70" i="4"/>
  <c r="FO57" i="7"/>
  <c r="FO36" i="7"/>
  <c r="FO49" i="7"/>
  <c r="FO137" i="7"/>
  <c r="FO67" i="7"/>
  <c r="FG76" i="7"/>
  <c r="FG258" i="7" s="1"/>
  <c r="FG261" i="7" s="1"/>
  <c r="FG74" i="7"/>
  <c r="EY300" i="7"/>
  <c r="FQ50" i="7"/>
  <c r="FQ57" i="7"/>
  <c r="FQ58" i="7" s="1"/>
  <c r="FQ90" i="7" s="1"/>
  <c r="FQ137" i="7"/>
  <c r="FQ36" i="7"/>
  <c r="FQ49" i="7"/>
  <c r="FQ67" i="7"/>
  <c r="AA26" i="3"/>
  <c r="AA29" i="3" s="1"/>
  <c r="BB30" i="3" s="1"/>
  <c r="FH110" i="7"/>
  <c r="FH128" i="7" s="1"/>
  <c r="EV236" i="7"/>
  <c r="EV241" i="7" s="1"/>
  <c r="EV238" i="7"/>
  <c r="EV135" i="7"/>
  <c r="EV237" i="7"/>
  <c r="AP39" i="3" s="1"/>
  <c r="AP38" i="3"/>
  <c r="EV138" i="7"/>
  <c r="AP41" i="3" s="1"/>
  <c r="FM98" i="7"/>
  <c r="FM68" i="7"/>
  <c r="FM70" i="7" s="1"/>
  <c r="EW209" i="7"/>
  <c r="EW219" i="7" s="1"/>
  <c r="EW240" i="7"/>
  <c r="AQ44" i="3" s="1"/>
  <c r="FJ128" i="7"/>
  <c r="FT44" i="7"/>
  <c r="FS48" i="7"/>
  <c r="ES290" i="7"/>
  <c r="ET290" i="7"/>
  <c r="EQ109" i="7"/>
  <c r="ES109" i="7" s="1"/>
  <c r="ET109" i="7" s="1"/>
  <c r="EQ290" i="7"/>
  <c r="FJ296" i="7" l="1"/>
  <c r="FJ257" i="7"/>
  <c r="FJ260" i="7" s="1"/>
  <c r="FJ262" i="7" s="1"/>
  <c r="FJ74" i="7"/>
  <c r="FJ76" i="7"/>
  <c r="FJ258" i="7" s="1"/>
  <c r="FJ261" i="7" s="1"/>
  <c r="FI272" i="7"/>
  <c r="FI263" i="7"/>
  <c r="FI273" i="7"/>
  <c r="FI271" i="7"/>
  <c r="EX207" i="7"/>
  <c r="EX208" i="7" s="1"/>
  <c r="Q62" i="3"/>
  <c r="Q68" i="3" s="1"/>
  <c r="Q69" i="3" s="1"/>
  <c r="EX132" i="7"/>
  <c r="EY122" i="7"/>
  <c r="FL79" i="7"/>
  <c r="FL73" i="7"/>
  <c r="FH296" i="7"/>
  <c r="AA18" i="3"/>
  <c r="FH257" i="7"/>
  <c r="FH260" i="7" s="1"/>
  <c r="FN290" i="7"/>
  <c r="FO103" i="7"/>
  <c r="FO290" i="7" s="1"/>
  <c r="FS137" i="7"/>
  <c r="FS67" i="7"/>
  <c r="FS36" i="7"/>
  <c r="FS50" i="7"/>
  <c r="FS57" i="7"/>
  <c r="FS58" i="7" s="1"/>
  <c r="FS90" i="7" s="1"/>
  <c r="FS49" i="7"/>
  <c r="G72" i="4"/>
  <c r="G77" i="4" s="1"/>
  <c r="FU44" i="7"/>
  <c r="FT48" i="7"/>
  <c r="FP290" i="7"/>
  <c r="FQ37" i="7"/>
  <c r="FQ93" i="7" s="1"/>
  <c r="FQ95" i="7" s="1"/>
  <c r="FQ97" i="7" s="1"/>
  <c r="FQ91" i="7"/>
  <c r="FQ103" i="7"/>
  <c r="FQ290" i="7" s="1"/>
  <c r="FQ21" i="7"/>
  <c r="FQ35" i="7"/>
  <c r="FP68" i="7"/>
  <c r="FP70" i="7" s="1"/>
  <c r="FP98" i="7"/>
  <c r="FB213" i="7"/>
  <c r="FA298" i="7"/>
  <c r="FA299" i="7" s="1"/>
  <c r="FA218" i="7"/>
  <c r="T73" i="3"/>
  <c r="T75" i="3" s="1"/>
  <c r="FA242" i="7"/>
  <c r="FO68" i="7"/>
  <c r="FO70" i="7" s="1"/>
  <c r="FO72" i="7" s="1"/>
  <c r="FO98" i="7"/>
  <c r="EX153" i="7"/>
  <c r="EX154" i="7" s="1"/>
  <c r="EX156" i="7" s="1"/>
  <c r="EX158" i="7" s="1"/>
  <c r="EY152" i="7"/>
  <c r="EX179" i="7"/>
  <c r="EX189" i="7" s="1"/>
  <c r="Q43" i="3"/>
  <c r="Q47" i="3" s="1"/>
  <c r="Q54" i="3" s="1"/>
  <c r="EW135" i="7"/>
  <c r="EW236" i="7"/>
  <c r="EW241" i="7" s="1"/>
  <c r="EW238" i="7"/>
  <c r="EW237" i="7"/>
  <c r="AQ39" i="3" s="1"/>
  <c r="AQ38" i="3"/>
  <c r="EW138" i="7"/>
  <c r="AQ41" i="3" s="1"/>
  <c r="FM99" i="7"/>
  <c r="FM105" i="7"/>
  <c r="FM110" i="7" s="1"/>
  <c r="FM72" i="7"/>
  <c r="FO37" i="7"/>
  <c r="FO93" i="7" s="1"/>
  <c r="FO95" i="7" s="1"/>
  <c r="FO96" i="7" s="1"/>
  <c r="FO91" i="7"/>
  <c r="FO35" i="7"/>
  <c r="FO21" i="7"/>
  <c r="FN105" i="7"/>
  <c r="FN110" i="7" s="1"/>
  <c r="FN128" i="7" s="1"/>
  <c r="FN99" i="7"/>
  <c r="FO58" i="7"/>
  <c r="FO90" i="7" s="1"/>
  <c r="FR91" i="7"/>
  <c r="FR37" i="7"/>
  <c r="FR93" i="7" s="1"/>
  <c r="FR95" i="7" s="1"/>
  <c r="FR35" i="7"/>
  <c r="FG263" i="7"/>
  <c r="BA29" i="3" s="1"/>
  <c r="FG272" i="7"/>
  <c r="Z16" i="3"/>
  <c r="BA23" i="3"/>
  <c r="FG273" i="7"/>
  <c r="BA34" i="3" s="1"/>
  <c r="FK76" i="7"/>
  <c r="FK258" i="7" s="1"/>
  <c r="FK261" i="7" s="1"/>
  <c r="FK74" i="7"/>
  <c r="EX141" i="7"/>
  <c r="EZ141" i="7"/>
  <c r="EW144" i="7"/>
  <c r="EW145" i="7" s="1"/>
  <c r="EX146" i="7"/>
  <c r="FN72" i="7"/>
  <c r="FH74" i="7"/>
  <c r="FH76" i="7"/>
  <c r="FH258" i="7" s="1"/>
  <c r="FH261" i="7" s="1"/>
  <c r="M27" i="3"/>
  <c r="M29" i="3" s="1"/>
  <c r="D76" i="4"/>
  <c r="ET110" i="7"/>
  <c r="ES110" i="7"/>
  <c r="FR103" i="7" l="1"/>
  <c r="FB218" i="7"/>
  <c r="U73" i="3"/>
  <c r="U75" i="3" s="1"/>
  <c r="FC213" i="7"/>
  <c r="FB298" i="7"/>
  <c r="FB242" i="7"/>
  <c r="G81" i="4"/>
  <c r="G84" i="4"/>
  <c r="G88" i="4" s="1"/>
  <c r="FQ98" i="7"/>
  <c r="FQ68" i="7"/>
  <c r="FQ70" i="7" s="1"/>
  <c r="FR97" i="7"/>
  <c r="EZ122" i="7"/>
  <c r="EY124" i="7"/>
  <c r="EY127" i="7" s="1"/>
  <c r="EY175" i="7" s="1"/>
  <c r="R36" i="3"/>
  <c r="R38" i="3" s="1"/>
  <c r="R40" i="3" s="1"/>
  <c r="FH263" i="7"/>
  <c r="BB29" i="3" s="1"/>
  <c r="FH271" i="7"/>
  <c r="FH273" i="7"/>
  <c r="BB34" i="3" s="1"/>
  <c r="FH272" i="7"/>
  <c r="BB23" i="3"/>
  <c r="AA16" i="3"/>
  <c r="FM73" i="7"/>
  <c r="FM79" i="7"/>
  <c r="EY201" i="7"/>
  <c r="FO105" i="7"/>
  <c r="FO110" i="7" s="1"/>
  <c r="FO128" i="7" s="1"/>
  <c r="FO99" i="7"/>
  <c r="EX134" i="7"/>
  <c r="EX142" i="7"/>
  <c r="Q70" i="3"/>
  <c r="FK263" i="7"/>
  <c r="FK272" i="7"/>
  <c r="FK273" i="7"/>
  <c r="EX209" i="7"/>
  <c r="EX219" i="7" s="1"/>
  <c r="EX240" i="7"/>
  <c r="AR44" i="3" s="1"/>
  <c r="FS35" i="7"/>
  <c r="FS91" i="7"/>
  <c r="FS37" i="7"/>
  <c r="FS93" i="7" s="1"/>
  <c r="FS95" i="7" s="1"/>
  <c r="FS97" i="7" s="1"/>
  <c r="FS103" i="7"/>
  <c r="FS21" i="7"/>
  <c r="FL296" i="7"/>
  <c r="FL257" i="7"/>
  <c r="FL260" i="7" s="1"/>
  <c r="FL262" i="7" s="1"/>
  <c r="FR290" i="7"/>
  <c r="FJ263" i="7"/>
  <c r="FJ273" i="7"/>
  <c r="FJ271" i="7"/>
  <c r="FJ272" i="7"/>
  <c r="FO79" i="7"/>
  <c r="FO73" i="7"/>
  <c r="FM128" i="7"/>
  <c r="FP105" i="7"/>
  <c r="FP110" i="7" s="1"/>
  <c r="FP99" i="7"/>
  <c r="FP72" i="7"/>
  <c r="AA19" i="3"/>
  <c r="FH262" i="7"/>
  <c r="FG260" i="7"/>
  <c r="FN73" i="7"/>
  <c r="FN79" i="7"/>
  <c r="FN257" i="7" s="1"/>
  <c r="FT67" i="7"/>
  <c r="FT137" i="7"/>
  <c r="FT50" i="7"/>
  <c r="FT49" i="7"/>
  <c r="FT57" i="7"/>
  <c r="FT58" i="7" s="1"/>
  <c r="FT90" i="7" s="1"/>
  <c r="FT36" i="7"/>
  <c r="FR21" i="7"/>
  <c r="FV44" i="7"/>
  <c r="FU48" i="7"/>
  <c r="EX148" i="7"/>
  <c r="FB294" i="7"/>
  <c r="FA300" i="7"/>
  <c r="FH294" i="7"/>
  <c r="FL76" i="7"/>
  <c r="FL258" i="7" s="1"/>
  <c r="FL261" i="7" s="1"/>
  <c r="FL74" i="7"/>
  <c r="ES127" i="7"/>
  <c r="ES128" i="7"/>
  <c r="ET128" i="7" s="1"/>
  <c r="ET127" i="7"/>
  <c r="D77" i="4"/>
  <c r="AN30" i="3"/>
  <c r="M40" i="3"/>
  <c r="FT35" i="7" l="1"/>
  <c r="FT37" i="7"/>
  <c r="FT93" i="7" s="1"/>
  <c r="FT95" i="7" s="1"/>
  <c r="FT97" i="7" s="1"/>
  <c r="FU97" i="7" s="1"/>
  <c r="FT21" i="7"/>
  <c r="FT103" i="7"/>
  <c r="FT290" i="7" s="1"/>
  <c r="FT91" i="7"/>
  <c r="FP128" i="7"/>
  <c r="EY153" i="7"/>
  <c r="EY154" i="7" s="1"/>
  <c r="EY156" i="7" s="1"/>
  <c r="EY158" i="7" s="1"/>
  <c r="EZ175" i="7"/>
  <c r="R43" i="3"/>
  <c r="R47" i="3" s="1"/>
  <c r="R54" i="3" s="1"/>
  <c r="EY179" i="7"/>
  <c r="EY189" i="7" s="1"/>
  <c r="FS98" i="7"/>
  <c r="FS68" i="7"/>
  <c r="FS70" i="7" s="1"/>
  <c r="FR96" i="7"/>
  <c r="FR68" i="7"/>
  <c r="FR70" i="7" s="1"/>
  <c r="FR98" i="7"/>
  <c r="FL273" i="7"/>
  <c r="FL263" i="7"/>
  <c r="FL272" i="7"/>
  <c r="FL271" i="7"/>
  <c r="EZ201" i="7"/>
  <c r="EY132" i="7"/>
  <c r="R62" i="3"/>
  <c r="R68" i="3" s="1"/>
  <c r="R69" i="3" s="1"/>
  <c r="EY207" i="7"/>
  <c r="EY208" i="7" s="1"/>
  <c r="FQ99" i="7"/>
  <c r="FQ105" i="7"/>
  <c r="FQ110" i="7" s="1"/>
  <c r="FQ72" i="7"/>
  <c r="FV48" i="7"/>
  <c r="FO74" i="7"/>
  <c r="FO76" i="7"/>
  <c r="FO258" i="7" s="1"/>
  <c r="FO261" i="7" s="1"/>
  <c r="FM257" i="7"/>
  <c r="FM260" i="7" s="1"/>
  <c r="FM262" i="7" s="1"/>
  <c r="FM296" i="7"/>
  <c r="EY141" i="7"/>
  <c r="EY146" i="7"/>
  <c r="EX144" i="7"/>
  <c r="FM76" i="7"/>
  <c r="FM258" i="7" s="1"/>
  <c r="FM261" i="7" s="1"/>
  <c r="FM74" i="7"/>
  <c r="FS290" i="7"/>
  <c r="FA122" i="7"/>
  <c r="EZ124" i="7"/>
  <c r="EZ127" i="7" s="1"/>
  <c r="S36" i="3"/>
  <c r="S38" i="3" s="1"/>
  <c r="S40" i="3" s="1"/>
  <c r="FN74" i="7"/>
  <c r="FN76" i="7"/>
  <c r="FN258" i="7" s="1"/>
  <c r="FN261" i="7" s="1"/>
  <c r="FU50" i="7"/>
  <c r="FU57" i="7"/>
  <c r="FU58" i="7" s="1"/>
  <c r="FU90" i="7" s="1"/>
  <c r="FU67" i="7"/>
  <c r="FU36" i="7"/>
  <c r="FU137" i="7"/>
  <c r="FU49" i="7"/>
  <c r="Z19" i="3"/>
  <c r="FG262" i="7"/>
  <c r="V73" i="3"/>
  <c r="V75" i="3" s="1"/>
  <c r="FC218" i="7"/>
  <c r="FD213" i="7"/>
  <c r="FC298" i="7"/>
  <c r="FC242" i="7"/>
  <c r="FO296" i="7"/>
  <c r="FO257" i="7"/>
  <c r="FO260" i="7" s="1"/>
  <c r="FP79" i="7"/>
  <c r="FP73" i="7"/>
  <c r="FB299" i="7"/>
  <c r="AR38" i="3"/>
  <c r="EX236" i="7"/>
  <c r="EX241" i="7" s="1"/>
  <c r="EX238" i="7"/>
  <c r="EX237" i="7"/>
  <c r="AR39" i="3" s="1"/>
  <c r="EX135" i="7"/>
  <c r="EX138" i="7"/>
  <c r="AR41" i="3" s="1"/>
  <c r="D81" i="4"/>
  <c r="D84" i="4"/>
  <c r="D88" i="4" s="1"/>
  <c r="R70" i="3" l="1"/>
  <c r="FV50" i="7"/>
  <c r="H70" i="4"/>
  <c r="FV67" i="7"/>
  <c r="FV57" i="7"/>
  <c r="FV58" i="7" s="1"/>
  <c r="FV90" i="7" s="1"/>
  <c r="FV36" i="7"/>
  <c r="FV137" i="7"/>
  <c r="FV49" i="7"/>
  <c r="EY209" i="7"/>
  <c r="EY219" i="7" s="1"/>
  <c r="EY240" i="7"/>
  <c r="AS44" i="3" s="1"/>
  <c r="FP257" i="7"/>
  <c r="FP260" i="7" s="1"/>
  <c r="FP262" i="7" s="1"/>
  <c r="FP296" i="7"/>
  <c r="FT98" i="7"/>
  <c r="FT68" i="7"/>
  <c r="FT70" i="7" s="1"/>
  <c r="FS105" i="7"/>
  <c r="FS110" i="7" s="1"/>
  <c r="FS99" i="7"/>
  <c r="FS72" i="7"/>
  <c r="FQ128" i="7"/>
  <c r="EZ179" i="7"/>
  <c r="EZ189" i="7" s="1"/>
  <c r="S43" i="3"/>
  <c r="S47" i="3" s="1"/>
  <c r="S54" i="3" s="1"/>
  <c r="EZ153" i="7"/>
  <c r="EZ154" i="7" s="1"/>
  <c r="FA175" i="7"/>
  <c r="S62" i="3"/>
  <c r="S68" i="3" s="1"/>
  <c r="S69" i="3" s="1"/>
  <c r="EZ132" i="7"/>
  <c r="FA201" i="7"/>
  <c r="EZ207" i="7"/>
  <c r="EZ208" i="7" s="1"/>
  <c r="FU37" i="7"/>
  <c r="FU93" i="7" s="1"/>
  <c r="FU95" i="7" s="1"/>
  <c r="FU96" i="7" s="1"/>
  <c r="FU91" i="7"/>
  <c r="FU35" i="7"/>
  <c r="T36" i="3"/>
  <c r="T38" i="3" s="1"/>
  <c r="T40" i="3" s="1"/>
  <c r="FA124" i="7"/>
  <c r="FA127" i="7" s="1"/>
  <c r="FV97" i="7"/>
  <c r="FU98" i="7"/>
  <c r="FU68" i="7"/>
  <c r="FU70" i="7" s="1"/>
  <c r="FU103" i="7"/>
  <c r="FN273" i="7"/>
  <c r="FN263" i="7"/>
  <c r="FN272" i="7"/>
  <c r="FO271" i="7"/>
  <c r="FO272" i="7"/>
  <c r="FO263" i="7"/>
  <c r="FO273" i="7"/>
  <c r="FR99" i="7"/>
  <c r="FR105" i="7"/>
  <c r="FR110" i="7" s="1"/>
  <c r="FR128" i="7" s="1"/>
  <c r="FR72" i="7"/>
  <c r="EZ156" i="7"/>
  <c r="EZ158" i="7" s="1"/>
  <c r="FD218" i="7"/>
  <c r="W73" i="3"/>
  <c r="W75" i="3" s="1"/>
  <c r="FE213" i="7"/>
  <c r="FD242" i="7"/>
  <c r="FQ73" i="7"/>
  <c r="FQ79" i="7"/>
  <c r="FN260" i="7"/>
  <c r="FN262" i="7" s="1"/>
  <c r="FO262" i="7"/>
  <c r="FU21" i="7"/>
  <c r="FC294" i="7"/>
  <c r="FC299" i="7" s="1"/>
  <c r="FB300" i="7"/>
  <c r="FM263" i="7"/>
  <c r="FM273" i="7"/>
  <c r="FM271" i="7"/>
  <c r="FM272" i="7"/>
  <c r="FP74" i="7"/>
  <c r="FP76" i="7"/>
  <c r="FP258" i="7" s="1"/>
  <c r="FP261" i="7" s="1"/>
  <c r="EY148" i="7"/>
  <c r="EZ146" i="7"/>
  <c r="EY134" i="7"/>
  <c r="EY142" i="7"/>
  <c r="EY144" i="7" s="1"/>
  <c r="FV98" i="7" l="1"/>
  <c r="FV68" i="7"/>
  <c r="FV70" i="7" s="1"/>
  <c r="EZ148" i="7"/>
  <c r="FA146" i="7"/>
  <c r="FA148" i="7" s="1"/>
  <c r="T43" i="3"/>
  <c r="T47" i="3" s="1"/>
  <c r="T54" i="3" s="1"/>
  <c r="FB152" i="7"/>
  <c r="FA153" i="7"/>
  <c r="FA154" i="7" s="1"/>
  <c r="FH152" i="7"/>
  <c r="FD152" i="7"/>
  <c r="FA179" i="7"/>
  <c r="FA189" i="7" s="1"/>
  <c r="FV72" i="7"/>
  <c r="EZ209" i="7"/>
  <c r="EZ219" i="7" s="1"/>
  <c r="EZ240" i="7"/>
  <c r="AT44" i="3" s="1"/>
  <c r="EY238" i="7"/>
  <c r="EY138" i="7"/>
  <c r="AS41" i="3" s="1"/>
  <c r="EY237" i="7"/>
  <c r="AS39" i="3" s="1"/>
  <c r="EY236" i="7"/>
  <c r="EY241" i="7" s="1"/>
  <c r="EY135" i="7"/>
  <c r="AS38" i="3"/>
  <c r="FQ257" i="7"/>
  <c r="FQ260" i="7" s="1"/>
  <c r="FQ262" i="7" s="1"/>
  <c r="FQ296" i="7"/>
  <c r="FA207" i="7"/>
  <c r="FA208" i="7" s="1"/>
  <c r="T62" i="3"/>
  <c r="T68" i="3" s="1"/>
  <c r="T69" i="3" s="1"/>
  <c r="FA132" i="7"/>
  <c r="FB122" i="7"/>
  <c r="FQ76" i="7"/>
  <c r="FQ258" i="7" s="1"/>
  <c r="FQ261" i="7" s="1"/>
  <c r="FQ74" i="7"/>
  <c r="FS79" i="7"/>
  <c r="FS73" i="7"/>
  <c r="FU290" i="7"/>
  <c r="FV103" i="7"/>
  <c r="FV290" i="7" s="1"/>
  <c r="H72" i="4"/>
  <c r="I72" i="4" s="1"/>
  <c r="I70" i="4"/>
  <c r="EZ155" i="7"/>
  <c r="FA156" i="7"/>
  <c r="FA158" i="7" s="1"/>
  <c r="FU105" i="7"/>
  <c r="FU110" i="7" s="1"/>
  <c r="FU128" i="7" s="1"/>
  <c r="FU99" i="7"/>
  <c r="FU72" i="7"/>
  <c r="FR73" i="7"/>
  <c r="FR79" i="7"/>
  <c r="FR257" i="7" s="1"/>
  <c r="FR260" i="7" s="1"/>
  <c r="FR262" i="7" s="1"/>
  <c r="EZ134" i="7"/>
  <c r="EZ142" i="7"/>
  <c r="EZ144" i="7" s="1"/>
  <c r="EZ145" i="7" s="1"/>
  <c r="FV35" i="7"/>
  <c r="FV91" i="7"/>
  <c r="FV37" i="7"/>
  <c r="FV93" i="7" s="1"/>
  <c r="FV95" i="7" s="1"/>
  <c r="FV96" i="7" s="1"/>
  <c r="FV21" i="7"/>
  <c r="FE294" i="7"/>
  <c r="FC300" i="7"/>
  <c r="FP263" i="7"/>
  <c r="FP273" i="7"/>
  <c r="FP271" i="7"/>
  <c r="FP272" i="7"/>
  <c r="FE218" i="7"/>
  <c r="FF213" i="7"/>
  <c r="FE298" i="7"/>
  <c r="X73" i="3"/>
  <c r="X75" i="3" s="1"/>
  <c r="FE242" i="7"/>
  <c r="FS128" i="7"/>
  <c r="S70" i="3"/>
  <c r="FT99" i="7"/>
  <c r="FT105" i="7"/>
  <c r="FT110" i="7" s="1"/>
  <c r="FT72" i="7"/>
  <c r="I77" i="4" l="1"/>
  <c r="I84" i="4" s="1"/>
  <c r="I88" i="4" s="1"/>
  <c r="I89" i="4" s="1"/>
  <c r="C106" i="4" s="1"/>
  <c r="D106" i="4" s="1"/>
  <c r="T70" i="3"/>
  <c r="H77" i="4"/>
  <c r="H84" i="4" s="1"/>
  <c r="H88" i="4" s="1"/>
  <c r="C105" i="4" s="1"/>
  <c r="FS76" i="7"/>
  <c r="FS258" i="7" s="1"/>
  <c r="FS261" i="7" s="1"/>
  <c r="FS74" i="7"/>
  <c r="FV79" i="7"/>
  <c r="FV73" i="7"/>
  <c r="FT79" i="7"/>
  <c r="FT73" i="7"/>
  <c r="FE299" i="7"/>
  <c r="FS257" i="7"/>
  <c r="FS260" i="7" s="1"/>
  <c r="FS262" i="7" s="1"/>
  <c r="FS296" i="7"/>
  <c r="FF298" i="7"/>
  <c r="Y73" i="3"/>
  <c r="Y75" i="3" s="1"/>
  <c r="FG213" i="7"/>
  <c r="FF218" i="7"/>
  <c r="FF242" i="7"/>
  <c r="FB201" i="7"/>
  <c r="FB124" i="7"/>
  <c r="FB127" i="7" s="1"/>
  <c r="FB175" i="7" s="1"/>
  <c r="U36" i="3"/>
  <c r="U38" i="3" s="1"/>
  <c r="U40" i="3" s="1"/>
  <c r="FA142" i="7"/>
  <c r="FA134" i="7"/>
  <c r="FR76" i="7"/>
  <c r="FR258" i="7" s="1"/>
  <c r="FR261" i="7" s="1"/>
  <c r="FR74" i="7"/>
  <c r="FA155" i="7"/>
  <c r="FV99" i="7"/>
  <c r="FV105" i="7"/>
  <c r="FV110" i="7" s="1"/>
  <c r="FV128" i="7" s="1"/>
  <c r="AT38" i="3"/>
  <c r="EZ236" i="7"/>
  <c r="EZ241" i="7" s="1"/>
  <c r="EZ237" i="7"/>
  <c r="AT39" i="3" s="1"/>
  <c r="EZ135" i="7"/>
  <c r="EZ138" i="7"/>
  <c r="AT41" i="3" s="1"/>
  <c r="EZ238" i="7"/>
  <c r="FQ273" i="7"/>
  <c r="FQ271" i="7"/>
  <c r="FQ272" i="7"/>
  <c r="FQ263" i="7"/>
  <c r="FA209" i="7"/>
  <c r="FA219" i="7" s="1"/>
  <c r="FA240" i="7"/>
  <c r="AU44" i="3" s="1"/>
  <c r="FT128" i="7"/>
  <c r="FU79" i="7"/>
  <c r="FU257" i="7" s="1"/>
  <c r="FU73" i="7"/>
  <c r="I81" i="4" l="1"/>
  <c r="I82" i="4" s="1"/>
  <c r="C93" i="4" s="1"/>
  <c r="D93" i="4" s="1"/>
  <c r="H81" i="4"/>
  <c r="C92" i="4" s="1"/>
  <c r="D92" i="4" s="1"/>
  <c r="FC152" i="7"/>
  <c r="FB153" i="7"/>
  <c r="FB154" i="7" s="1"/>
  <c r="FB156" i="7" s="1"/>
  <c r="FB158" i="7" s="1"/>
  <c r="U43" i="3"/>
  <c r="U47" i="3" s="1"/>
  <c r="U54" i="3" s="1"/>
  <c r="FB179" i="7"/>
  <c r="FB189" i="7" s="1"/>
  <c r="FG218" i="7"/>
  <c r="Z73" i="3"/>
  <c r="Z75" i="3" s="1"/>
  <c r="FH213" i="7"/>
  <c r="FG242" i="7"/>
  <c r="FA238" i="7"/>
  <c r="FA237" i="7"/>
  <c r="AU39" i="3" s="1"/>
  <c r="FA236" i="7"/>
  <c r="FA241" i="7" s="1"/>
  <c r="AU38" i="3"/>
  <c r="FA135" i="7"/>
  <c r="FA138" i="7"/>
  <c r="AU41" i="3" s="1"/>
  <c r="FE300" i="7"/>
  <c r="FF294" i="7"/>
  <c r="FF299" i="7" s="1"/>
  <c r="FF300" i="7" s="1"/>
  <c r="FB207" i="7"/>
  <c r="FB208" i="7" s="1"/>
  <c r="U62" i="3"/>
  <c r="U68" i="3" s="1"/>
  <c r="U69" i="3" s="1"/>
  <c r="FB132" i="7"/>
  <c r="FC122" i="7"/>
  <c r="FV296" i="7"/>
  <c r="FV257" i="7"/>
  <c r="FV260" i="7" s="1"/>
  <c r="FA144" i="7"/>
  <c r="FA145" i="7" s="1"/>
  <c r="FH141" i="7"/>
  <c r="FB146" i="7"/>
  <c r="C107" i="4"/>
  <c r="D105" i="4"/>
  <c r="FT257" i="7"/>
  <c r="FT260" i="7" s="1"/>
  <c r="FT262" i="7" s="1"/>
  <c r="FT296" i="7"/>
  <c r="FU76" i="7"/>
  <c r="FU258" i="7" s="1"/>
  <c r="FU261" i="7" s="1"/>
  <c r="FU74" i="7"/>
  <c r="FR272" i="7"/>
  <c r="FR273" i="7"/>
  <c r="FR263" i="7"/>
  <c r="FV74" i="7"/>
  <c r="FV76" i="7"/>
  <c r="FV258" i="7" s="1"/>
  <c r="FV261" i="7" s="1"/>
  <c r="FS263" i="7"/>
  <c r="FS273" i="7"/>
  <c r="FS271" i="7"/>
  <c r="FS272" i="7"/>
  <c r="FT76" i="7"/>
  <c r="FT258" i="7" s="1"/>
  <c r="FT261" i="7" s="1"/>
  <c r="FT74" i="7"/>
  <c r="C94" i="4" l="1"/>
  <c r="E22" i="4"/>
  <c r="U70" i="3"/>
  <c r="FV272" i="7"/>
  <c r="FV271" i="7"/>
  <c r="FV263" i="7"/>
  <c r="FV273" i="7"/>
  <c r="FU260" i="7"/>
  <c r="FU262" i="7" s="1"/>
  <c r="FV262" i="7"/>
  <c r="FC201" i="7"/>
  <c r="FD122" i="7"/>
  <c r="V36" i="3"/>
  <c r="V38" i="3" s="1"/>
  <c r="V40" i="3" s="1"/>
  <c r="FC124" i="7"/>
  <c r="FC127" i="7" s="1"/>
  <c r="FC175" i="7" s="1"/>
  <c r="D94" i="4"/>
  <c r="C95" i="4"/>
  <c r="FU273" i="7"/>
  <c r="FU272" i="7"/>
  <c r="FU263" i="7"/>
  <c r="FI141" i="7"/>
  <c r="FK141" i="7"/>
  <c r="FH218" i="7"/>
  <c r="AA73" i="3"/>
  <c r="AA75" i="3" s="1"/>
  <c r="FH298" i="7"/>
  <c r="FH299" i="7" s="1"/>
  <c r="FI213" i="7"/>
  <c r="FH242" i="7"/>
  <c r="FB134" i="7"/>
  <c r="FB142" i="7"/>
  <c r="FT272" i="7"/>
  <c r="FT263" i="7"/>
  <c r="FT273" i="7"/>
  <c r="FT271" i="7"/>
  <c r="D107" i="4"/>
  <c r="C108" i="4"/>
  <c r="FB209" i="7"/>
  <c r="FB219" i="7" s="1"/>
  <c r="FB240" i="7"/>
  <c r="AV44" i="3" s="1"/>
  <c r="FB148" i="7"/>
  <c r="FC146" i="7" l="1"/>
  <c r="FB144" i="7"/>
  <c r="FC141" i="7"/>
  <c r="FB236" i="7"/>
  <c r="FB241" i="7" s="1"/>
  <c r="AV38" i="3"/>
  <c r="FB238" i="7"/>
  <c r="FB135" i="7"/>
  <c r="FB138" i="7"/>
  <c r="AV41" i="3" s="1"/>
  <c r="FB237" i="7"/>
  <c r="AV39" i="3" s="1"/>
  <c r="D108" i="4"/>
  <c r="C112" i="4"/>
  <c r="D112" i="4" s="1"/>
  <c r="FC153" i="7"/>
  <c r="FC154" i="7" s="1"/>
  <c r="FC156" i="7" s="1"/>
  <c r="FC158" i="7" s="1"/>
  <c r="FD175" i="7"/>
  <c r="V43" i="3"/>
  <c r="V47" i="3" s="1"/>
  <c r="V54" i="3" s="1"/>
  <c r="FC179" i="7"/>
  <c r="FC189" i="7" s="1"/>
  <c r="FI218" i="7"/>
  <c r="FJ213" i="7"/>
  <c r="FI298" i="7"/>
  <c r="FI242" i="7"/>
  <c r="FC207" i="7"/>
  <c r="FC208" i="7" s="1"/>
  <c r="FD201" i="7"/>
  <c r="V62" i="3"/>
  <c r="V68" i="3" s="1"/>
  <c r="V69" i="3" s="1"/>
  <c r="FC132" i="7"/>
  <c r="D95" i="4"/>
  <c r="C99" i="4"/>
  <c r="D99" i="4" s="1"/>
  <c r="D101" i="4" s="1"/>
  <c r="FI294" i="7"/>
  <c r="FO294" i="7"/>
  <c r="FH300" i="7"/>
  <c r="FD124" i="7"/>
  <c r="FD127" i="7" s="1"/>
  <c r="W36" i="3"/>
  <c r="W38" i="3" s="1"/>
  <c r="W40" i="3" s="1"/>
  <c r="V70" i="3" l="1"/>
  <c r="FC209" i="7"/>
  <c r="FC219" i="7" s="1"/>
  <c r="FC240" i="7"/>
  <c r="AW44" i="3" s="1"/>
  <c r="D7" i="4"/>
  <c r="FD156" i="7"/>
  <c r="FD158" i="7" s="1"/>
  <c r="FC142" i="7"/>
  <c r="FC144" i="7" s="1"/>
  <c r="FC134" i="7"/>
  <c r="FI299" i="7"/>
  <c r="FJ298" i="7"/>
  <c r="FJ218" i="7"/>
  <c r="FK213" i="7"/>
  <c r="FJ242" i="7"/>
  <c r="W43" i="3"/>
  <c r="W47" i="3" s="1"/>
  <c r="W54" i="3" s="1"/>
  <c r="FG152" i="7"/>
  <c r="FD153" i="7"/>
  <c r="FD154" i="7" s="1"/>
  <c r="FD179" i="7"/>
  <c r="FD189" i="7" s="1"/>
  <c r="FE152" i="7"/>
  <c r="FD132" i="7"/>
  <c r="FD207" i="7"/>
  <c r="FD208" i="7" s="1"/>
  <c r="W62" i="3"/>
  <c r="W68" i="3" s="1"/>
  <c r="W69" i="3" s="1"/>
  <c r="FE122" i="7"/>
  <c r="FC148" i="7"/>
  <c r="FD146" i="7"/>
  <c r="FD148" i="7" s="1"/>
  <c r="FK218" i="7" l="1"/>
  <c r="FL213" i="7"/>
  <c r="FK242" i="7"/>
  <c r="FE124" i="7"/>
  <c r="FE127" i="7" s="1"/>
  <c r="FE175" i="7" s="1"/>
  <c r="X36" i="3"/>
  <c r="X38" i="3" s="1"/>
  <c r="X40" i="3" s="1"/>
  <c r="FD209" i="7"/>
  <c r="FD219" i="7" s="1"/>
  <c r="FD240" i="7"/>
  <c r="AX44" i="3" s="1"/>
  <c r="FC237" i="7"/>
  <c r="AW39" i="3" s="1"/>
  <c r="FC236" i="7"/>
  <c r="FC241" i="7" s="1"/>
  <c r="AW38" i="3"/>
  <c r="FC238" i="7"/>
  <c r="FC135" i="7"/>
  <c r="FC138" i="7"/>
  <c r="AW41" i="3" s="1"/>
  <c r="W70" i="3"/>
  <c r="FD155" i="7"/>
  <c r="O7" i="4"/>
  <c r="I7" i="4"/>
  <c r="R7" i="4"/>
  <c r="A40" i="4"/>
  <c r="U7" i="4"/>
  <c r="D8" i="4"/>
  <c r="D10" i="4" s="1"/>
  <c r="D11" i="4" s="1"/>
  <c r="BB17" i="3"/>
  <c r="C16" i="4"/>
  <c r="F7" i="4"/>
  <c r="L7" i="4"/>
  <c r="FE201" i="7"/>
  <c r="FJ294" i="7"/>
  <c r="FJ299" i="7" s="1"/>
  <c r="FI300" i="7"/>
  <c r="FD142" i="7"/>
  <c r="FD134" i="7"/>
  <c r="FE207" i="7" l="1"/>
  <c r="FE208" i="7" s="1"/>
  <c r="FE132" i="7"/>
  <c r="X62" i="3"/>
  <c r="X68" i="3" s="1"/>
  <c r="X69" i="3" s="1"/>
  <c r="FF122" i="7"/>
  <c r="FL298" i="7"/>
  <c r="FM213" i="7"/>
  <c r="FL218" i="7"/>
  <c r="FL242" i="7"/>
  <c r="FL294" i="7"/>
  <c r="FJ300" i="7"/>
  <c r="FE179" i="7"/>
  <c r="FE189" i="7" s="1"/>
  <c r="FF152" i="7"/>
  <c r="FE153" i="7"/>
  <c r="FE154" i="7" s="1"/>
  <c r="FE156" i="7" s="1"/>
  <c r="FE158" i="7" s="1"/>
  <c r="X43" i="3"/>
  <c r="X47" i="3" s="1"/>
  <c r="X54" i="3" s="1"/>
  <c r="X70" i="3" s="1"/>
  <c r="C17" i="4"/>
  <c r="E16" i="4"/>
  <c r="FD237" i="7"/>
  <c r="AX39" i="3" s="1"/>
  <c r="FD238" i="7"/>
  <c r="FD135" i="7"/>
  <c r="FD138" i="7"/>
  <c r="AX41" i="3" s="1"/>
  <c r="FD236" i="7"/>
  <c r="FD241" i="7" s="1"/>
  <c r="AX38" i="3"/>
  <c r="FE146" i="7"/>
  <c r="FD144" i="7"/>
  <c r="FD145" i="7" s="1"/>
  <c r="FE141" i="7"/>
  <c r="FG141" i="7"/>
  <c r="C20" i="4"/>
  <c r="E20" i="4" s="1"/>
  <c r="D12" i="4"/>
  <c r="L11" i="4"/>
  <c r="O11" i="4"/>
  <c r="U11" i="4"/>
  <c r="BE7" i="3"/>
  <c r="R11" i="4"/>
  <c r="B2" i="7"/>
  <c r="I11" i="4"/>
  <c r="BB19" i="3"/>
  <c r="F11" i="4"/>
  <c r="FL299" i="7" l="1"/>
  <c r="FL300" i="7"/>
  <c r="FM294" i="7"/>
  <c r="BI11" i="3"/>
  <c r="BB8" i="3"/>
  <c r="FE148" i="7"/>
  <c r="FF201" i="7"/>
  <c r="FF124" i="7"/>
  <c r="FF127" i="7" s="1"/>
  <c r="FF175" i="7" s="1"/>
  <c r="FG122" i="7"/>
  <c r="Y36" i="3"/>
  <c r="Y38" i="3" s="1"/>
  <c r="Y40" i="3" s="1"/>
  <c r="FM298" i="7"/>
  <c r="FN213" i="7"/>
  <c r="FM218" i="7"/>
  <c r="FM242" i="7"/>
  <c r="FE142" i="7"/>
  <c r="FE134" i="7"/>
  <c r="E17" i="4"/>
  <c r="C19" i="4"/>
  <c r="E19" i="4" s="1"/>
  <c r="FE209" i="7"/>
  <c r="FE219" i="7" s="1"/>
  <c r="FE240" i="7"/>
  <c r="AY44" i="3" s="1"/>
  <c r="FO213" i="7" l="1"/>
  <c r="FN218" i="7"/>
  <c r="FN242" i="7"/>
  <c r="BB9" i="3"/>
  <c r="BB10" i="3" s="1"/>
  <c r="B5" i="3"/>
  <c r="FG124" i="7"/>
  <c r="FG127" i="7" s="1"/>
  <c r="FH122" i="7"/>
  <c r="Z36" i="3"/>
  <c r="Z38" i="3" s="1"/>
  <c r="Z40" i="3" s="1"/>
  <c r="FE238" i="7"/>
  <c r="AY38" i="3"/>
  <c r="FE138" i="7"/>
  <c r="AY41" i="3" s="1"/>
  <c r="FE236" i="7"/>
  <c r="FE241" i="7" s="1"/>
  <c r="FE237" i="7"/>
  <c r="AY39" i="3" s="1"/>
  <c r="FE135" i="7"/>
  <c r="FM299" i="7"/>
  <c r="FM300" i="7" s="1"/>
  <c r="FF141" i="7"/>
  <c r="FF146" i="7"/>
  <c r="FE144" i="7"/>
  <c r="Y43" i="3"/>
  <c r="Y47" i="3" s="1"/>
  <c r="Y54" i="3" s="1"/>
  <c r="FF153" i="7"/>
  <c r="FF154" i="7" s="1"/>
  <c r="FF156" i="7" s="1"/>
  <c r="FF158" i="7" s="1"/>
  <c r="FG175" i="7"/>
  <c r="FF179" i="7"/>
  <c r="FF189" i="7" s="1"/>
  <c r="FG201" i="7"/>
  <c r="FF132" i="7"/>
  <c r="FF207" i="7"/>
  <c r="FF208" i="7" s="1"/>
  <c r="Y62" i="3"/>
  <c r="Y68" i="3" s="1"/>
  <c r="Y69" i="3" s="1"/>
  <c r="Y70" i="3" l="1"/>
  <c r="FH175" i="7"/>
  <c r="Z43" i="3"/>
  <c r="Z47" i="3" s="1"/>
  <c r="Z54" i="3" s="1"/>
  <c r="FG179" i="7"/>
  <c r="FG189" i="7" s="1"/>
  <c r="FG153" i="7"/>
  <c r="FG154" i="7" s="1"/>
  <c r="E21" i="4"/>
  <c r="FG156" i="7"/>
  <c r="FG158" i="7" s="1"/>
  <c r="FF148" i="7"/>
  <c r="FG146" i="7"/>
  <c r="FF134" i="7"/>
  <c r="FF142" i="7"/>
  <c r="FF144" i="7" s="1"/>
  <c r="FG132" i="7"/>
  <c r="FG207" i="7"/>
  <c r="FG208" i="7" s="1"/>
  <c r="FH201" i="7"/>
  <c r="Z62" i="3"/>
  <c r="Z68" i="3" s="1"/>
  <c r="Z69" i="3" s="1"/>
  <c r="AA36" i="3"/>
  <c r="AA38" i="3" s="1"/>
  <c r="AA40" i="3" s="1"/>
  <c r="FH124" i="7"/>
  <c r="FH127" i="7" s="1"/>
  <c r="FF209" i="7"/>
  <c r="FF219" i="7" s="1"/>
  <c r="FF240" i="7"/>
  <c r="AZ44" i="3" s="1"/>
  <c r="FO218" i="7"/>
  <c r="FO298" i="7"/>
  <c r="FO299" i="7" s="1"/>
  <c r="FP213" i="7"/>
  <c r="FO242" i="7"/>
  <c r="FG155" i="7" l="1"/>
  <c r="FV294" i="7"/>
  <c r="FP294" i="7"/>
  <c r="FO300" i="7"/>
  <c r="FG134" i="7"/>
  <c r="FG142" i="7"/>
  <c r="FG144" i="7" s="1"/>
  <c r="FG145" i="7" s="1"/>
  <c r="FH156" i="7"/>
  <c r="FH158" i="7" s="1"/>
  <c r="FF236" i="7"/>
  <c r="FF241" i="7" s="1"/>
  <c r="FF238" i="7"/>
  <c r="AZ38" i="3"/>
  <c r="FF237" i="7"/>
  <c r="AZ39" i="3" s="1"/>
  <c r="FF138" i="7"/>
  <c r="AZ41" i="3" s="1"/>
  <c r="FF135" i="7"/>
  <c r="FG148" i="7"/>
  <c r="FH146" i="7"/>
  <c r="FH148" i="7" s="1"/>
  <c r="FG209" i="7"/>
  <c r="FG219" i="7" s="1"/>
  <c r="FG240" i="7"/>
  <c r="BA44" i="3" s="1"/>
  <c r="Z70" i="3"/>
  <c r="FP218" i="7"/>
  <c r="FP298" i="7"/>
  <c r="FQ213" i="7"/>
  <c r="FP242" i="7"/>
  <c r="FH132" i="7"/>
  <c r="FH207" i="7"/>
  <c r="FH208" i="7" s="1"/>
  <c r="AA62" i="3"/>
  <c r="AA68" i="3" s="1"/>
  <c r="AA69" i="3" s="1"/>
  <c r="FI122" i="7"/>
  <c r="FI124" i="7" s="1"/>
  <c r="FI127" i="7" s="1"/>
  <c r="FI175" i="7" s="1"/>
  <c r="FH153" i="7"/>
  <c r="FH154" i="7" s="1"/>
  <c r="FI152" i="7"/>
  <c r="FH179" i="7"/>
  <c r="FH189" i="7" s="1"/>
  <c r="FO152" i="7"/>
  <c r="FK152" i="7"/>
  <c r="AA43" i="3"/>
  <c r="AA47" i="3" s="1"/>
  <c r="AA54" i="3" s="1"/>
  <c r="AA70" i="3" l="1"/>
  <c r="FI153" i="7"/>
  <c r="FI154" i="7" s="1"/>
  <c r="FI156" i="7" s="1"/>
  <c r="FI158" i="7" s="1"/>
  <c r="FI179" i="7"/>
  <c r="FI189" i="7" s="1"/>
  <c r="FJ152" i="7"/>
  <c r="FH142" i="7"/>
  <c r="FH134" i="7"/>
  <c r="FH209" i="7"/>
  <c r="FH219" i="7" s="1"/>
  <c r="FH240" i="7"/>
  <c r="BB44" i="3" s="1"/>
  <c r="FR213" i="7"/>
  <c r="FQ218" i="7"/>
  <c r="FQ298" i="7"/>
  <c r="FQ242" i="7"/>
  <c r="FH155" i="7"/>
  <c r="FG236" i="7"/>
  <c r="FG241" i="7" s="1"/>
  <c r="FG237" i="7"/>
  <c r="BA39" i="3" s="1"/>
  <c r="BA38" i="3"/>
  <c r="FG238" i="7"/>
  <c r="FG135" i="7"/>
  <c r="FG138" i="7"/>
  <c r="BA41" i="3" s="1"/>
  <c r="FI201" i="7"/>
  <c r="FP299" i="7"/>
  <c r="FS213" i="7" l="1"/>
  <c r="FR218" i="7"/>
  <c r="FR242" i="7"/>
  <c r="FP300" i="7"/>
  <c r="FQ294" i="7"/>
  <c r="FQ299" i="7" s="1"/>
  <c r="FH236" i="7"/>
  <c r="FH241" i="7" s="1"/>
  <c r="FH138" i="7"/>
  <c r="BB41" i="3" s="1"/>
  <c r="FH238" i="7"/>
  <c r="FH135" i="7"/>
  <c r="FH237" i="7"/>
  <c r="BB39" i="3" s="1"/>
  <c r="BB38" i="3"/>
  <c r="FO141" i="7"/>
  <c r="FI146" i="7"/>
  <c r="FH144" i="7"/>
  <c r="FH145" i="7" s="1"/>
  <c r="FI132" i="7"/>
  <c r="FI207" i="7"/>
  <c r="FI208" i="7" s="1"/>
  <c r="FI209" i="7" s="1"/>
  <c r="FI219" i="7" s="1"/>
  <c r="FJ122" i="7"/>
  <c r="FI240" i="7"/>
  <c r="FI134" i="7" l="1"/>
  <c r="FI142" i="7"/>
  <c r="FI148" i="7"/>
  <c r="FP141" i="7"/>
  <c r="FR141" i="7"/>
  <c r="FS294" i="7"/>
  <c r="FQ300" i="7"/>
  <c r="FJ201" i="7"/>
  <c r="FJ124" i="7"/>
  <c r="FJ127" i="7" s="1"/>
  <c r="FJ175" i="7" s="1"/>
  <c r="FK122" i="7"/>
  <c r="FK124" i="7" s="1"/>
  <c r="FK127" i="7" s="1"/>
  <c r="FT213" i="7"/>
  <c r="FS298" i="7"/>
  <c r="FS218" i="7"/>
  <c r="FS242" i="7"/>
  <c r="FS299" i="7" l="1"/>
  <c r="FS300" i="7" s="1"/>
  <c r="FT294" i="7"/>
  <c r="FU213" i="7"/>
  <c r="FT298" i="7"/>
  <c r="FT218" i="7"/>
  <c r="FT242" i="7"/>
  <c r="FJ179" i="7"/>
  <c r="FJ189" i="7" s="1"/>
  <c r="FJ153" i="7"/>
  <c r="FJ154" i="7" s="1"/>
  <c r="FJ156" i="7" s="1"/>
  <c r="FJ158" i="7" s="1"/>
  <c r="FK175" i="7"/>
  <c r="FI144" i="7"/>
  <c r="FJ141" i="7"/>
  <c r="FJ146" i="7"/>
  <c r="FJ132" i="7"/>
  <c r="FJ207" i="7"/>
  <c r="FJ208" i="7" s="1"/>
  <c r="FK201" i="7"/>
  <c r="FI138" i="7"/>
  <c r="FI135" i="7"/>
  <c r="FI236" i="7"/>
  <c r="FI241" i="7" s="1"/>
  <c r="FI238" i="7"/>
  <c r="FI237" i="7"/>
  <c r="FK156" i="7" l="1"/>
  <c r="FK158" i="7" s="1"/>
  <c r="FJ209" i="7"/>
  <c r="FJ219" i="7" s="1"/>
  <c r="FJ240" i="7"/>
  <c r="FL122" i="7"/>
  <c r="FL124" i="7" s="1"/>
  <c r="FL127" i="7" s="1"/>
  <c r="FL175" i="7" s="1"/>
  <c r="FK132" i="7"/>
  <c r="FK207" i="7"/>
  <c r="FK208" i="7" s="1"/>
  <c r="FJ134" i="7"/>
  <c r="FJ142" i="7"/>
  <c r="FJ144" i="7" s="1"/>
  <c r="FJ148" i="7"/>
  <c r="FK146" i="7"/>
  <c r="FK148" i="7" s="1"/>
  <c r="FU218" i="7"/>
  <c r="FV213" i="7"/>
  <c r="FU242" i="7"/>
  <c r="FT299" i="7"/>
  <c r="FT300" i="7" s="1"/>
  <c r="FK179" i="7"/>
  <c r="FK189" i="7" s="1"/>
  <c r="FN152" i="7"/>
  <c r="FL152" i="7"/>
  <c r="FK153" i="7"/>
  <c r="FK154" i="7" s="1"/>
  <c r="FL153" i="7" l="1"/>
  <c r="FL154" i="7" s="1"/>
  <c r="FL156" i="7" s="1"/>
  <c r="FL158" i="7" s="1"/>
  <c r="FL179" i="7"/>
  <c r="FL189" i="7" s="1"/>
  <c r="FM152" i="7"/>
  <c r="FK134" i="7"/>
  <c r="FK142" i="7"/>
  <c r="FV298" i="7"/>
  <c r="FV299" i="7" s="1"/>
  <c r="FV218" i="7"/>
  <c r="FV242" i="7"/>
  <c r="FK209" i="7"/>
  <c r="FK219" i="7" s="1"/>
  <c r="FK240" i="7"/>
  <c r="FJ135" i="7"/>
  <c r="FJ138" i="7"/>
  <c r="FJ238" i="7"/>
  <c r="FJ236" i="7"/>
  <c r="FJ241" i="7" s="1"/>
  <c r="FJ237" i="7"/>
  <c r="FK155" i="7"/>
  <c r="FL201" i="7"/>
  <c r="FK135" i="7" l="1"/>
  <c r="FK138" i="7"/>
  <c r="FK238" i="7"/>
  <c r="FK237" i="7"/>
  <c r="FK236" i="7"/>
  <c r="FK241" i="7" s="1"/>
  <c r="FV300" i="7"/>
  <c r="FL146" i="7"/>
  <c r="FK144" i="7"/>
  <c r="FK145" i="7" s="1"/>
  <c r="FL141" i="7"/>
  <c r="FN141" i="7"/>
  <c r="FL132" i="7"/>
  <c r="FL207" i="7"/>
  <c r="FL208" i="7" s="1"/>
  <c r="FL209" i="7" s="1"/>
  <c r="FL219" i="7" s="1"/>
  <c r="FM122" i="7"/>
  <c r="FL240" i="7"/>
  <c r="FL148" i="7" l="1"/>
  <c r="FN122" i="7"/>
  <c r="FM124" i="7"/>
  <c r="FM127" i="7" s="1"/>
  <c r="FM175" i="7" s="1"/>
  <c r="FM201" i="7"/>
  <c r="FL142" i="7"/>
  <c r="FL134" i="7"/>
  <c r="FL135" i="7" l="1"/>
  <c r="FL138" i="7"/>
  <c r="FL237" i="7"/>
  <c r="FL238" i="7"/>
  <c r="FL236" i="7"/>
  <c r="FL241" i="7" s="1"/>
  <c r="FM146" i="7"/>
  <c r="FL144" i="7"/>
  <c r="FM141" i="7"/>
  <c r="FM132" i="7"/>
  <c r="FN201" i="7"/>
  <c r="FM207" i="7"/>
  <c r="FM208" i="7" s="1"/>
  <c r="FN175" i="7"/>
  <c r="FM153" i="7"/>
  <c r="FM154" i="7" s="1"/>
  <c r="FM156" i="7" s="1"/>
  <c r="FM158" i="7" s="1"/>
  <c r="FM179" i="7"/>
  <c r="FM189" i="7" s="1"/>
  <c r="FO122" i="7"/>
  <c r="FO124" i="7" s="1"/>
  <c r="FO127" i="7" s="1"/>
  <c r="FN124" i="7"/>
  <c r="FN127" i="7" s="1"/>
  <c r="FN156" i="7" l="1"/>
  <c r="FN158" i="7" s="1"/>
  <c r="FM209" i="7"/>
  <c r="FM219" i="7" s="1"/>
  <c r="FM240" i="7"/>
  <c r="FM148" i="7"/>
  <c r="FN146" i="7"/>
  <c r="FN153" i="7"/>
  <c r="FN154" i="7" s="1"/>
  <c r="FN179" i="7"/>
  <c r="FN189" i="7" s="1"/>
  <c r="FO175" i="7"/>
  <c r="FO201" i="7"/>
  <c r="FN132" i="7"/>
  <c r="FN207" i="7"/>
  <c r="FN208" i="7" s="1"/>
  <c r="FM134" i="7"/>
  <c r="FM142" i="7"/>
  <c r="FM144" i="7" s="1"/>
  <c r="FN142" i="7" l="1"/>
  <c r="FN144" i="7" s="1"/>
  <c r="FN145" i="7" s="1"/>
  <c r="FN134" i="7"/>
  <c r="FN209" i="7"/>
  <c r="FN219" i="7" s="1"/>
  <c r="FN240" i="7"/>
  <c r="FO146" i="7"/>
  <c r="FO148" i="7" s="1"/>
  <c r="FN148" i="7"/>
  <c r="FM236" i="7"/>
  <c r="FM241" i="7" s="1"/>
  <c r="FM237" i="7"/>
  <c r="FM135" i="7"/>
  <c r="FM138" i="7"/>
  <c r="FM238" i="7"/>
  <c r="FO207" i="7"/>
  <c r="FO208" i="7" s="1"/>
  <c r="FO132" i="7"/>
  <c r="FP122" i="7"/>
  <c r="FP124" i="7" s="1"/>
  <c r="FP127" i="7" s="1"/>
  <c r="FP175" i="7" s="1"/>
  <c r="FN155" i="7"/>
  <c r="FO156" i="7"/>
  <c r="FO158" i="7" s="1"/>
  <c r="FO153" i="7"/>
  <c r="FO154" i="7" s="1"/>
  <c r="FR152" i="7"/>
  <c r="FV152" i="7"/>
  <c r="FP152" i="7"/>
  <c r="FO179" i="7"/>
  <c r="FO189" i="7" s="1"/>
  <c r="FO209" i="7" l="1"/>
  <c r="FO219" i="7" s="1"/>
  <c r="FO240" i="7"/>
  <c r="FP201" i="7"/>
  <c r="FO155" i="7"/>
  <c r="FP179" i="7"/>
  <c r="FP189" i="7" s="1"/>
  <c r="FP153" i="7"/>
  <c r="FP154" i="7" s="1"/>
  <c r="FP156" i="7" s="1"/>
  <c r="FP158" i="7" s="1"/>
  <c r="FQ152" i="7"/>
  <c r="FO142" i="7"/>
  <c r="FO134" i="7"/>
  <c r="FN138" i="7"/>
  <c r="FN237" i="7"/>
  <c r="FN135" i="7"/>
  <c r="FN236" i="7"/>
  <c r="FN241" i="7" s="1"/>
  <c r="FN238" i="7"/>
  <c r="FP240" i="7" l="1"/>
  <c r="FP207" i="7"/>
  <c r="FP208" i="7" s="1"/>
  <c r="FP209" i="7" s="1"/>
  <c r="FP219" i="7" s="1"/>
  <c r="FP132" i="7"/>
  <c r="FQ122" i="7"/>
  <c r="FO238" i="7"/>
  <c r="FO138" i="7"/>
  <c r="FO237" i="7"/>
  <c r="FO236" i="7"/>
  <c r="FO241" i="7" s="1"/>
  <c r="FO135" i="7"/>
  <c r="FP146" i="7"/>
  <c r="FV141" i="7"/>
  <c r="FO144" i="7"/>
  <c r="FO145" i="7" s="1"/>
  <c r="FQ201" i="7" l="1"/>
  <c r="FQ124" i="7"/>
  <c r="FQ127" i="7" s="1"/>
  <c r="FQ175" i="7" s="1"/>
  <c r="FR122" i="7"/>
  <c r="FR124" i="7" s="1"/>
  <c r="FR127" i="7" s="1"/>
  <c r="FP142" i="7"/>
  <c r="FP134" i="7"/>
  <c r="FP148" i="7"/>
  <c r="FP135" i="7" l="1"/>
  <c r="FP138" i="7"/>
  <c r="FP236" i="7"/>
  <c r="FP241" i="7" s="1"/>
  <c r="FP238" i="7"/>
  <c r="FP237" i="7"/>
  <c r="FQ141" i="7"/>
  <c r="FP144" i="7"/>
  <c r="FQ146" i="7"/>
  <c r="FR175" i="7"/>
  <c r="FQ153" i="7"/>
  <c r="FQ154" i="7" s="1"/>
  <c r="FQ156" i="7" s="1"/>
  <c r="FQ158" i="7" s="1"/>
  <c r="FQ179" i="7"/>
  <c r="FQ189" i="7" s="1"/>
  <c r="FQ132" i="7"/>
  <c r="FQ207" i="7"/>
  <c r="FQ208" i="7" s="1"/>
  <c r="FR201" i="7"/>
  <c r="FR156" i="7" l="1"/>
  <c r="FR158" i="7" s="1"/>
  <c r="FR132" i="7"/>
  <c r="FR207" i="7"/>
  <c r="FR208" i="7" s="1"/>
  <c r="FS122" i="7"/>
  <c r="FS124" i="7" s="1"/>
  <c r="FS127" i="7" s="1"/>
  <c r="FS175" i="7" s="1"/>
  <c r="FQ134" i="7"/>
  <c r="FQ142" i="7"/>
  <c r="FQ144" i="7" s="1"/>
  <c r="FQ209" i="7"/>
  <c r="FQ219" i="7" s="1"/>
  <c r="FQ240" i="7"/>
  <c r="FS152" i="7"/>
  <c r="FR153" i="7"/>
  <c r="FR154" i="7" s="1"/>
  <c r="FR179" i="7"/>
  <c r="FR189" i="7" s="1"/>
  <c r="FU152" i="7"/>
  <c r="FQ148" i="7"/>
  <c r="FR146" i="7"/>
  <c r="FR148" i="7" s="1"/>
  <c r="FT152" i="7" l="1"/>
  <c r="FS153" i="7"/>
  <c r="FS154" i="7" s="1"/>
  <c r="FS156" i="7" s="1"/>
  <c r="FS158" i="7" s="1"/>
  <c r="FS179" i="7"/>
  <c r="FS189" i="7" s="1"/>
  <c r="FQ236" i="7"/>
  <c r="FQ241" i="7" s="1"/>
  <c r="FQ135" i="7"/>
  <c r="FQ238" i="7"/>
  <c r="FQ237" i="7"/>
  <c r="FQ138" i="7"/>
  <c r="FS201" i="7"/>
  <c r="FR134" i="7"/>
  <c r="FR142" i="7"/>
  <c r="FR209" i="7"/>
  <c r="FR219" i="7" s="1"/>
  <c r="FR240" i="7"/>
  <c r="FR155" i="7"/>
  <c r="FR144" i="7" l="1"/>
  <c r="FR145" i="7" s="1"/>
  <c r="FU141" i="7"/>
  <c r="FS146" i="7"/>
  <c r="FS141" i="7"/>
  <c r="FR135" i="7"/>
  <c r="FR236" i="7"/>
  <c r="FR241" i="7" s="1"/>
  <c r="FR138" i="7"/>
  <c r="FR238" i="7"/>
  <c r="FR237" i="7"/>
  <c r="FS240" i="7"/>
  <c r="FS132" i="7"/>
  <c r="FS207" i="7"/>
  <c r="FS208" i="7" s="1"/>
  <c r="FS209" i="7" s="1"/>
  <c r="FS219" i="7" s="1"/>
  <c r="FT122" i="7"/>
  <c r="FT201" i="7" l="1"/>
  <c r="FT124" i="7"/>
  <c r="FT127" i="7" s="1"/>
  <c r="FT175" i="7" s="1"/>
  <c r="FU122" i="7"/>
  <c r="FS134" i="7"/>
  <c r="FS142" i="7"/>
  <c r="FS148" i="7"/>
  <c r="FS144" i="7" l="1"/>
  <c r="FT141" i="7"/>
  <c r="FT146" i="7"/>
  <c r="FS237" i="7"/>
  <c r="FS238" i="7"/>
  <c r="FS135" i="7"/>
  <c r="FS138" i="7"/>
  <c r="FS236" i="7"/>
  <c r="FS241" i="7" s="1"/>
  <c r="FV122" i="7"/>
  <c r="FV124" i="7" s="1"/>
  <c r="FV127" i="7" s="1"/>
  <c r="FU124" i="7"/>
  <c r="FU127" i="7" s="1"/>
  <c r="FT179" i="7"/>
  <c r="FT189" i="7" s="1"/>
  <c r="FU175" i="7"/>
  <c r="FT153" i="7"/>
  <c r="FT154" i="7" s="1"/>
  <c r="FT156" i="7" s="1"/>
  <c r="FT158" i="7" s="1"/>
  <c r="FT132" i="7"/>
  <c r="FT207" i="7"/>
  <c r="FT208" i="7" s="1"/>
  <c r="FU201" i="7"/>
  <c r="FV201" i="7" l="1"/>
  <c r="FU132" i="7"/>
  <c r="FU207" i="7"/>
  <c r="FU208" i="7" s="1"/>
  <c r="FT142" i="7"/>
  <c r="FT144" i="7" s="1"/>
  <c r="FT134" i="7"/>
  <c r="FU156" i="7"/>
  <c r="FU158" i="7" s="1"/>
  <c r="FU153" i="7"/>
  <c r="FU154" i="7" s="1"/>
  <c r="FU179" i="7"/>
  <c r="FU189" i="7" s="1"/>
  <c r="FV175" i="7"/>
  <c r="FT209" i="7"/>
  <c r="FT219" i="7" s="1"/>
  <c r="FT240" i="7"/>
  <c r="FT148" i="7"/>
  <c r="FU146" i="7"/>
  <c r="FU148" i="7" l="1"/>
  <c r="FV146" i="7"/>
  <c r="FV148" i="7" s="1"/>
  <c r="FU155" i="7"/>
  <c r="FV156" i="7"/>
  <c r="FV158" i="7" s="1"/>
  <c r="FT138" i="7"/>
  <c r="FT236" i="7"/>
  <c r="FT241" i="7" s="1"/>
  <c r="FT237" i="7"/>
  <c r="FT135" i="7"/>
  <c r="FT238" i="7"/>
  <c r="FV153" i="7"/>
  <c r="FV154" i="7" s="1"/>
  <c r="FV179" i="7"/>
  <c r="FV189" i="7" s="1"/>
  <c r="FU142" i="7"/>
  <c r="FU144" i="7" s="1"/>
  <c r="FU145" i="7" s="1"/>
  <c r="FU134" i="7"/>
  <c r="FU209" i="7"/>
  <c r="FU219" i="7" s="1"/>
  <c r="FU240" i="7"/>
  <c r="FV207" i="7"/>
  <c r="FV208" i="7" s="1"/>
  <c r="FV132" i="7"/>
  <c r="FU236" i="7" l="1"/>
  <c r="FU241" i="7" s="1"/>
  <c r="FU138" i="7"/>
  <c r="FU135" i="7"/>
  <c r="FU237" i="7"/>
  <c r="FU238" i="7"/>
  <c r="FV134" i="7"/>
  <c r="FV142" i="7"/>
  <c r="FV144" i="7" s="1"/>
  <c r="FV145" i="7" s="1"/>
  <c r="FV209" i="7"/>
  <c r="FV219" i="7" s="1"/>
  <c r="FV240" i="7"/>
  <c r="FV155" i="7"/>
  <c r="FV237" i="7" l="1"/>
  <c r="FV236" i="7"/>
  <c r="FV241" i="7" s="1"/>
  <c r="FV135" i="7"/>
  <c r="FV138" i="7"/>
  <c r="FV238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Scott, Andrew (Research)</author>
  </authors>
  <commentList>
    <comment ref="C55" authorId="0" shapeId="0" xr:uid="{5E429370-0BF4-4147-9A52-FE85CEFAC556}">
      <text>
        <r>
          <rPr>
            <b/>
            <sz val="9"/>
            <color indexed="81"/>
            <rFont val="Tahoma"/>
            <family val="2"/>
          </rPr>
          <t>Scott, Andrew (Research):</t>
        </r>
        <r>
          <rPr>
            <sz val="9"/>
            <color indexed="81"/>
            <rFont val="Tahoma"/>
            <family val="2"/>
          </rPr>
          <t xml:space="preserve">
Modestly different to rest of universe as asbestos limits gearing capability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Michael, Joseph (Research)</author>
    <author>Sick, Julianna C (Research)</author>
    <author>Scott, Andrew (Research)</author>
    <author>Brewin Kwong</author>
    <author>Pritchard, David (Research)</author>
    <author>McAlister, Ella (Research)</author>
    <author>tc={13514C22-3F2C-4BBF-ADD3-872F21D2B566}</author>
    <author>tc={E3AC42FE-BC16-4BBA-B93B-043D0BE3E525}</author>
    <author>Andrew Scott</author>
    <author>tc={94454CE7-F34B-41B8-9ACE-8373C705D3B5}</author>
    <author>tc={61F6F3FB-7699-451A-9CB4-A310CEB38940}</author>
    <author>tc={DD832A57-275A-4F46-B382-DA3DC7007BD1}</author>
    <author>Shenoy, Dinesh (Research)</author>
    <author>Kljaic, Tahnee (Research)</author>
    <author>Poddar, Aman (Research)</author>
    <author>Kofi Mensa</author>
  </authors>
  <commentList>
    <comment ref="ET10" authorId="0" shapeId="0" xr:uid="{C570A9A8-EE78-4301-988F-0258BBBDA948}">
      <text>
        <r>
          <rPr>
            <b/>
            <sz val="9"/>
            <color indexed="81"/>
            <rFont val="Tahoma"/>
            <family val="2"/>
          </rPr>
          <t>Michael, Joseph (Research):</t>
        </r>
        <r>
          <rPr>
            <sz val="9"/>
            <color indexed="81"/>
            <rFont val="Tahoma"/>
            <family val="2"/>
          </rPr>
          <t xml:space="preserve">
FY26 Guidance US$2.675-2.850bn</t>
        </r>
      </text>
    </comment>
    <comment ref="ET14" authorId="0" shapeId="0" xr:uid="{1216C11C-556A-4FDF-9A71-522DCBA58F99}">
      <text>
        <r>
          <rPr>
            <b/>
            <sz val="9"/>
            <color indexed="81"/>
            <rFont val="Tahoma"/>
            <family val="2"/>
          </rPr>
          <t>Michael, Joseph (Research):</t>
        </r>
        <r>
          <rPr>
            <sz val="9"/>
            <color indexed="81"/>
            <rFont val="Tahoma"/>
            <family val="2"/>
          </rPr>
          <t xml:space="preserve">
FY26 Guidance US$775-800m</t>
        </r>
      </text>
    </comment>
    <comment ref="EM30" authorId="1" shapeId="0" xr:uid="{8D558912-7D5F-450B-AA56-4CB7A84DF9DA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US$210m</t>
        </r>
      </text>
    </comment>
    <comment ref="EJ36" authorId="1" shapeId="0" xr:uid="{AE6036FB-C0F3-41E3-B3DB-0E76C60E097E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262.1</t>
        </r>
      </text>
    </comment>
    <comment ref="ER36" authorId="1" shapeId="0" xr:uid="{F0F8A485-42BF-4507-9AC9-07D7CC9596C3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US$347m to US$378m</t>
        </r>
      </text>
    </comment>
    <comment ref="ET36" authorId="1" shapeId="0" xr:uid="{5C28D355-1337-4C77-80BC-0A495422E27A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US$1.232bn to US$1.263b</t>
        </r>
      </text>
    </comment>
    <comment ref="CT43" authorId="2" shapeId="0" xr:uid="{BE34E2C0-A705-44D8-B353-DE67787E0873}">
      <text>
        <r>
          <rPr>
            <b/>
            <sz val="9"/>
            <color indexed="81"/>
            <rFont val="Tahoma"/>
            <family val="2"/>
          </rPr>
          <t>Scott, Andrew (Research):</t>
        </r>
        <r>
          <rPr>
            <sz val="9"/>
            <color indexed="81"/>
            <rFont val="Tahoma"/>
            <family val="2"/>
          </rPr>
          <t xml:space="preserve">
Accelrating with Feramcell
</t>
        </r>
      </text>
    </comment>
    <comment ref="EN43" authorId="1" shapeId="0" xr:uid="{5673F6F9-550E-47EE-85E5-BA5886C17E82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Combined into general corporate line</t>
        </r>
      </text>
    </comment>
    <comment ref="Q44" authorId="3" shapeId="0" xr:uid="{2C8EC914-EF76-4E73-9FF8-19490E4E811D}">
      <text>
        <r>
          <rPr>
            <sz val="8"/>
            <color indexed="81"/>
            <rFont val="Tahoma"/>
            <family val="2"/>
          </rPr>
          <t xml:space="preserve">
incorporated 'Other' and 'General Corporate' from here back</t>
        </r>
      </text>
    </comment>
    <comment ref="EN44" authorId="1" shapeId="0" xr:uid="{1C87167B-B29D-4DCA-9A89-A73A59A35E68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General Corporate and Unallocated R&amp;D costs</t>
        </r>
      </text>
    </comment>
    <comment ref="EJ48" authorId="1" shapeId="0" xr:uid="{E92E6A99-9AA4-4695-9EA1-686F8FD6AF2A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207.0</t>
        </r>
      </text>
    </comment>
    <comment ref="EO48" authorId="1" shapeId="0" xr:uid="{5CDA263C-0F43-420B-B407-B5623A2CC959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251.8
</t>
        </r>
      </text>
    </comment>
    <comment ref="EH53" authorId="1" shapeId="0" xr:uid="{4BAFABB2-91CB-4462-A8E6-808790CA6944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backed out adjustments from total AICF adj and sg&amp;a</t>
        </r>
      </text>
    </comment>
    <comment ref="CR55" authorId="4" shapeId="0" xr:uid="{C7786A33-2748-4830-BE7A-71853EE1514A}">
      <text>
        <r>
          <rPr>
            <b/>
            <sz val="9"/>
            <color indexed="81"/>
            <rFont val="Tahoma"/>
            <family val="2"/>
          </rPr>
          <t>Pritchard, David (Research):</t>
        </r>
        <r>
          <rPr>
            <sz val="9"/>
            <color indexed="81"/>
            <rFont val="Tahoma"/>
            <family val="2"/>
          </rPr>
          <t xml:space="preserve">
Product line discontinuation</t>
        </r>
      </text>
    </comment>
    <comment ref="EM55" authorId="1" shapeId="0" xr:uid="{B71CE99C-372A-4D7D-823B-0BF5EE07D30D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Includes US$16.5m of merger costs</t>
        </r>
      </text>
    </comment>
    <comment ref="DE56" authorId="5" shapeId="0" xr:uid="{DBF8C78B-1B64-41C3-B02C-4A9CDF137A47}">
      <text>
        <r>
          <rPr>
            <b/>
            <sz val="9"/>
            <color indexed="81"/>
            <rFont val="Tahoma"/>
            <family val="2"/>
          </rPr>
          <t>McAlister, Ella (Research):</t>
        </r>
        <r>
          <rPr>
            <sz val="9"/>
            <color indexed="81"/>
            <rFont val="Tahoma"/>
            <family val="2"/>
          </rPr>
          <t xml:space="preserve">
severance costs</t>
        </r>
      </text>
    </comment>
    <comment ref="EO56" authorId="1" shapeId="0" xr:uid="{857AA570-F8B0-4A4E-8C51-53E1679887A0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130.3 acquisition related expenses and 15.8m R&amp;D expense</t>
        </r>
      </text>
    </comment>
    <comment ref="EH57" authorId="1" shapeId="0" xr:uid="{2A2104A3-6A55-47EC-A8E1-BDA41902323A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152.3</t>
        </r>
      </text>
    </comment>
    <comment ref="EJ57" authorId="1" shapeId="0" xr:uid="{7025A5E9-559E-4A06-936D-6E89E13D8FCA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206.1</t>
        </r>
      </text>
    </comment>
    <comment ref="EO57" authorId="1" shapeId="0" xr:uid="{71CBACFB-3E91-42B2-BB91-DE3C8931FDA6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24</t>
        </r>
      </text>
    </comment>
    <comment ref="EP57" authorId="1" shapeId="0" xr:uid="{C8CE6B4D-9607-43E4-9907-44D667D15D64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162.6</t>
        </r>
      </text>
    </comment>
    <comment ref="EM60" authorId="1" shapeId="0" xr:uid="{66D64D1F-5545-4443-B210-21CC2F3F1FF9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includes US$0.8m interest expense related to bridge commitment</t>
        </r>
      </text>
    </comment>
    <comment ref="EA64" authorId="2" shapeId="0" xr:uid="{D77D4E12-6AC7-4560-8BB7-4B4F80243395}">
      <text>
        <r>
          <rPr>
            <b/>
            <sz val="9"/>
            <color indexed="81"/>
            <rFont val="Tahoma"/>
            <family val="2"/>
          </rPr>
          <t>Scott, Andrew (Research):</t>
        </r>
        <r>
          <rPr>
            <sz val="9"/>
            <color indexed="81"/>
            <rFont val="Tahoma"/>
            <family val="2"/>
          </rPr>
          <t xml:space="preserve">
Capitalised interest
</t>
        </r>
      </text>
    </comment>
    <comment ref="EO65" authorId="1" shapeId="0" xr:uid="{674BDAA8-BBD7-493F-BB2C-88435DDD4408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67.8</t>
        </r>
      </text>
    </comment>
    <comment ref="DS67" authorId="1" shapeId="0" xr:uid="{77E9859D-1898-4F5B-A097-E58C2B2D58A2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H67" authorId="1" shapeId="0" xr:uid="{9E4BA8D6-3748-4325-A221-57386E8F46C1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206.3</t>
        </r>
      </text>
    </comment>
    <comment ref="EN67" authorId="1" shapeId="0" xr:uid="{28043E98-4558-4F51-A3C0-B71CE8F7EB0B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164</t>
        </r>
      </text>
    </comment>
    <comment ref="EC72" authorId="6" shapeId="0" xr:uid="{13514C22-3F2C-4BBF-ADD3-872F21D2B566}">
      <text>
        <t>[Threaded comment]
Your version of Excel allows you to read this threaded comment; however, any edits to it will get removed if the file is opened in a newer version of Excel. Learn more: https://go.microsoft.com/fwlink/?linkid=870924
Comment:
    179.9</t>
      </text>
    </comment>
    <comment ref="EN72" authorId="7" shapeId="0" xr:uid="{E3AC42FE-BC16-4BBA-B93B-043D0BE3E525}">
      <text>
        <t>[Threaded comment]
Your version of Excel allows you to read this threaded comment; however, any edits to it will get removed if the file is opened in a newer version of Excel. Learn more: https://go.microsoft.com/fwlink/?linkid=870924
Comment:
    126.9</t>
      </text>
    </comment>
    <comment ref="Q73" authorId="8" shapeId="0" xr:uid="{902DD887-6177-4990-9CBE-6FF30925EF3F}">
      <text>
        <r>
          <rPr>
            <b/>
            <sz val="8"/>
            <color indexed="81"/>
            <rFont val="Tahoma"/>
            <family val="2"/>
          </rPr>
          <t>Andrew Scott:</t>
        </r>
        <r>
          <rPr>
            <sz val="8"/>
            <color indexed="81"/>
            <rFont val="Tahoma"/>
            <family val="2"/>
          </rPr>
          <t xml:space="preserve">
Each of the quarters for this year are correct  as shown in the 08 qtrly accounts but the full year does not match</t>
        </r>
      </text>
    </comment>
    <comment ref="EH76" authorId="1" shapeId="0" xr:uid="{C49FA1BB-A0EB-4618-B6A0-9524E7B51555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US$135m-155m</t>
        </r>
      </text>
    </comment>
    <comment ref="EN76" authorId="1" shapeId="0" xr:uid="{A08E9B12-6E8F-46C5-9288-AB4821365EDC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126.9</t>
        </r>
      </text>
    </comment>
    <comment ref="EO76" authorId="1" shapeId="0" xr:uid="{02169B6D-F1DD-4AD0-98BE-5EF38490194D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154</t>
        </r>
      </text>
    </comment>
    <comment ref="EA77" authorId="9" shapeId="0" xr:uid="{94454CE7-F34B-41B8-9ACE-8373C705D3B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Includes 20.1m asset impairment</t>
      </text>
    </comment>
    <comment ref="Q79" authorId="3" shapeId="0" xr:uid="{F544622E-39E9-422E-9ABA-A666F77FB9B1}">
      <text>
        <r>
          <rPr>
            <sz val="8"/>
            <color indexed="81"/>
            <rFont val="Tahoma"/>
            <family val="2"/>
          </rPr>
          <t xml:space="preserve">
does not match with accounts</t>
        </r>
      </text>
    </comment>
    <comment ref="ED96" authorId="10" shapeId="0" xr:uid="{61F6F3FB-7699-451A-9CB4-A310CEB38940}">
      <text>
        <t>[Threaded comment]
Your version of Excel allows you to read this threaded comment; however, any edits to it will get removed if the file is opened in a newer version of Excel. Learn more: https://go.microsoft.com/fwlink/?linkid=870924
Comment:
    +120bps increase in tax rate. US$3m drag on NPAT</t>
      </text>
    </comment>
    <comment ref="EF96" authorId="11" shapeId="0" xr:uid="{DD832A57-275A-4F46-B382-DA3DC7007BD1}">
      <text>
        <t>[Threaded comment]
Your version of Excel allows you to read this threaded comment; however, any edits to it will get removed if the file is opened in a newer version of Excel. Learn more: https://go.microsoft.com/fwlink/?linkid=870924
Comment:
    Guidance FY24 tax rate 23.4%</t>
      </text>
    </comment>
    <comment ref="EM99" authorId="1" shapeId="0" xr:uid="{E9191C27-8126-4D2B-AA96-FF4697F1B7BF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24%</t>
        </r>
      </text>
    </comment>
    <comment ref="EH108" authorId="1" shapeId="0" xr:uid="{3CB24B43-8BE3-4713-9908-917F78AF0632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will contribute A$149.6m for FY25. Converted at 0.63 exchange rate</t>
        </r>
      </text>
    </comment>
    <comment ref="ET108" authorId="1" shapeId="0" xr:uid="{BC484AD9-BAFD-406E-9AF5-62122567700D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Company will contribute A$193.6m to AICF. Assume .65 spot fx rate
</t>
        </r>
      </text>
    </comment>
    <comment ref="CG112" authorId="12" shapeId="0" xr:uid="{74CFEB75-CA50-4B12-A67C-9DEE39DD93B1}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As per Page 25 of 20174Q Management Presentation</t>
        </r>
      </text>
    </comment>
    <comment ref="CQ112" authorId="13" shapeId="0" xr:uid="{ADBFDCC4-22D8-44FD-89EF-1AE1BF05179A}">
      <text>
        <r>
          <rPr>
            <b/>
            <sz val="9"/>
            <color indexed="81"/>
            <rFont val="Tahoma"/>
            <family val="2"/>
          </rPr>
          <t>Kljaic, Tahnee (Research):</t>
        </r>
        <r>
          <rPr>
            <sz val="9"/>
            <color indexed="81"/>
            <rFont val="Tahoma"/>
            <family val="2"/>
          </rPr>
          <t xml:space="preserve">
From presentation</t>
        </r>
      </text>
    </comment>
    <comment ref="FA113" authorId="1" shapeId="0" xr:uid="{740BBE81-F921-4597-AECE-D7F5D2C74EAB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anticipate US$1.6-1.8bn over the next 5 years for expansion projects (i.e. FY23-27), reiterated spend at 3Q23 result but pushed out timeline</t>
        </r>
      </text>
    </comment>
    <comment ref="EM114" authorId="1" shapeId="0" xr:uid="{E2D01DD5-738D-4903-8771-1C6A7649CC34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FY25 guidance capex US$420m</t>
        </r>
      </text>
    </comment>
    <comment ref="ET114" authorId="1" shapeId="0" xr:uid="{37929E90-4357-4024-96E8-261391201927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US$400m</t>
        </r>
      </text>
    </comment>
    <comment ref="DU116" authorId="1" shapeId="0" xr:uid="{0528668F-E15A-4A21-A2AE-29906100CBBA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Gain on sale of land</t>
        </r>
      </text>
    </comment>
    <comment ref="DV121" authorId="14" shapeId="0" xr:uid="{6E9DAAF2-DB65-4941-8ED2-890683DCBA8B}">
      <text>
        <r>
          <rPr>
            <b/>
            <sz val="9"/>
            <color indexed="81"/>
            <rFont val="Tahoma"/>
            <family val="2"/>
          </rPr>
          <t>Poddar, Aman (Research):</t>
        </r>
        <r>
          <rPr>
            <sz val="9"/>
            <color indexed="81"/>
            <rFont val="Tahoma"/>
            <family val="2"/>
          </rPr>
          <t xml:space="preserve">
$31.2 share repurchase</t>
        </r>
      </text>
    </comment>
    <comment ref="X123" authorId="3" shapeId="0" xr:uid="{AF88DD92-8D0A-4A36-A68B-FD95DD19563C}">
      <text>
        <r>
          <rPr>
            <sz val="9"/>
            <color indexed="81"/>
            <rFont val="Tahoma"/>
            <family val="2"/>
          </rPr>
          <t xml:space="preserve">
Treasury stock purchased</t>
        </r>
      </text>
    </comment>
    <comment ref="DT181" authorId="1" shapeId="0" xr:uid="{10948A4B-99B3-4EA5-BF9E-32DEC6662556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Restricted long-term investments - Asbestos</t>
        </r>
      </text>
    </comment>
    <comment ref="DV181" authorId="1" shapeId="0" xr:uid="{485DAAD5-199C-4237-8C40-FC527E798C40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Restricted long term investment - asbestos
</t>
        </r>
      </text>
    </comment>
    <comment ref="J204" authorId="3" shapeId="0" xr:uid="{D4FDB533-AD59-47E8-80A3-58580093D8AB}">
      <text>
        <r>
          <rPr>
            <sz val="8"/>
            <color indexed="81"/>
            <rFont val="Tahoma"/>
            <family val="2"/>
          </rPr>
          <t xml:space="preserve">
Known as 'Asbestos provision' in accounts</t>
        </r>
      </text>
    </comment>
    <comment ref="J213" authorId="3" shapeId="0" xr:uid="{2396673E-086A-44C7-92C8-86F82892F129}">
      <text>
        <r>
          <rPr>
            <sz val="8"/>
            <color indexed="81"/>
            <rFont val="Tahoma"/>
            <family val="2"/>
          </rPr>
          <t xml:space="preserve">
$507m loss due to asbestos provision</t>
        </r>
      </text>
    </comment>
    <comment ref="J215" authorId="3" shapeId="0" xr:uid="{75DA1034-2D9A-4CB5-A18F-A0051989E4CC}">
      <text>
        <r>
          <rPr>
            <sz val="8"/>
            <color indexed="81"/>
            <rFont val="Tahoma"/>
            <family val="2"/>
          </rPr>
          <t xml:space="preserve">
includes 'Employee loans'</t>
        </r>
      </text>
    </comment>
    <comment ref="CD247" authorId="15" shapeId="0" xr:uid="{26BBAA90-2ED8-4BBC-AF33-3955CDDA2571}">
      <text>
        <r>
          <rPr>
            <sz val="9"/>
            <color indexed="81"/>
            <rFont val="Tahoma"/>
            <family val="2"/>
          </rPr>
          <t>Assume US$100m (A$130-140m) bought back at A$20ps (US$14.3ps) over 3qts. Approx 14m shares</t>
        </r>
      </text>
    </comment>
    <comment ref="X253" authorId="3" shapeId="0" xr:uid="{E903F66A-DF7A-4541-BA50-4222A085F729}">
      <text>
        <r>
          <rPr>
            <sz val="8"/>
            <color indexed="81"/>
            <rFont val="Tahoma"/>
            <family val="2"/>
          </rPr>
          <t xml:space="preserve">
Share Repurchase program. Commenced in 15/8/07 and ceased on 31/3/08</t>
        </r>
      </text>
    </comment>
    <comment ref="EN253" authorId="1" shapeId="0" xr:uid="{6FDDD089-6545-479A-A659-1B7C4281C95B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outstanding Azek shares * conversion factor</t>
        </r>
      </text>
    </comment>
    <comment ref="A254" authorId="1" shapeId="0" xr:uid="{3D9FC15D-51DF-4F99-9502-291304E7A62E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Assume buybackback price
</t>
        </r>
      </text>
    </comment>
    <comment ref="X254" authorId="3" shapeId="0" xr:uid="{2B8E9359-4248-4AFF-ABA8-CFAF9AD20604}">
      <text>
        <r>
          <rPr>
            <b/>
            <sz val="8"/>
            <color indexed="81"/>
            <rFont val="Tahoma"/>
            <family val="2"/>
          </rPr>
          <t>Brewin Kwong:</t>
        </r>
        <r>
          <rPr>
            <sz val="8"/>
            <color indexed="81"/>
            <rFont val="Tahoma"/>
            <family val="2"/>
          </rPr>
          <t xml:space="preserve">
average purchase price</t>
        </r>
      </text>
    </comment>
    <comment ref="EO261" authorId="1" shapeId="0" xr:uid="{6420F08F-3FC3-481F-BAE1-30D161FA2815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~US$0.26-27cps</t>
        </r>
      </text>
    </comment>
    <comment ref="ET261" authorId="1" shapeId="0" xr:uid="{D5E28780-C591-4EF6-9C5A-B6B32D2261CA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US$0.75 to US$0.85</t>
        </r>
      </text>
    </comment>
  </commentList>
</comments>
</file>

<file path=xl/sharedStrings.xml><?xml version="1.0" encoding="utf-8"?>
<sst xmlns="http://schemas.openxmlformats.org/spreadsheetml/2006/main" count="1748" uniqueCount="1106">
  <si>
    <t>Model Sections</t>
  </si>
  <si>
    <t>Description</t>
  </si>
  <si>
    <t>Now</t>
  </si>
  <si>
    <t>Income Statement (US$m)</t>
  </si>
  <si>
    <t>FY16A</t>
  </si>
  <si>
    <t>FY17A</t>
  </si>
  <si>
    <t>FY18A</t>
  </si>
  <si>
    <t>FY19A</t>
  </si>
  <si>
    <t>FY20A</t>
  </si>
  <si>
    <t>FY21A</t>
  </si>
  <si>
    <t>FY22A</t>
  </si>
  <si>
    <t>Projected Return and Rating</t>
  </si>
  <si>
    <t>A$ per share</t>
  </si>
  <si>
    <t>Last close</t>
  </si>
  <si>
    <t>Revenue</t>
  </si>
  <si>
    <t>Price target</t>
  </si>
  <si>
    <t>EBITDA</t>
  </si>
  <si>
    <t xml:space="preserve">Price target </t>
  </si>
  <si>
    <t>AUDUSD</t>
  </si>
  <si>
    <t>Depreciation &amp; Amortisation</t>
  </si>
  <si>
    <t>Implied upside to target price</t>
  </si>
  <si>
    <t>Model checks</t>
  </si>
  <si>
    <t>EBIT</t>
  </si>
  <si>
    <t>Net interest expense</t>
  </si>
  <si>
    <t>Shares on issue (m)</t>
  </si>
  <si>
    <t>Pre-tax profit</t>
  </si>
  <si>
    <t>JHX Market Cap (A$m)</t>
  </si>
  <si>
    <t>Tax expense</t>
  </si>
  <si>
    <t>Minorities</t>
  </si>
  <si>
    <t>AUD/USD exchange rate</t>
  </si>
  <si>
    <t>NPAT Adjusted</t>
  </si>
  <si>
    <t>EPS Adjusted (cps)</t>
  </si>
  <si>
    <t>Valuation Summary</t>
  </si>
  <si>
    <t>Significant Items after tax</t>
  </si>
  <si>
    <t>DCF</t>
  </si>
  <si>
    <t>Reported net profit</t>
  </si>
  <si>
    <t>PE relative valuation</t>
  </si>
  <si>
    <t>Reported EPS (cps)</t>
  </si>
  <si>
    <t>DPS incl specials (cps)</t>
  </si>
  <si>
    <t>Franking (%)</t>
  </si>
  <si>
    <t>Trading Multiples (x)</t>
  </si>
  <si>
    <t>PE</t>
  </si>
  <si>
    <t>Operating EBITDA</t>
  </si>
  <si>
    <t>EV/EBIT</t>
  </si>
  <si>
    <t>Net interest paid</t>
  </si>
  <si>
    <t>EV/EBITDA</t>
  </si>
  <si>
    <t>Tax paid</t>
  </si>
  <si>
    <t>Working capital</t>
  </si>
  <si>
    <t>Key Earnings Ratios</t>
  </si>
  <si>
    <t>Other</t>
  </si>
  <si>
    <t>Revenue growth</t>
  </si>
  <si>
    <t>Operating cash flows</t>
  </si>
  <si>
    <t>EPS growth (adjusted)</t>
  </si>
  <si>
    <t>Capex - Maintenance</t>
  </si>
  <si>
    <t>Free cash flow yield</t>
  </si>
  <si>
    <t>Capex - Expansionary</t>
  </si>
  <si>
    <t>Special dividend yield</t>
  </si>
  <si>
    <t>Investing cash flows</t>
  </si>
  <si>
    <t>Total dividend yield</t>
  </si>
  <si>
    <t>Payout ratio (incl. special)</t>
  </si>
  <si>
    <t>Equity raised / (repurchased)</t>
  </si>
  <si>
    <t>Effective tax rate</t>
  </si>
  <si>
    <t>Net borrowings / (repaid)</t>
  </si>
  <si>
    <t>Balance Sheet Debt Metrics</t>
  </si>
  <si>
    <t>Financing cash flows</t>
  </si>
  <si>
    <t>Net debt</t>
  </si>
  <si>
    <t>FX adjustments on cash</t>
  </si>
  <si>
    <t>Gearing (ND/ND+E)</t>
  </si>
  <si>
    <t>Net cash flows</t>
  </si>
  <si>
    <t>EBIT interest cover</t>
  </si>
  <si>
    <t>ND/EBITDA</t>
  </si>
  <si>
    <t>Balance Sheet (US$m)</t>
  </si>
  <si>
    <t>Cash</t>
  </si>
  <si>
    <t>Return Metrics</t>
  </si>
  <si>
    <t>Receivables</t>
  </si>
  <si>
    <t>Return on Assets</t>
  </si>
  <si>
    <t>Inventories</t>
  </si>
  <si>
    <t>Key Assumptions</t>
  </si>
  <si>
    <t>AU housing starts</t>
  </si>
  <si>
    <t>Insurance receivable - asbestos</t>
  </si>
  <si>
    <t>AU housing starts % ch</t>
  </si>
  <si>
    <t>Workers comp - asbestos</t>
  </si>
  <si>
    <t>Fixed assets (P,P&amp;E)</t>
  </si>
  <si>
    <t>Deferred income tax</t>
  </si>
  <si>
    <t>NZ housing starts</t>
  </si>
  <si>
    <t>NZ housing starts % ch</t>
  </si>
  <si>
    <t>Total assets</t>
  </si>
  <si>
    <t>US single family housing starts ('000)</t>
  </si>
  <si>
    <t>Accounts payable</t>
  </si>
  <si>
    <t>US SF housing starts % ch</t>
  </si>
  <si>
    <t>Financial debt - S/T</t>
  </si>
  <si>
    <t>Provisions</t>
  </si>
  <si>
    <t>Current tax liabilities</t>
  </si>
  <si>
    <t>Asbestos liability</t>
  </si>
  <si>
    <t>Financial debt - L/T</t>
  </si>
  <si>
    <t>Provisions (non-tax)</t>
  </si>
  <si>
    <t>Provisions - deferred tax</t>
  </si>
  <si>
    <t>Research &amp; Development</t>
  </si>
  <si>
    <t>Other Businesses</t>
  </si>
  <si>
    <t>Total liabilities</t>
  </si>
  <si>
    <t>Net Assets</t>
  </si>
  <si>
    <t>Issued capital</t>
  </si>
  <si>
    <t>Additional paid in capital</t>
  </si>
  <si>
    <t>Retained (deficit) earnings</t>
  </si>
  <si>
    <t>Accumulated other income</t>
  </si>
  <si>
    <t>Total shareholder funds</t>
  </si>
  <si>
    <t>Ratio Analysis (%)</t>
  </si>
  <si>
    <t>2013F</t>
  </si>
  <si>
    <t>EBIT margin</t>
  </si>
  <si>
    <t>EBITDA Margin</t>
  </si>
  <si>
    <t>EBIT Margin</t>
  </si>
  <si>
    <t>Capex/depreciation (x)</t>
  </si>
  <si>
    <t>EBIT (US$m)</t>
  </si>
  <si>
    <t>EBIT growth</t>
  </si>
  <si>
    <t>NPAT Adj (US$m)</t>
  </si>
  <si>
    <t>NPAT Adj growth</t>
  </si>
  <si>
    <t>EPS Adj (US cps)</t>
  </si>
  <si>
    <t>AUD/USD</t>
  </si>
  <si>
    <t>Profit margin</t>
  </si>
  <si>
    <t>(US$m)</t>
  </si>
  <si>
    <t>USA</t>
  </si>
  <si>
    <t>% change</t>
  </si>
  <si>
    <t>Australia</t>
  </si>
  <si>
    <t>Divisional sales</t>
  </si>
  <si>
    <t>Group adjusted EBIT incl associates</t>
  </si>
  <si>
    <t>% margin</t>
  </si>
  <si>
    <t>Total EBIT Adj incl associates</t>
  </si>
  <si>
    <t>Net interest</t>
  </si>
  <si>
    <t>Tax</t>
  </si>
  <si>
    <t>NPAT Adj</t>
  </si>
  <si>
    <t>Dividend yield</t>
  </si>
  <si>
    <t>JHX Valuation</t>
  </si>
  <si>
    <t>P/E</t>
  </si>
  <si>
    <t>Ex-asbestos</t>
  </si>
  <si>
    <t>Asbestos as debt</t>
  </si>
  <si>
    <t>Method</t>
  </si>
  <si>
    <t xml:space="preserve">Weight </t>
  </si>
  <si>
    <t>Value A$</t>
  </si>
  <si>
    <t>FY23</t>
  </si>
  <si>
    <t>FY24</t>
  </si>
  <si>
    <t>FY22</t>
  </si>
  <si>
    <t>PE Relative</t>
  </si>
  <si>
    <t>Average</t>
  </si>
  <si>
    <t>Appropriate discount</t>
  </si>
  <si>
    <t>Valuation</t>
  </si>
  <si>
    <t>vs. current share px</t>
  </si>
  <si>
    <t>Current</t>
  </si>
  <si>
    <t>Prior</t>
  </si>
  <si>
    <t>% Change</t>
  </si>
  <si>
    <t>Discount</t>
  </si>
  <si>
    <t>Price Target</t>
  </si>
  <si>
    <t>Bull case</t>
  </si>
  <si>
    <t>Bear case</t>
  </si>
  <si>
    <t>JHX</t>
  </si>
  <si>
    <t>Inputs</t>
  </si>
  <si>
    <t>FY24e</t>
  </si>
  <si>
    <t>Index multiple - YE June</t>
  </si>
  <si>
    <t>Output</t>
  </si>
  <si>
    <t>EPS (US$ cents)</t>
  </si>
  <si>
    <t>Index multiple</t>
  </si>
  <si>
    <t>Premium (discount) - 5 year average</t>
  </si>
  <si>
    <t>Applied multiple</t>
  </si>
  <si>
    <t>Implied share price</t>
  </si>
  <si>
    <t>Valuation A$</t>
  </si>
  <si>
    <t>Cashflow Timing Calculation</t>
  </si>
  <si>
    <t>"Current Date"</t>
  </si>
  <si>
    <t>Last Balance Date</t>
  </si>
  <si>
    <t>Next Balance Date</t>
  </si>
  <si>
    <t>Time to Run</t>
  </si>
  <si>
    <t>USD/AUD</t>
  </si>
  <si>
    <t>WACC inputs</t>
  </si>
  <si>
    <t>Share price</t>
  </si>
  <si>
    <t>Shares on issue</t>
  </si>
  <si>
    <t>Market cap</t>
  </si>
  <si>
    <t>EV</t>
  </si>
  <si>
    <t>Long term growth rate</t>
  </si>
  <si>
    <t>Target Gearing Ratio</t>
  </si>
  <si>
    <t>(1-Target gearing ratio)</t>
  </si>
  <si>
    <t>1-Corp tax rate</t>
  </si>
  <si>
    <t>Debt/Equity ratio</t>
  </si>
  <si>
    <t>Equity beta</t>
  </si>
  <si>
    <t>Cost of debt</t>
  </si>
  <si>
    <t>Cost of equity</t>
  </si>
  <si>
    <t>Proportional cost of equity for wacc</t>
  </si>
  <si>
    <t>Tax Rate</t>
  </si>
  <si>
    <t>RF rate</t>
  </si>
  <si>
    <t>Debt premium</t>
  </si>
  <si>
    <t>MRP</t>
  </si>
  <si>
    <t>WACC</t>
  </si>
  <si>
    <t>DCF Operating Cash Flows</t>
  </si>
  <si>
    <t>2026F</t>
  </si>
  <si>
    <t>2027F</t>
  </si>
  <si>
    <t>2028F</t>
  </si>
  <si>
    <t>2029F</t>
  </si>
  <si>
    <t>2030F</t>
  </si>
  <si>
    <t>Terminal</t>
  </si>
  <si>
    <t>Tax rate (pre tax losses)</t>
  </si>
  <si>
    <t>Standard tax paid</t>
  </si>
  <si>
    <t>D&amp;A</t>
  </si>
  <si>
    <t>Incr in Working Capital</t>
  </si>
  <si>
    <t>Total Capex</t>
  </si>
  <si>
    <t>Standard Free Cashflow (US$)</t>
  </si>
  <si>
    <t>FCF Timing Factor</t>
  </si>
  <si>
    <t>Discount Factor</t>
  </si>
  <si>
    <t>Discounted FCF (US$)</t>
  </si>
  <si>
    <t>Terminal value (US$)</t>
  </si>
  <si>
    <t>Standard Free Cashflow (A$)</t>
  </si>
  <si>
    <t>Discounted FCF (A$)</t>
  </si>
  <si>
    <t>Terminal value (A$)</t>
  </si>
  <si>
    <t>US$ Valuation</t>
  </si>
  <si>
    <t>$m</t>
  </si>
  <si>
    <t>$ps</t>
  </si>
  <si>
    <t>Explicit Cashflows</t>
  </si>
  <si>
    <t>Terminal Item</t>
  </si>
  <si>
    <t>Post Corp Tax CF Value</t>
  </si>
  <si>
    <t>Total Asset Value</t>
  </si>
  <si>
    <t>Less: Net Debt</t>
  </si>
  <si>
    <t>Less: Asbestos liability</t>
  </si>
  <si>
    <t>Total liabilites</t>
  </si>
  <si>
    <t>Equity Value US$</t>
  </si>
  <si>
    <t>Per Share Value A$</t>
  </si>
  <si>
    <t>No Shares</t>
  </si>
  <si>
    <t>A$ Valuation</t>
  </si>
  <si>
    <t>Equity Value A$</t>
  </si>
  <si>
    <t>VALUATION SUMMARY</t>
  </si>
  <si>
    <t xml:space="preserve"> </t>
  </si>
  <si>
    <t>US$m</t>
  </si>
  <si>
    <t>General Corporate</t>
  </si>
  <si>
    <t>Inventory - closing</t>
  </si>
  <si>
    <t>Debtors - closing</t>
  </si>
  <si>
    <t>FY16</t>
  </si>
  <si>
    <t>Year Ending March 31</t>
  </si>
  <si>
    <t>Currency</t>
  </si>
  <si>
    <t>James Hardie</t>
  </si>
  <si>
    <t>&lt;-- Run cash balancer</t>
  </si>
  <si>
    <t>1Q06</t>
  </si>
  <si>
    <t>2Q06</t>
  </si>
  <si>
    <t>1H06</t>
  </si>
  <si>
    <t>3Q06</t>
  </si>
  <si>
    <t>4Q06</t>
  </si>
  <si>
    <t>2H06</t>
  </si>
  <si>
    <t>FY06</t>
  </si>
  <si>
    <t>1Q07</t>
  </si>
  <si>
    <t>2Q07</t>
  </si>
  <si>
    <t>1H07</t>
  </si>
  <si>
    <t>3Q07</t>
  </si>
  <si>
    <t>4Q07</t>
  </si>
  <si>
    <t>2H07</t>
  </si>
  <si>
    <t>FY07</t>
  </si>
  <si>
    <t>1Q08</t>
  </si>
  <si>
    <t>2Q08</t>
  </si>
  <si>
    <t>1H08</t>
  </si>
  <si>
    <t>3Q08</t>
  </si>
  <si>
    <t>4Q08</t>
  </si>
  <si>
    <t>2H08</t>
  </si>
  <si>
    <t>FY08</t>
  </si>
  <si>
    <t>1Q09</t>
  </si>
  <si>
    <t>2Q09</t>
  </si>
  <si>
    <t>1H09</t>
  </si>
  <si>
    <t>3Q09</t>
  </si>
  <si>
    <t>4Q09</t>
  </si>
  <si>
    <t>2H09</t>
  </si>
  <si>
    <t>FY09</t>
  </si>
  <si>
    <t>1Q10</t>
  </si>
  <si>
    <t>2Q10</t>
  </si>
  <si>
    <t>1H10</t>
  </si>
  <si>
    <t>3Q10</t>
  </si>
  <si>
    <t>4Q10</t>
  </si>
  <si>
    <t>2H10</t>
  </si>
  <si>
    <t>FY10</t>
  </si>
  <si>
    <t>1Q11</t>
  </si>
  <si>
    <t>2Q11</t>
  </si>
  <si>
    <t>1H11</t>
  </si>
  <si>
    <t>3Q11</t>
  </si>
  <si>
    <t>4Q11</t>
  </si>
  <si>
    <t>2H11</t>
  </si>
  <si>
    <t>FY11</t>
  </si>
  <si>
    <t>1Q12</t>
  </si>
  <si>
    <t>2Q12</t>
  </si>
  <si>
    <t>1H12</t>
  </si>
  <si>
    <t>3Q12</t>
  </si>
  <si>
    <t>4Q12</t>
  </si>
  <si>
    <t>2H12</t>
  </si>
  <si>
    <t>FY12</t>
  </si>
  <si>
    <t>1Q13</t>
  </si>
  <si>
    <t>2Q13</t>
  </si>
  <si>
    <t>1H13</t>
  </si>
  <si>
    <t>3Q13</t>
  </si>
  <si>
    <t>4Q13</t>
  </si>
  <si>
    <t>2H13</t>
  </si>
  <si>
    <t>FY13</t>
  </si>
  <si>
    <t>1Q14</t>
  </si>
  <si>
    <t>2Q14</t>
  </si>
  <si>
    <t>1H14</t>
  </si>
  <si>
    <t>3Q14</t>
  </si>
  <si>
    <t>4Q14</t>
  </si>
  <si>
    <t>2H14</t>
  </si>
  <si>
    <t>FY14</t>
  </si>
  <si>
    <t>1Q15</t>
  </si>
  <si>
    <t>2Q15</t>
  </si>
  <si>
    <t>1H15</t>
  </si>
  <si>
    <t>3Q15</t>
  </si>
  <si>
    <t>4Q15</t>
  </si>
  <si>
    <t>2H15</t>
  </si>
  <si>
    <t>FY15</t>
  </si>
  <si>
    <t>1Q16</t>
  </si>
  <si>
    <t>2Q16</t>
  </si>
  <si>
    <t>1H16</t>
  </si>
  <si>
    <t>3Q16</t>
  </si>
  <si>
    <t>4Q16</t>
  </si>
  <si>
    <t>2H16</t>
  </si>
  <si>
    <t>1Q17</t>
  </si>
  <si>
    <t>2Q17</t>
  </si>
  <si>
    <t>1H17</t>
  </si>
  <si>
    <t>3Q17</t>
  </si>
  <si>
    <t>4Q17</t>
  </si>
  <si>
    <t>2H17</t>
  </si>
  <si>
    <t>FY17</t>
  </si>
  <si>
    <t>1Q18</t>
  </si>
  <si>
    <t>2Q18</t>
  </si>
  <si>
    <t>1H18</t>
  </si>
  <si>
    <t>3Q18</t>
  </si>
  <si>
    <t>4Q18</t>
  </si>
  <si>
    <t>2H18</t>
  </si>
  <si>
    <t>FY18</t>
  </si>
  <si>
    <t>1Q19</t>
  </si>
  <si>
    <t>2Q19</t>
  </si>
  <si>
    <t>1H19</t>
  </si>
  <si>
    <t>3Q19</t>
  </si>
  <si>
    <t>4Q19</t>
  </si>
  <si>
    <t>2H19</t>
  </si>
  <si>
    <t>FY19</t>
  </si>
  <si>
    <t>1Q20</t>
  </si>
  <si>
    <t>2Q20</t>
  </si>
  <si>
    <t>1H20</t>
  </si>
  <si>
    <t>3Q20</t>
  </si>
  <si>
    <t>4Q20</t>
  </si>
  <si>
    <t>2H20</t>
  </si>
  <si>
    <t>FY20</t>
  </si>
  <si>
    <t>1Q21</t>
  </si>
  <si>
    <t>2Q21</t>
  </si>
  <si>
    <t>1H21</t>
  </si>
  <si>
    <t>3Q21</t>
  </si>
  <si>
    <t>4Q21</t>
  </si>
  <si>
    <t>2H21</t>
  </si>
  <si>
    <t>FY21</t>
  </si>
  <si>
    <t>1Q22</t>
  </si>
  <si>
    <t>2Q22</t>
  </si>
  <si>
    <t>1H22</t>
  </si>
  <si>
    <t>3Q22</t>
  </si>
  <si>
    <t>4Q22</t>
  </si>
  <si>
    <t>2H22</t>
  </si>
  <si>
    <t>1Q23</t>
  </si>
  <si>
    <t>2Q23</t>
  </si>
  <si>
    <t>1H23</t>
  </si>
  <si>
    <t>3Q23</t>
  </si>
  <si>
    <t>4Q23</t>
  </si>
  <si>
    <t>2H23</t>
  </si>
  <si>
    <t>1Q24</t>
  </si>
  <si>
    <t>2Q24</t>
  </si>
  <si>
    <t>1H24</t>
  </si>
  <si>
    <t>3Q24</t>
  </si>
  <si>
    <t>4Q24</t>
  </si>
  <si>
    <t>2H24</t>
  </si>
  <si>
    <t>1Q25</t>
  </si>
  <si>
    <t>2Q25</t>
  </si>
  <si>
    <t>1H25</t>
  </si>
  <si>
    <t>3Q25</t>
  </si>
  <si>
    <t>4Q25</t>
  </si>
  <si>
    <t>2H25</t>
  </si>
  <si>
    <t>FY25</t>
  </si>
  <si>
    <t>1Q26</t>
  </si>
  <si>
    <t>1H26</t>
  </si>
  <si>
    <t>3Q26</t>
  </si>
  <si>
    <t>4Q26</t>
  </si>
  <si>
    <t>2H26</t>
  </si>
  <si>
    <t>FY26</t>
  </si>
  <si>
    <t>1Q27</t>
  </si>
  <si>
    <t>2Q27</t>
  </si>
  <si>
    <t>1H27</t>
  </si>
  <si>
    <t>3Q27</t>
  </si>
  <si>
    <t>4Q27</t>
  </si>
  <si>
    <t>2H27</t>
  </si>
  <si>
    <t>FY27</t>
  </si>
  <si>
    <t>1Q28</t>
  </si>
  <si>
    <t>2Q28</t>
  </si>
  <si>
    <t>1H28</t>
  </si>
  <si>
    <t>3Q28</t>
  </si>
  <si>
    <t>4Q28</t>
  </si>
  <si>
    <t>2H28</t>
  </si>
  <si>
    <t>FY28</t>
  </si>
  <si>
    <t>1Q29</t>
  </si>
  <si>
    <t>2Q29</t>
  </si>
  <si>
    <t>1H29</t>
  </si>
  <si>
    <t>3Q29</t>
  </si>
  <si>
    <t>4Q29</t>
  </si>
  <si>
    <t>2H29</t>
  </si>
  <si>
    <t>FY29</t>
  </si>
  <si>
    <t>1Q30</t>
  </si>
  <si>
    <t>2Q30</t>
  </si>
  <si>
    <t>1H30</t>
  </si>
  <si>
    <t>3Q30</t>
  </si>
  <si>
    <t>4Q30</t>
  </si>
  <si>
    <t>2H30</t>
  </si>
  <si>
    <t>FY30</t>
  </si>
  <si>
    <t>Actual / Estimate Flag (MUST ENTER)</t>
  </si>
  <si>
    <t>A</t>
  </si>
  <si>
    <t>E</t>
  </si>
  <si>
    <t>INCOME STATEMENT</t>
  </si>
  <si>
    <t>International</t>
  </si>
  <si>
    <t>Total Operating Revenue</t>
  </si>
  <si>
    <t>Total Sales Revenue</t>
  </si>
  <si>
    <t>Total sales revenue growth</t>
  </si>
  <si>
    <t>%</t>
  </si>
  <si>
    <t>Interest Revenue</t>
  </si>
  <si>
    <t>Other revenue</t>
  </si>
  <si>
    <t>COGS</t>
  </si>
  <si>
    <t>SG&amp;A</t>
  </si>
  <si>
    <t>Total D&amp;A</t>
  </si>
  <si>
    <t>EBIT (adjusted)</t>
  </si>
  <si>
    <t>CAGR 3yr</t>
  </si>
  <si>
    <t>Total adjusted EBIT</t>
  </si>
  <si>
    <t>EBIT Adjustments</t>
  </si>
  <si>
    <t>Asbestos Adjustments</t>
  </si>
  <si>
    <t>AICF SG&amp;A expenses</t>
  </si>
  <si>
    <t>ASIC expenses</t>
  </si>
  <si>
    <t>Asset Impairments</t>
  </si>
  <si>
    <t xml:space="preserve">Total reported EBIT </t>
  </si>
  <si>
    <t>EBIT Margin (ex Associates)</t>
  </si>
  <si>
    <t>Interest Expense</t>
  </si>
  <si>
    <t xml:space="preserve">Interest Cost </t>
  </si>
  <si>
    <t>Less Interest Income</t>
  </si>
  <si>
    <t>Interest adjustments</t>
  </si>
  <si>
    <t>Net Interest Expense</t>
  </si>
  <si>
    <t>Other income (AICF)</t>
  </si>
  <si>
    <t>Pre-Tax profit</t>
  </si>
  <si>
    <t>Taxation reported</t>
  </si>
  <si>
    <t>Tax adjustments</t>
  </si>
  <si>
    <t>Adjusted tax expense</t>
  </si>
  <si>
    <t>NPAT (post goodwill)</t>
  </si>
  <si>
    <t>NPAT (pre goodwill)</t>
  </si>
  <si>
    <t>NPAT Growth</t>
  </si>
  <si>
    <t>Pref. Dividends</t>
  </si>
  <si>
    <t>NPAT Profit (adj)</t>
  </si>
  <si>
    <t>Significant items (pre tax)</t>
  </si>
  <si>
    <t>Tax on significant items</t>
  </si>
  <si>
    <t xml:space="preserve">Reported Profit </t>
  </si>
  <si>
    <t>INCOME STATEMENT - Analysis</t>
  </si>
  <si>
    <t>Sales Growth</t>
  </si>
  <si>
    <t>Total Operating Revenue Growth</t>
  </si>
  <si>
    <t>Total Sales Revenue Growth</t>
  </si>
  <si>
    <t>EBIT Margins (ex assoc)</t>
  </si>
  <si>
    <t>Group EBIT Margin</t>
  </si>
  <si>
    <t>Tax Calculation</t>
  </si>
  <si>
    <t>Pre-tax profit + goodwill</t>
  </si>
  <si>
    <t>Add other non-deduct</t>
  </si>
  <si>
    <t>Taxable Income</t>
  </si>
  <si>
    <t>Applied Corporate Tax Rate</t>
  </si>
  <si>
    <t>Calculated Tax Expense</t>
  </si>
  <si>
    <t>Reported Tax Expense</t>
  </si>
  <si>
    <t>ETR as guided by JHX</t>
  </si>
  <si>
    <t>CASH FLOW</t>
  </si>
  <si>
    <t>Operating Cashflow</t>
  </si>
  <si>
    <t>Operating EBITDA (inc writedowns)</t>
  </si>
  <si>
    <t xml:space="preserve">Net Interest Paid </t>
  </si>
  <si>
    <t>Tax Paid</t>
  </si>
  <si>
    <t>(Increase) in Working Capital</t>
  </si>
  <si>
    <t>Dividends Received</t>
  </si>
  <si>
    <t>Payment to AICF</t>
  </si>
  <si>
    <t>Other/Balancing</t>
  </si>
  <si>
    <t>Investing Capex</t>
  </si>
  <si>
    <t>Capex-Expansionary</t>
  </si>
  <si>
    <t>Total capex</t>
  </si>
  <si>
    <t>Acquisitions/Investments</t>
  </si>
  <si>
    <t>Asset Sale Proceeds</t>
  </si>
  <si>
    <t>Total Investments</t>
  </si>
  <si>
    <t>Financing Cash Flow</t>
  </si>
  <si>
    <t>Cash Dividends Paid</t>
  </si>
  <si>
    <t>Equity Issues</t>
  </si>
  <si>
    <t>Incr/(Decr) in Debt</t>
  </si>
  <si>
    <t>Total Financing</t>
  </si>
  <si>
    <t>Other Adjustments</t>
  </si>
  <si>
    <t>Net Cashflow</t>
  </si>
  <si>
    <t>Free cash (op CF less capex)</t>
  </si>
  <si>
    <t>CASH FLOW - Calculations</t>
  </si>
  <si>
    <t>Net Debt Summary</t>
  </si>
  <si>
    <t>Cash &amp; S/T Deposits</t>
  </si>
  <si>
    <t>Borrowings</t>
  </si>
  <si>
    <t>Other financial debt</t>
  </si>
  <si>
    <t>Closing Net Debt</t>
  </si>
  <si>
    <t>Movement in Net Debt</t>
  </si>
  <si>
    <t>EBIT interest cover (adj EBIT)</t>
  </si>
  <si>
    <t>Interest Expense Calculations</t>
  </si>
  <si>
    <t>Opening Debt Balance</t>
  </si>
  <si>
    <t>Closing Debt Balance</t>
  </si>
  <si>
    <t>1H Split for averages</t>
  </si>
  <si>
    <t>Average Debt</t>
  </si>
  <si>
    <t>Forecast interest expense rate</t>
  </si>
  <si>
    <t>Calculated Interest Expense</t>
  </si>
  <si>
    <t>Balancing error ---&gt;</t>
  </si>
  <si>
    <t>Interest Income Calculations</t>
  </si>
  <si>
    <t>Cash Opening Balance</t>
  </si>
  <si>
    <t>Cash Closing Balance</t>
  </si>
  <si>
    <t>Average balance</t>
  </si>
  <si>
    <t>Forecast interest income rate</t>
  </si>
  <si>
    <t>Calculated Interest Income</t>
  </si>
  <si>
    <t>Interest Income Hardcoded</t>
  </si>
  <si>
    <t>Maint Capex/Depreciation</t>
  </si>
  <si>
    <t>x</t>
  </si>
  <si>
    <t>Depreciation Calculations</t>
  </si>
  <si>
    <t>Addtions/Acquisitions</t>
  </si>
  <si>
    <t>Disposal - BV</t>
  </si>
  <si>
    <t>Other/revaluation</t>
  </si>
  <si>
    <t>Depreciation &amp; Amort</t>
  </si>
  <si>
    <t>Closing P,P&amp;E (Net)</t>
  </si>
  <si>
    <t>Depreciation Rate</t>
  </si>
  <si>
    <t>BALANCE SHEET</t>
  </si>
  <si>
    <t>Current assets</t>
  </si>
  <si>
    <t>Unrestricted cash &amp; equiv</t>
  </si>
  <si>
    <t>Restricted cash &amp; equiv</t>
  </si>
  <si>
    <t>Cash &amp; Equivalent</t>
  </si>
  <si>
    <t>Debtors</t>
  </si>
  <si>
    <t>Other Current Assets</t>
  </si>
  <si>
    <t>Total Current Assets</t>
  </si>
  <si>
    <t>Non-Current Assets</t>
  </si>
  <si>
    <t>Restricted Cash &amp; Cash equivalent</t>
  </si>
  <si>
    <t>Insurance receivable - Asbestos</t>
  </si>
  <si>
    <t>Workers Comp - Asbestos</t>
  </si>
  <si>
    <t>Fixed Assets (P, P&amp;E)</t>
  </si>
  <si>
    <t>Deferred Income Tax</t>
  </si>
  <si>
    <t>Other Non Current Assets</t>
  </si>
  <si>
    <t>Total Non-Current Assets</t>
  </si>
  <si>
    <t>Total Assets</t>
  </si>
  <si>
    <t>Current liabilities</t>
  </si>
  <si>
    <t>Creditors</t>
  </si>
  <si>
    <t>Financial Debt - S/T</t>
  </si>
  <si>
    <t>Asbestos Liability</t>
  </si>
  <si>
    <t>Workers' compensation - asbestos</t>
  </si>
  <si>
    <t>Dividends payable</t>
  </si>
  <si>
    <t>Total Current Liabilities</t>
  </si>
  <si>
    <t>Non-current liabilities</t>
  </si>
  <si>
    <t>Financial Debt Long term</t>
  </si>
  <si>
    <t>Warranties</t>
  </si>
  <si>
    <t>Total Non-Current Liabilities</t>
  </si>
  <si>
    <t>Total Liabilities</t>
  </si>
  <si>
    <t>Shareholders equity</t>
  </si>
  <si>
    <t>Additional Paid in capital</t>
  </si>
  <si>
    <t>Retained (Deficit) Earnings</t>
  </si>
  <si>
    <t>Reserves</t>
  </si>
  <si>
    <t>Accumulated Other Income</t>
  </si>
  <si>
    <t>Common stock in treasury</t>
  </si>
  <si>
    <t>Minority interest</t>
  </si>
  <si>
    <t>Total Shareholders Equity</t>
  </si>
  <si>
    <t>Balancing error</t>
  </si>
  <si>
    <t>BALANCE SHEET - Calculations</t>
  </si>
  <si>
    <t>Working Capital</t>
  </si>
  <si>
    <t xml:space="preserve">Inventory/Sales </t>
  </si>
  <si>
    <t>Debtors/Sales</t>
  </si>
  <si>
    <t>Creditors/Sales</t>
  </si>
  <si>
    <t>Stock Turnover</t>
  </si>
  <si>
    <t>Days</t>
  </si>
  <si>
    <t>Debtors Days</t>
  </si>
  <si>
    <t>Creditors Days</t>
  </si>
  <si>
    <t>Creditors - closing</t>
  </si>
  <si>
    <t>Total Working Capital</t>
  </si>
  <si>
    <t>Ch in Working Cap.</t>
  </si>
  <si>
    <t>Working capital/sales</t>
  </si>
  <si>
    <t>Miscellaneous</t>
  </si>
  <si>
    <t>Reported NTA</t>
  </si>
  <si>
    <t>Closing Cap. Employed</t>
  </si>
  <si>
    <t>Gearing (D/D+E)</t>
  </si>
  <si>
    <t>Gearing (D/E)</t>
  </si>
  <si>
    <t>Returns Summary</t>
  </si>
  <si>
    <t>Return on Assets (ROA)</t>
  </si>
  <si>
    <t>Return on Capital Emp (ROCE)</t>
  </si>
  <si>
    <t>Return on Equity (ROE)</t>
  </si>
  <si>
    <t>PER SHARE DATA</t>
  </si>
  <si>
    <t>Share count</t>
  </si>
  <si>
    <t>Shares at beginning</t>
  </si>
  <si>
    <t>m</t>
  </si>
  <si>
    <t>Share issues/bought back</t>
  </si>
  <si>
    <t>Other issues</t>
  </si>
  <si>
    <t>Shares at period end</t>
  </si>
  <si>
    <t xml:space="preserve">Weighted Average Basic Shares </t>
  </si>
  <si>
    <t xml:space="preserve">Weighted Average Diluted Shares </t>
  </si>
  <si>
    <t>Number of shares issued/(bought back) (m)</t>
  </si>
  <si>
    <t>Price per share ($/ps)</t>
  </si>
  <si>
    <t>Total</t>
  </si>
  <si>
    <t xml:space="preserve">Profit </t>
  </si>
  <si>
    <t>Reported</t>
  </si>
  <si>
    <t>Profit (normalised)</t>
  </si>
  <si>
    <t>EPS</t>
  </si>
  <si>
    <t>Usc</t>
  </si>
  <si>
    <t>Adjusted EPS</t>
  </si>
  <si>
    <t>Adj EPS</t>
  </si>
  <si>
    <t>EPS growth</t>
  </si>
  <si>
    <t>EPS growth (adj)</t>
  </si>
  <si>
    <t>Dividend per share</t>
  </si>
  <si>
    <t>Ordinary</t>
  </si>
  <si>
    <t>Special</t>
  </si>
  <si>
    <t>DPS growth</t>
  </si>
  <si>
    <t>Share px:</t>
  </si>
  <si>
    <t>Payout Ratio</t>
  </si>
  <si>
    <t>Franked amount</t>
  </si>
  <si>
    <t xml:space="preserve"> Ordinary</t>
  </si>
  <si>
    <t xml:space="preserve"> Special</t>
  </si>
  <si>
    <t xml:space="preserve"> Total</t>
  </si>
  <si>
    <t>Total Dividend to be Paid ($M)</t>
  </si>
  <si>
    <t xml:space="preserve"> Total dividend amount</t>
  </si>
  <si>
    <t>Dividend cash outflow</t>
  </si>
  <si>
    <t>Div amt from previous period</t>
  </si>
  <si>
    <t>DRP adjustment</t>
  </si>
  <si>
    <t>Total cash dividend paid</t>
  </si>
  <si>
    <t>Ordinary dividend yield</t>
  </si>
  <si>
    <t xml:space="preserve">EBIT </t>
  </si>
  <si>
    <t>Depreciation</t>
  </si>
  <si>
    <t>Unrecorded goodwill</t>
  </si>
  <si>
    <t>ND</t>
  </si>
  <si>
    <t>Shareholders Equity Schedule</t>
  </si>
  <si>
    <t>Opening Balance</t>
  </si>
  <si>
    <t>Issuance of Stock</t>
  </si>
  <si>
    <t>Net Income</t>
  </si>
  <si>
    <t>Dividends</t>
  </si>
  <si>
    <t>AOCI</t>
  </si>
  <si>
    <t>Closing balance</t>
  </si>
  <si>
    <t>Check</t>
  </si>
  <si>
    <t>Key Drivers</t>
  </si>
  <si>
    <t>US single family housing starts (n) change</t>
  </si>
  <si>
    <t>US repair &amp; remodelling spend ($) change</t>
  </si>
  <si>
    <t>Australian housing starts (n) change</t>
  </si>
  <si>
    <t>Australian non-res spend ($) change</t>
  </si>
  <si>
    <t>New Zealand resi consents (n) change</t>
  </si>
  <si>
    <t>COGS/SG&amp;A Breakdown</t>
  </si>
  <si>
    <t>Other Income</t>
  </si>
  <si>
    <t>Underlying EBIT</t>
  </si>
  <si>
    <t>Total Revenue</t>
  </si>
  <si>
    <t>.</t>
  </si>
  <si>
    <t>AUD</t>
  </si>
  <si>
    <t>Net AICF interest income</t>
  </si>
  <si>
    <t>2Q26</t>
  </si>
  <si>
    <t>FY25e</t>
  </si>
  <si>
    <t>FY26e</t>
  </si>
  <si>
    <t>FY27e</t>
  </si>
  <si>
    <t>Europe</t>
  </si>
  <si>
    <t>SEDOL</t>
  </si>
  <si>
    <t>JHX.AX</t>
  </si>
  <si>
    <t>Margins</t>
  </si>
  <si>
    <t>FY23A</t>
  </si>
  <si>
    <t>RevETue growth</t>
  </si>
  <si>
    <t>Year ETding 31 March</t>
  </si>
  <si>
    <t>Operating RevETue Growth</t>
  </si>
  <si>
    <t>RevETue (US$m)</t>
  </si>
  <si>
    <t>DividETd Yield</t>
  </si>
  <si>
    <t>Group RevETue</t>
  </si>
  <si>
    <t>Total revETue</t>
  </si>
  <si>
    <t>PE at currETt share price</t>
  </si>
  <si>
    <t>DividETd yield</t>
  </si>
  <si>
    <t>Current Share Price</t>
  </si>
  <si>
    <t>Projected return (including dividend)</t>
  </si>
  <si>
    <t>Cash dividends paid</t>
  </si>
  <si>
    <t>Other current assets</t>
  </si>
  <si>
    <t>Total current assets</t>
  </si>
  <si>
    <t>Other non-current assets</t>
  </si>
  <si>
    <t>Total non-current assets</t>
  </si>
  <si>
    <t>Total non-current liabilities</t>
  </si>
  <si>
    <t>All fiscal years are on a March year-end basis</t>
  </si>
  <si>
    <t>US R&amp;R spend % ch</t>
  </si>
  <si>
    <t>AU non-res spend % ch</t>
  </si>
  <si>
    <t>Oridinary dividend yield</t>
  </si>
  <si>
    <t>Cash Flow Statement (US$m)</t>
  </si>
  <si>
    <t>Total current liabilities</t>
  </si>
  <si>
    <t>For MW current shares</t>
  </si>
  <si>
    <t>Current Basic</t>
  </si>
  <si>
    <t>Current Diluted</t>
  </si>
  <si>
    <t>FY24A</t>
  </si>
  <si>
    <t>US$/ps</t>
  </si>
  <si>
    <t>Capitalised Interest</t>
  </si>
  <si>
    <t>Year-end adjusted</t>
  </si>
  <si>
    <t>Less asbestos</t>
  </si>
  <si>
    <t xml:space="preserve">Psot asbestos </t>
  </si>
  <si>
    <t>FY25A</t>
  </si>
  <si>
    <t>New Segments</t>
  </si>
  <si>
    <t>Total EBITDA</t>
  </si>
  <si>
    <t>A&amp;NZ</t>
  </si>
  <si>
    <t>Siding &amp; Triming</t>
  </si>
  <si>
    <t>Decking, Railing &amp; Accessories</t>
  </si>
  <si>
    <t>Cost Synergies</t>
  </si>
  <si>
    <t>CAGR</t>
  </si>
  <si>
    <t>EBITDA Contribution</t>
  </si>
  <si>
    <t>PE adj for asbestos (A$1.41/share)</t>
  </si>
  <si>
    <t xml:space="preserve">1 Austin Road West </t>
  </si>
  <si>
    <t xml:space="preserve">Kowloon </t>
  </si>
  <si>
    <t xml:space="preserve">Hong Kong </t>
  </si>
  <si>
    <t>Tel: +852 2848 5200</t>
  </si>
  <si>
    <t>Authors: Joseph Michael,Julianna Sick</t>
  </si>
  <si>
    <t>Date: 12 Feb 2026</t>
  </si>
  <si>
    <t>Ticker: JHX.AX</t>
  </si>
  <si>
    <t>Stock Rating: Overweight</t>
  </si>
  <si>
    <t>Industry: Australia Industrials</t>
  </si>
  <si>
    <t>Industry View: In-Line</t>
  </si>
  <si>
    <t>Price as of 12 Feb 2026: 36.87</t>
  </si>
  <si>
    <t>Target Price: 44.00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</si>
  <si>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</si>
  <si>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</si>
  <si>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</si>
  <si>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</si>
  <si>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</si>
  <si>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</si>
  <si>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</si>
  <si>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</si>
  <si>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</si>
  <si>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</si>
  <si>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</si>
  <si>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</si>
  <si>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</si>
  <si>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</si>
  <si>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</si>
  <si>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</si>
  <si>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</si>
  <si>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 having Corporate Identification No (CIN)</t>
  </si>
  <si>
    <t>U22990MH1998PTC115305, regulated by the Securities and Exchange Board of India (“SEBI”) and holder of</t>
  </si>
  <si>
    <t>licenses as a Research Analyst (SEBI Registration No. INH000001105); Stock Broker (SEBI Stock Broker</t>
  </si>
  <si>
    <t>Registration No. INZ000244438), Merchant Banker (SEBI Registration No. INM000011203), and depository</t>
  </si>
  <si>
    <t>participant with National Securities Depository Limited (SEBI Registration No. IN-DP-NSDL-567-2021)</t>
  </si>
  <si>
    <t>having registered office at Altimus, Level 39 &amp; 40, Pandurang Budhkar Marg, Worli, Mumbai 400018, India;</t>
  </si>
  <si>
    <t>Telephone no. +91-22-61181000; Compliance Officer Details: Mr. Tejarshi Hardas, Tel. No.:</t>
  </si>
  <si>
    <t>+91-22-61181000 or Email: tejarshi.hardas@morganstanley.com; Grievance officer details: Mr. Tejarshi</t>
  </si>
  <si>
    <t>Hardas, Tel. No.: +91-22-61181000 or Email: msic-compliance@morganstanley.com which accepts the</t>
  </si>
  <si>
    <t>responsibility for its contents and should be contacted with respect to any matters arising from, or in</t>
  </si>
  <si>
    <t>connection with, Morgan Stanley Research, and their affiliates (collectively, "Morgan Stanley"). Morgan</t>
  </si>
  <si>
    <t>Stanley India Company Private Limited (MSICPL) may use AI tools in providing research services. All</t>
  </si>
  <si>
    <t>recommendations contained herein are made by the duly qualified research analysts.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</si>
  <si>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</si>
  <si>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</si>
  <si>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</si>
  <si>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</si>
  <si>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</si>
  <si>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</si>
  <si>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</si>
  <si>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</si>
  <si>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</si>
  <si>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</si>
  <si>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</si>
  <si>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</si>
  <si>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</si>
  <si>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</si>
  <si>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Michael, CFA.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</si>
  <si>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</si>
  <si>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</si>
  <si>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</si>
  <si>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</si>
  <si>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</si>
  <si>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As of January 30, 2026, Morgan Stanley beneficially owned 1% or more of a class of common equity</t>
  </si>
  <si>
    <t>securities of the following companies covered in Morgan Stanley Research: James Hardie Industries PLC.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</si>
  <si>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</si>
  <si>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</si>
  <si>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</si>
  <si>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</si>
  <si>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</si>
  <si>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</si>
  <si>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</si>
  <si>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</si>
  <si>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</si>
  <si>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</si>
  <si>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</si>
  <si>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</si>
  <si>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</si>
  <si>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</si>
  <si>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</si>
  <si>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</si>
  <si>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</si>
  <si>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</si>
  <si>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</si>
  <si>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</si>
  <si>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</si>
  <si>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</si>
  <si>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</si>
  <si>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</si>
  <si>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</si>
  <si>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</si>
  <si>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January 31, 2026)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</si>
  <si>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</si>
  <si>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</si>
  <si>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</si>
  <si>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</si>
  <si>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</si>
  <si>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</si>
  <si>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</si>
  <si>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</si>
  <si>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</si>
  <si>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</si>
  <si>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</si>
  <si>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</si>
  <si>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</si>
  <si>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</si>
  <si>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</si>
  <si>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</si>
  <si>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</si>
  <si>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</si>
  <si>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</si>
  <si>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</si>
  <si>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</si>
  <si>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</si>
  <si>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</si>
  <si>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</si>
  <si>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</si>
  <si>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</si>
  <si>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</si>
  <si>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</si>
  <si>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</si>
  <si>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</si>
  <si>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</si>
  <si>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</si>
  <si>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</si>
  <si>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</si>
  <si>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</si>
  <si>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</si>
  <si>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</si>
  <si>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</si>
  <si>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</si>
  <si>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</si>
  <si>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</si>
  <si>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</si>
  <si>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</si>
  <si>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</si>
  <si>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</si>
  <si>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</si>
  <si>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</si>
  <si>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</si>
  <si>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</si>
  <si>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</si>
  <si>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</si>
  <si>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</si>
  <si>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</si>
  <si>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</si>
  <si>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</si>
  <si>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</si>
  <si>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</si>
  <si>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</si>
  <si>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</si>
  <si>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</si>
  <si>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</si>
  <si>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</si>
  <si>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</si>
  <si>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</si>
  <si>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</si>
  <si>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</si>
  <si>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</si>
  <si>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</si>
  <si>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</si>
  <si>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</si>
  <si>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</si>
  <si>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</si>
  <si>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</si>
  <si>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</si>
  <si>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</si>
  <si>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</si>
  <si>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</si>
  <si>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</si>
  <si>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</si>
  <si>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</si>
  <si>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</si>
  <si>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</si>
  <si>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</si>
  <si>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</si>
  <si>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</si>
  <si>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</si>
  <si>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</si>
  <si>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</si>
  <si>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</si>
  <si>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</si>
  <si>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</si>
  <si>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</si>
  <si>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</si>
  <si>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</si>
  <si>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</si>
  <si>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</si>
  <si>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</si>
  <si>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</si>
  <si>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</si>
  <si>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</si>
  <si>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</si>
  <si>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</si>
  <si>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</si>
  <si>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</si>
  <si>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</si>
  <si>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</si>
  <si>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</si>
  <si>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</si>
  <si>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</si>
  <si>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</si>
  <si>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</si>
  <si>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</si>
  <si>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</si>
  <si>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</si>
  <si>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</si>
  <si>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</si>
  <si>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</si>
  <si>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</si>
  <si>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</si>
  <si>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</si>
  <si>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</si>
  <si>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</si>
  <si>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</si>
  <si>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</si>
  <si>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</si>
  <si>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</si>
  <si>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</si>
  <si>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</si>
  <si>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</si>
  <si>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</si>
  <si>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</si>
  <si>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</si>
  <si>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</si>
  <si>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</si>
  <si>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</si>
  <si>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</si>
  <si>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</si>
  <si>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</si>
  <si>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</si>
  <si>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</si>
  <si>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</si>
  <si>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</si>
  <si>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</si>
  <si>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</si>
  <si>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</si>
  <si>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</si>
  <si>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</si>
  <si>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</si>
  <si>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</si>
  <si>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</si>
  <si>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</si>
  <si>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</si>
  <si>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</si>
  <si>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</si>
  <si>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Certain information in Morgan Stanley Research was sourced by employees of the Shanghai Representative</t>
  </si>
  <si>
    <t>Office of Morgan Stanley Asia Limited for the use of Morgan Stanley Asia Limited.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</si>
  <si>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</si>
  <si>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</si>
  <si>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</si>
  <si>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</si>
  <si>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</si>
  <si>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</si>
  <si>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</si>
  <si>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</si>
  <si>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</si>
  <si>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</si>
  <si>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</si>
  <si>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</si>
  <si>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</si>
  <si>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</si>
  <si>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</si>
  <si>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</si>
  <si>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</si>
  <si>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</si>
  <si>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</si>
  <si>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</si>
  <si>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</si>
  <si>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</si>
  <si>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</si>
  <si>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</si>
  <si>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</si>
  <si>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</si>
  <si>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</si>
  <si>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</si>
  <si>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</si>
  <si>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</si>
  <si>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</si>
  <si>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</si>
  <si>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</si>
  <si>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</si>
  <si>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</si>
  <si>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</si>
  <si>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</si>
  <si>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</si>
  <si>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</si>
  <si>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</si>
  <si>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</si>
  <si>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</si>
  <si>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</si>
  <si>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</si>
  <si>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</si>
  <si>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</si>
  <si>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</si>
  <si>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</si>
  <si>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</si>
  <si>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</si>
  <si>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</si>
  <si>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</si>
  <si>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</si>
  <si>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</si>
  <si>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</si>
  <si>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</si>
  <si>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</si>
  <si>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</si>
  <si>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</si>
  <si>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</si>
  <si>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</si>
  <si>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</si>
  <si>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</si>
  <si>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</si>
  <si>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</si>
  <si>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</si>
  <si>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</si>
  <si>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</si>
  <si>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</si>
  <si>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</si>
  <si>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</si>
  <si>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</si>
  <si>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</si>
  <si>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</si>
  <si>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</si>
  <si>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</si>
  <si>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</si>
  <si>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</si>
  <si>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</si>
  <si>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</si>
  <si>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</si>
  <si>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</si>
  <si>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</si>
  <si>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</si>
  <si>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</si>
  <si>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</si>
  <si>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</si>
  <si>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</si>
  <si>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</si>
  <si>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</si>
  <si>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</si>
  <si>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</si>
  <si>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</si>
  <si>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</si>
  <si>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02/12/26 08:46</t>
  </si>
  <si>
    <t>Discipline</t>
  </si>
  <si>
    <t>Research</t>
  </si>
  <si>
    <t>ResearchTopic</t>
  </si>
  <si>
    <t>Company</t>
  </si>
  <si>
    <t>DocType</t>
  </si>
  <si>
    <t>Model</t>
  </si>
  <si>
    <t>SubjectCode</t>
  </si>
  <si>
    <t>James Hardie Industries PLC</t>
  </si>
  <si>
    <t>KeepVersions</t>
  </si>
  <si>
    <t>All</t>
  </si>
  <si>
    <t>Rating</t>
  </si>
  <si>
    <t>Overweight / In-Line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</si>
  <si>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</si>
  <si>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</si>
  <si>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</si>
  <si>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</si>
  <si>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</si>
  <si>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</si>
  <si>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</si>
  <si>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</si>
  <si>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</si>
  <si>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</si>
  <si>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MSA13NLV, MSA6G101</t>
  </si>
  <si>
    <t>Tickers</t>
  </si>
  <si>
    <t>CUSIP</t>
  </si>
  <si>
    <t>RIC</t>
  </si>
  <si>
    <t>B60QWJ2</t>
  </si>
  <si>
    <t>Current Stock Price</t>
  </si>
  <si>
    <t>36.87</t>
  </si>
  <si>
    <t>PathName</t>
  </si>
  <si>
    <t>L:\USERS\Building Materials\2. CURRENT MODELS\MS_JHX_Current.xlsm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</si>
  <si>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</si>
  <si>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</si>
  <si>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</si>
  <si>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</si>
  <si>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</si>
  <si>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</si>
  <si>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</si>
  <si>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</si>
  <si>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</si>
  <si>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</si>
  <si>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</si>
  <si>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</si>
  <si>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</si>
  <si>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</si>
  <si>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</si>
  <si>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AsiaPacific</t>
  </si>
  <si>
    <t>ObjectType</t>
  </si>
  <si>
    <t>excel</t>
  </si>
  <si>
    <t>LanguageCode</t>
  </si>
  <si>
    <t>en-US</t>
  </si>
  <si>
    <t>SubmitterUserId</t>
  </si>
  <si>
    <t>sickjul</t>
  </si>
  <si>
    <t>IndustryId</t>
  </si>
  <si>
    <t>1900000950</t>
  </si>
  <si>
    <t>TickerRegion</t>
  </si>
  <si>
    <t>5</t>
  </si>
  <si>
    <t>AdditionalInstructions</t>
  </si>
  <si>
    <t>*Estimated</t>
  </si>
  <si>
    <t>OwnerTeam</t>
  </si>
  <si>
    <t>I1502100231</t>
  </si>
  <si>
    <t>[BRO MSA]</t>
  </si>
  <si>
    <t>[DOCDAT 2026-02-12]</t>
  </si>
  <si>
    <t>[DOCTIME 08:46]</t>
  </si>
  <si>
    <t>[PSYM JHX.AX(Reuters) (None)]</t>
  </si>
  <si>
    <t>[COU Australia]</t>
  </si>
  <si>
    <t>[PRODUCT MODEL]</t>
  </si>
  <si>
    <t>[ANA MSA6G101]</t>
  </si>
  <si>
    <t>[HL JHX.AX Model]</t>
  </si>
  <si>
    <t>[IND Industrials]</t>
  </si>
  <si>
    <t>[EMAIL_ALERT YES]</t>
  </si>
  <si>
    <t>[PANA  MSA13NLV]</t>
  </si>
  <si>
    <t>[DISCIPLINE Company]</t>
  </si>
  <si>
    <t>[SUPPRESSED NO]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</si>
</sst>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_);\(&quot;$&quot;#,##0.00\)"/>
    <numFmt numFmtId="167" formatCode="0.0"/>
    <numFmt numFmtId="168" formatCode="#,##0.0"/>
    <numFmt numFmtId="169" formatCode="&quot;$&quot;#,##0.00"/>
    <numFmt numFmtId="170" formatCode="0000&quot;F&quot;"/>
    <numFmt numFmtId="171" formatCode="0.0%"/>
    <numFmt numFmtId="172" formatCode="0.0000"/>
    <numFmt numFmtId="173" formatCode="0.0&quot;x&quot;"/>
    <numFmt numFmtId="174" formatCode="0.000"/>
    <numFmt numFmtId="175" formatCode="#,##0.00&quot; AUD&quot;;\(#,##0.00\)&quot; AUD&quot;"/>
    <numFmt numFmtId="176" formatCode="_-* #,##0_-;\-* #,##0_-;_-* &quot;-&quot;??_-;_-@_-"/>
    <numFmt numFmtId="177" formatCode="0.0\x"/>
    <numFmt numFmtId="178" formatCode="#,##0.0;\(#,##0.0\)"/>
    <numFmt numFmtId="179" formatCode="&quot;P/E VALUATION: A$&quot;#,##0.00;\(#,##0.0\)"/>
    <numFmt numFmtId="180" formatCode="#,##0.0\x"/>
    <numFmt numFmtId="181" formatCode="&quot;DCF VALUATION: A$&quot;#,##0.00;\(#,##0.0\)"/>
    <numFmt numFmtId="182" formatCode="#,##0.00;\(#,##0.00\)"/>
    <numFmt numFmtId="183" formatCode="#,##0;\(#,##0\)"/>
    <numFmt numFmtId="184" formatCode="_-* #,##0.0_-;\-* #,##0.0_-;_-* &quot;-&quot;??_-;_-@_-"/>
    <numFmt numFmtId="185" formatCode="&quot;PT: A$&quot;0.00"/>
    <numFmt numFmtId="186" formatCode="0_);\(0\)"/>
    <numFmt numFmtId="187" formatCode="0.0_);\(0.0\)"/>
    <numFmt numFmtId="188" formatCode="#,##0.0;\ \(#,##0.0\)"/>
    <numFmt numFmtId="189" formatCode="_(* #,##0.0_);_(* \(#,##0.0\);_(* &quot;-&quot;??_);_(@_)"/>
    <numFmt numFmtId="190" formatCode="#,##0.000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rgb="FF003366"/>
      <name val="Arial"/>
      <family val="2"/>
    </font>
    <font>
      <b/>
      <sz val="8"/>
      <name val="Arial"/>
      <family val="2"/>
    </font>
    <font>
      <b/>
      <sz val="8"/>
      <color rgb="FF002060"/>
      <name val="Arial"/>
      <family val="2"/>
    </font>
    <font>
      <b/>
      <sz val="8"/>
      <color theme="0"/>
      <name val="Arial"/>
      <family val="2"/>
    </font>
    <font>
      <sz val="8"/>
      <color theme="0" tint="-0.14999847407452621"/>
      <name val="Arial"/>
      <family val="2"/>
    </font>
    <font>
      <sz val="8"/>
      <color theme="0"/>
      <name val="Arial"/>
      <family val="2"/>
    </font>
    <font>
      <i/>
      <sz val="8"/>
      <name val="Arial"/>
      <family val="2"/>
    </font>
    <font>
      <sz val="8"/>
      <color rgb="FF262A33"/>
      <name val="Arial"/>
      <family val="2"/>
    </font>
    <font>
      <sz val="8"/>
      <color rgb="FF737272"/>
      <name val="Arial"/>
      <family val="2"/>
    </font>
    <font>
      <b/>
      <sz val="8"/>
      <color indexed="56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sz val="8"/>
      <color rgb="FF0070C0"/>
      <name val="Arial"/>
      <family val="2"/>
    </font>
    <font>
      <sz val="8"/>
      <name val="Helvetica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8"/>
      <color rgb="FF0000FF"/>
      <name val="Arial"/>
      <family val="2"/>
    </font>
    <font>
      <sz val="8"/>
      <color indexed="8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7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b/>
      <sz val="8"/>
      <color indexed="10"/>
      <name val="Arial"/>
      <family val="2"/>
    </font>
    <font>
      <b/>
      <u/>
      <sz val="8"/>
      <name val="Arial"/>
      <family val="2"/>
    </font>
    <font>
      <sz val="7"/>
      <color theme="0"/>
      <name val="Arial"/>
      <family val="2"/>
    </font>
    <font>
      <i/>
      <sz val="8"/>
      <color theme="0" tint="-0.49998474074526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rgb="FFFFFFFF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color theme="2" tint="-9.9978637043366805E-2"/>
      <name val="Arial"/>
      <family val="2"/>
    </font>
    <font>
      <i/>
      <sz val="8"/>
      <color theme="2" tint="-9.9978637043366805E-2"/>
      <name val="Arial"/>
      <family val="2"/>
    </font>
    <font>
      <sz val="7"/>
      <color theme="2" tint="-9.9978637043366805E-2"/>
      <name val="Arial"/>
      <family val="2"/>
    </font>
    <font>
      <sz val="8"/>
      <color rgb="FF0066FF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5AA4"/>
        <bgColor indexed="64"/>
      </patternFill>
    </fill>
    <fill>
      <patternFill patternType="solid">
        <fgColor rgb="FFD9E6F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37CB1"/>
        <bgColor indexed="64"/>
      </patternFill>
    </fill>
    <fill>
      <patternFill patternType="solid">
        <fgColor rgb="FFEEF7F9" tint="0.549974059266945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34998626667073579"/>
      </top>
      <bottom/>
      <diagonal/>
    </border>
  </borders>
  <cellStyleXfs count="29">
    <xf numFmtId="0" fontId="0" fillId="0" borderId="0"/>
    <xf numFmtId="0" fontId="3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78" fontId="22" fillId="0" borderId="0"/>
    <xf numFmtId="164" fontId="6" fillId="0" borderId="0" applyFont="0" applyFill="0" applyBorder="0" applyAlignment="0" applyProtection="0"/>
    <xf numFmtId="0" fontId="2" fillId="2" borderId="0" applyNumberFormat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0" fontId="41" fillId="12" borderId="0" applyNumberFormat="0" applyAlignment="0" applyProtection="0"/>
    <xf numFmtId="0" fontId="1" fillId="13" borderId="0" applyNumberFormat="0" applyFon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43" fillId="0" borderId="0" applyNumberForma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761">
    <xf numFmtId="0" fontId="0" fillId="0" borderId="0" xfId="0"/>
    <xf numFmtId="0" fontId="7" fillId="4" borderId="0" xfId="1" applyFont="1" applyFill="1"/>
    <xf numFmtId="0" fontId="8" fillId="0" borderId="0" xfId="1" applyFont="1" applyAlignment="1">
      <alignment vertical="center"/>
    </xf>
    <xf numFmtId="0" fontId="9" fillId="4" borderId="0" xfId="1" applyFont="1" applyFill="1" applyAlignment="1">
      <alignment horizontal="right"/>
    </xf>
    <xf numFmtId="169" fontId="7" fillId="4" borderId="0" xfId="1" applyNumberFormat="1" applyFont="1" applyFill="1"/>
    <xf numFmtId="0" fontId="10" fillId="0" borderId="0" xfId="1" applyFont="1" applyAlignment="1">
      <alignment vertical="center"/>
    </xf>
    <xf numFmtId="0" fontId="7" fillId="0" borderId="0" xfId="1" applyFont="1" applyAlignment="1">
      <alignment horizontal="right"/>
    </xf>
    <xf numFmtId="0" fontId="8" fillId="4" borderId="0" xfId="1" applyFont="1" applyFill="1" applyAlignment="1">
      <alignment horizontal="right" vertical="center"/>
    </xf>
    <xf numFmtId="15" fontId="7" fillId="4" borderId="0" xfId="1" applyNumberFormat="1" applyFont="1" applyFill="1"/>
    <xf numFmtId="167" fontId="7" fillId="4" borderId="0" xfId="1" applyNumberFormat="1" applyFont="1" applyFill="1"/>
    <xf numFmtId="170" fontId="11" fillId="5" borderId="0" xfId="1" applyNumberFormat="1" applyFont="1" applyFill="1" applyAlignment="1">
      <alignment horizontal="left" vertical="center"/>
    </xf>
    <xf numFmtId="170" fontId="11" fillId="5" borderId="0" xfId="1" applyNumberFormat="1" applyFont="1" applyFill="1" applyAlignment="1">
      <alignment horizontal="right" vertical="center"/>
    </xf>
    <xf numFmtId="0" fontId="7" fillId="4" borderId="0" xfId="1" applyFont="1" applyFill="1" applyAlignment="1">
      <alignment horizontal="right"/>
    </xf>
    <xf numFmtId="170" fontId="11" fillId="4" borderId="0" xfId="1" applyNumberFormat="1" applyFont="1" applyFill="1" applyAlignment="1">
      <alignment horizontal="right" vertical="center"/>
    </xf>
    <xf numFmtId="168" fontId="7" fillId="4" borderId="0" xfId="3" applyNumberFormat="1" applyFont="1" applyFill="1" applyBorder="1"/>
    <xf numFmtId="3" fontId="7" fillId="4" borderId="0" xfId="3" applyNumberFormat="1" applyFont="1" applyFill="1" applyBorder="1"/>
    <xf numFmtId="9" fontId="7" fillId="4" borderId="0" xfId="2" applyFont="1" applyFill="1" applyBorder="1"/>
    <xf numFmtId="165" fontId="7" fillId="4" borderId="0" xfId="3" applyFont="1" applyFill="1"/>
    <xf numFmtId="0" fontId="9" fillId="4" borderId="0" xfId="1" applyFont="1" applyFill="1" applyAlignment="1">
      <alignment horizontal="left"/>
    </xf>
    <xf numFmtId="168" fontId="7" fillId="4" borderId="0" xfId="1" applyNumberFormat="1" applyFont="1" applyFill="1"/>
    <xf numFmtId="3" fontId="7" fillId="4" borderId="0" xfId="1" applyNumberFormat="1" applyFont="1" applyFill="1"/>
    <xf numFmtId="166" fontId="7" fillId="4" borderId="0" xfId="1" applyNumberFormat="1" applyFont="1" applyFill="1"/>
    <xf numFmtId="0" fontId="7" fillId="4" borderId="0" xfId="1" applyFont="1" applyFill="1" applyAlignment="1">
      <alignment horizontal="left"/>
    </xf>
    <xf numFmtId="165" fontId="9" fillId="4" borderId="0" xfId="3" applyFont="1" applyFill="1" applyAlignment="1">
      <alignment horizontal="left"/>
    </xf>
    <xf numFmtId="167" fontId="7" fillId="4" borderId="0" xfId="1" applyNumberFormat="1" applyFont="1" applyFill="1" applyAlignment="1">
      <alignment horizontal="left"/>
    </xf>
    <xf numFmtId="171" fontId="9" fillId="4" borderId="0" xfId="2" applyNumberFormat="1" applyFont="1" applyFill="1" applyBorder="1"/>
    <xf numFmtId="0" fontId="9" fillId="4" borderId="0" xfId="1" applyFont="1" applyFill="1"/>
    <xf numFmtId="9" fontId="9" fillId="4" borderId="0" xfId="2" applyFont="1" applyFill="1" applyBorder="1"/>
    <xf numFmtId="168" fontId="9" fillId="4" borderId="0" xfId="1" applyNumberFormat="1" applyFont="1" applyFill="1"/>
    <xf numFmtId="3" fontId="9" fillId="4" borderId="0" xfId="1" applyNumberFormat="1" applyFont="1" applyFill="1"/>
    <xf numFmtId="172" fontId="7" fillId="4" borderId="0" xfId="1" applyNumberFormat="1" applyFont="1" applyFill="1"/>
    <xf numFmtId="171" fontId="7" fillId="4" borderId="0" xfId="2" applyNumberFormat="1" applyFont="1" applyFill="1" applyBorder="1"/>
    <xf numFmtId="0" fontId="13" fillId="4" borderId="0" xfId="1" applyFont="1" applyFill="1"/>
    <xf numFmtId="167" fontId="13" fillId="4" borderId="0" xfId="1" applyNumberFormat="1" applyFont="1" applyFill="1"/>
    <xf numFmtId="2" fontId="7" fillId="4" borderId="0" xfId="1" applyNumberFormat="1" applyFont="1" applyFill="1"/>
    <xf numFmtId="0" fontId="13" fillId="0" borderId="0" xfId="1" applyFont="1"/>
    <xf numFmtId="167" fontId="9" fillId="4" borderId="0" xfId="1" applyNumberFormat="1" applyFont="1" applyFill="1"/>
    <xf numFmtId="170" fontId="11" fillId="0" borderId="0" xfId="1" applyNumberFormat="1" applyFont="1" applyAlignment="1">
      <alignment horizontal="right" vertical="center"/>
    </xf>
    <xf numFmtId="170" fontId="7" fillId="4" borderId="0" xfId="1" applyNumberFormat="1" applyFont="1" applyFill="1"/>
    <xf numFmtId="0" fontId="7" fillId="0" borderId="0" xfId="1" applyFont="1"/>
    <xf numFmtId="166" fontId="9" fillId="4" borderId="0" xfId="1" applyNumberFormat="1" applyFont="1" applyFill="1"/>
    <xf numFmtId="9" fontId="7" fillId="4" borderId="0" xfId="1" applyNumberFormat="1" applyFont="1" applyFill="1"/>
    <xf numFmtId="0" fontId="7" fillId="4" borderId="0" xfId="1" applyFont="1" applyFill="1" applyAlignment="1">
      <alignment horizontal="center"/>
    </xf>
    <xf numFmtId="167" fontId="7" fillId="0" borderId="0" xfId="1" applyNumberFormat="1" applyFont="1"/>
    <xf numFmtId="1" fontId="7" fillId="4" borderId="0" xfId="1" applyNumberFormat="1" applyFont="1" applyFill="1"/>
    <xf numFmtId="0" fontId="7" fillId="4" borderId="5" xfId="1" applyFont="1" applyFill="1" applyBorder="1"/>
    <xf numFmtId="167" fontId="7" fillId="4" borderId="5" xfId="1" applyNumberFormat="1" applyFont="1" applyFill="1" applyBorder="1"/>
    <xf numFmtId="1" fontId="7" fillId="4" borderId="5" xfId="1" applyNumberFormat="1" applyFont="1" applyFill="1" applyBorder="1"/>
    <xf numFmtId="1" fontId="9" fillId="4" borderId="0" xfId="1" applyNumberFormat="1" applyFont="1" applyFill="1"/>
    <xf numFmtId="169" fontId="7" fillId="4" borderId="0" xfId="2" applyNumberFormat="1" applyFont="1" applyFill="1" applyBorder="1"/>
    <xf numFmtId="9" fontId="7" fillId="4" borderId="0" xfId="2" applyFont="1" applyFill="1"/>
    <xf numFmtId="171" fontId="7" fillId="4" borderId="0" xfId="2" applyNumberFormat="1" applyFont="1" applyFill="1"/>
    <xf numFmtId="168" fontId="7" fillId="4" borderId="5" xfId="1" applyNumberFormat="1" applyFont="1" applyFill="1" applyBorder="1"/>
    <xf numFmtId="3" fontId="7" fillId="4" borderId="5" xfId="1" applyNumberFormat="1" applyFont="1" applyFill="1" applyBorder="1"/>
    <xf numFmtId="49" fontId="7" fillId="4" borderId="0" xfId="1" applyNumberFormat="1" applyFont="1" applyFill="1"/>
    <xf numFmtId="49" fontId="7" fillId="4" borderId="0" xfId="3" applyNumberFormat="1" applyFont="1" applyFill="1" applyBorder="1"/>
    <xf numFmtId="49" fontId="7" fillId="4" borderId="5" xfId="1" applyNumberFormat="1" applyFont="1" applyFill="1" applyBorder="1" applyAlignment="1">
      <alignment horizontal="left"/>
    </xf>
    <xf numFmtId="49" fontId="9" fillId="4" borderId="0" xfId="1" applyNumberFormat="1" applyFont="1" applyFill="1"/>
    <xf numFmtId="49" fontId="9" fillId="4" borderId="6" xfId="1" applyNumberFormat="1" applyFont="1" applyFill="1" applyBorder="1"/>
    <xf numFmtId="168" fontId="9" fillId="4" borderId="6" xfId="1" applyNumberFormat="1" applyFont="1" applyFill="1" applyBorder="1"/>
    <xf numFmtId="3" fontId="9" fillId="4" borderId="6" xfId="1" applyNumberFormat="1" applyFont="1" applyFill="1" applyBorder="1"/>
    <xf numFmtId="9" fontId="7" fillId="6" borderId="0" xfId="2" applyFont="1" applyFill="1" applyBorder="1"/>
    <xf numFmtId="9" fontId="7" fillId="0" borderId="0" xfId="2" applyFont="1" applyFill="1" applyBorder="1"/>
    <xf numFmtId="167" fontId="7" fillId="4" borderId="0" xfId="1" applyNumberFormat="1" applyFont="1" applyFill="1" applyAlignment="1">
      <alignment horizontal="right"/>
    </xf>
    <xf numFmtId="0" fontId="14" fillId="4" borderId="0" xfId="1" applyFont="1" applyFill="1"/>
    <xf numFmtId="0" fontId="9" fillId="4" borderId="6" xfId="1" applyFont="1" applyFill="1" applyBorder="1"/>
    <xf numFmtId="174" fontId="7" fillId="4" borderId="0" xfId="1" applyNumberFormat="1" applyFont="1" applyFill="1"/>
    <xf numFmtId="171" fontId="7" fillId="4" borderId="0" xfId="1" applyNumberFormat="1" applyFont="1" applyFill="1"/>
    <xf numFmtId="175" fontId="7" fillId="4" borderId="0" xfId="1" applyNumberFormat="1" applyFont="1" applyFill="1"/>
    <xf numFmtId="176" fontId="7" fillId="4" borderId="0" xfId="3" applyNumberFormat="1" applyFont="1" applyFill="1" applyAlignment="1">
      <alignment horizontal="right"/>
    </xf>
    <xf numFmtId="16" fontId="11" fillId="4" borderId="0" xfId="1" quotePrefix="1" applyNumberFormat="1" applyFont="1" applyFill="1" applyAlignment="1">
      <alignment horizontal="right" wrapText="1"/>
    </xf>
    <xf numFmtId="0" fontId="15" fillId="4" borderId="0" xfId="1" applyFont="1" applyFill="1" applyAlignment="1">
      <alignment horizontal="left"/>
    </xf>
    <xf numFmtId="167" fontId="13" fillId="4" borderId="0" xfId="1" applyNumberFormat="1" applyFont="1" applyFill="1" applyAlignment="1">
      <alignment horizontal="right"/>
    </xf>
    <xf numFmtId="0" fontId="13" fillId="4" borderId="0" xfId="1" applyFont="1" applyFill="1" applyAlignment="1">
      <alignment horizontal="right"/>
    </xf>
    <xf numFmtId="171" fontId="13" fillId="4" borderId="0" xfId="1" applyNumberFormat="1" applyFont="1" applyFill="1"/>
    <xf numFmtId="171" fontId="13" fillId="4" borderId="0" xfId="2" applyNumberFormat="1" applyFont="1" applyFill="1"/>
    <xf numFmtId="167" fontId="7" fillId="4" borderId="0" xfId="2" applyNumberFormat="1" applyFont="1" applyFill="1"/>
    <xf numFmtId="167" fontId="13" fillId="4" borderId="0" xfId="2" applyNumberFormat="1" applyFont="1" applyFill="1"/>
    <xf numFmtId="0" fontId="16" fillId="4" borderId="0" xfId="1" applyFont="1" applyFill="1" applyAlignment="1">
      <alignment vertical="center"/>
    </xf>
    <xf numFmtId="0" fontId="16" fillId="4" borderId="0" xfId="1" applyFont="1" applyFill="1" applyAlignment="1">
      <alignment horizontal="left" vertical="center"/>
    </xf>
    <xf numFmtId="49" fontId="7" fillId="4" borderId="0" xfId="3" applyNumberFormat="1" applyFont="1" applyFill="1"/>
    <xf numFmtId="166" fontId="17" fillId="0" borderId="0" xfId="1" applyNumberFormat="1" applyFont="1"/>
    <xf numFmtId="0" fontId="18" fillId="0" borderId="0" xfId="1" applyFont="1" applyAlignment="1">
      <alignment horizontal="center" vertical="center"/>
    </xf>
    <xf numFmtId="0" fontId="18" fillId="0" borderId="0" xfId="1" applyFont="1" applyAlignment="1">
      <alignment horizontal="right"/>
    </xf>
    <xf numFmtId="171" fontId="18" fillId="0" borderId="0" xfId="2" applyNumberFormat="1" applyFont="1" applyFill="1" applyBorder="1"/>
    <xf numFmtId="0" fontId="19" fillId="0" borderId="0" xfId="1" applyFont="1"/>
    <xf numFmtId="0" fontId="9" fillId="3" borderId="10" xfId="1" applyFont="1" applyFill="1" applyBorder="1" applyAlignment="1">
      <alignment horizontal="left"/>
    </xf>
    <xf numFmtId="171" fontId="9" fillId="3" borderId="11" xfId="2" applyNumberFormat="1" applyFont="1" applyFill="1" applyBorder="1" applyAlignment="1">
      <alignment horizontal="right"/>
    </xf>
    <xf numFmtId="0" fontId="9" fillId="3" borderId="11" xfId="1" applyFont="1" applyFill="1" applyBorder="1" applyAlignment="1">
      <alignment horizontal="right" wrapText="1"/>
    </xf>
    <xf numFmtId="0" fontId="18" fillId="3" borderId="12" xfId="1" applyFont="1" applyFill="1" applyBorder="1" applyAlignment="1">
      <alignment horizontal="center"/>
    </xf>
    <xf numFmtId="0" fontId="19" fillId="0" borderId="13" xfId="1" applyFont="1" applyBorder="1" applyAlignment="1">
      <alignment horizontal="left" indent="1"/>
    </xf>
    <xf numFmtId="9" fontId="21" fillId="0" borderId="0" xfId="2" applyFont="1" applyFill="1" applyBorder="1"/>
    <xf numFmtId="2" fontId="7" fillId="0" borderId="0" xfId="1" applyNumberFormat="1" applyFont="1" applyAlignment="1">
      <alignment horizontal="right"/>
    </xf>
    <xf numFmtId="177" fontId="19" fillId="0" borderId="14" xfId="1" applyNumberFormat="1" applyFont="1" applyBorder="1" applyAlignment="1">
      <alignment horizontal="center"/>
    </xf>
    <xf numFmtId="0" fontId="19" fillId="0" borderId="15" xfId="1" applyFont="1" applyBorder="1" applyAlignment="1">
      <alignment horizontal="left" indent="1"/>
    </xf>
    <xf numFmtId="9" fontId="21" fillId="0" borderId="16" xfId="2" applyFont="1" applyFill="1" applyBorder="1"/>
    <xf numFmtId="2" fontId="7" fillId="0" borderId="16" xfId="1" applyNumberFormat="1" applyFont="1" applyBorder="1" applyAlignment="1">
      <alignment horizontal="right"/>
    </xf>
    <xf numFmtId="177" fontId="19" fillId="0" borderId="17" xfId="1" applyNumberFormat="1" applyFont="1" applyBorder="1" applyAlignment="1">
      <alignment horizontal="center"/>
    </xf>
    <xf numFmtId="0" fontId="19" fillId="0" borderId="15" xfId="1" applyFont="1" applyBorder="1" applyAlignment="1">
      <alignment horizontal="left"/>
    </xf>
    <xf numFmtId="9" fontId="19" fillId="0" borderId="16" xfId="2" applyFont="1" applyFill="1" applyBorder="1"/>
    <xf numFmtId="2" fontId="7" fillId="0" borderId="16" xfId="1" applyNumberFormat="1" applyFont="1" applyBorder="1"/>
    <xf numFmtId="0" fontId="19" fillId="0" borderId="10" xfId="1" applyFont="1" applyBorder="1" applyAlignment="1">
      <alignment horizontal="left" indent="1"/>
    </xf>
    <xf numFmtId="9" fontId="18" fillId="0" borderId="11" xfId="2" applyFont="1" applyFill="1" applyBorder="1"/>
    <xf numFmtId="9" fontId="21" fillId="0" borderId="11" xfId="2" applyFont="1" applyFill="1" applyBorder="1"/>
    <xf numFmtId="9" fontId="18" fillId="0" borderId="0" xfId="2" applyFont="1" applyFill="1" applyBorder="1"/>
    <xf numFmtId="169" fontId="7" fillId="0" borderId="0" xfId="1" applyNumberFormat="1" applyFont="1" applyAlignment="1">
      <alignment horizontal="right"/>
    </xf>
    <xf numFmtId="0" fontId="18" fillId="0" borderId="15" xfId="1" applyFont="1" applyBorder="1" applyAlignment="1">
      <alignment horizontal="left"/>
    </xf>
    <xf numFmtId="9" fontId="18" fillId="0" borderId="16" xfId="2" applyFont="1" applyFill="1" applyBorder="1"/>
    <xf numFmtId="169" fontId="9" fillId="0" borderId="16" xfId="1" applyNumberFormat="1" applyFont="1" applyBorder="1" applyAlignment="1">
      <alignment horizontal="right"/>
    </xf>
    <xf numFmtId="166" fontId="18" fillId="0" borderId="16" xfId="1" applyNumberFormat="1" applyFont="1" applyBorder="1"/>
    <xf numFmtId="9" fontId="19" fillId="0" borderId="17" xfId="2" applyFont="1" applyFill="1" applyBorder="1"/>
    <xf numFmtId="171" fontId="19" fillId="0" borderId="0" xfId="2" applyNumberFormat="1" applyFont="1" applyFill="1" applyBorder="1"/>
    <xf numFmtId="0" fontId="11" fillId="7" borderId="10" xfId="1" applyFont="1" applyFill="1" applyBorder="1" applyAlignment="1">
      <alignment horizontal="left"/>
    </xf>
    <xf numFmtId="166" fontId="11" fillId="7" borderId="11" xfId="1" applyNumberFormat="1" applyFont="1" applyFill="1" applyBorder="1" applyAlignment="1">
      <alignment horizontal="right"/>
    </xf>
    <xf numFmtId="9" fontId="11" fillId="7" borderId="11" xfId="2" applyFont="1" applyFill="1" applyBorder="1" applyAlignment="1">
      <alignment horizontal="right"/>
    </xf>
    <xf numFmtId="171" fontId="11" fillId="7" borderId="12" xfId="2" applyNumberFormat="1" applyFont="1" applyFill="1" applyBorder="1" applyAlignment="1">
      <alignment horizontal="right"/>
    </xf>
    <xf numFmtId="0" fontId="19" fillId="4" borderId="10" xfId="1" applyFont="1" applyFill="1" applyBorder="1" applyAlignment="1">
      <alignment horizontal="left" indent="1"/>
    </xf>
    <xf numFmtId="166" fontId="19" fillId="4" borderId="11" xfId="1" applyNumberFormat="1" applyFont="1" applyFill="1" applyBorder="1"/>
    <xf numFmtId="9" fontId="19" fillId="4" borderId="12" xfId="2" applyFont="1" applyFill="1" applyBorder="1"/>
    <xf numFmtId="0" fontId="19" fillId="8" borderId="13" xfId="1" applyFont="1" applyFill="1" applyBorder="1" applyAlignment="1">
      <alignment horizontal="left" indent="1"/>
    </xf>
    <xf numFmtId="166" fontId="19" fillId="8" borderId="0" xfId="1" applyNumberFormat="1" applyFont="1" applyFill="1"/>
    <xf numFmtId="9" fontId="19" fillId="8" borderId="14" xfId="2" applyFont="1" applyFill="1" applyBorder="1"/>
    <xf numFmtId="0" fontId="19" fillId="4" borderId="13" xfId="1" applyFont="1" applyFill="1" applyBorder="1" applyAlignment="1">
      <alignment horizontal="left"/>
    </xf>
    <xf numFmtId="166" fontId="19" fillId="4" borderId="0" xfId="1" applyNumberFormat="1" applyFont="1" applyFill="1"/>
    <xf numFmtId="9" fontId="19" fillId="4" borderId="14" xfId="2" applyFont="1" applyFill="1" applyBorder="1"/>
    <xf numFmtId="9" fontId="19" fillId="8" borderId="0" xfId="2" applyFont="1" applyFill="1" applyBorder="1"/>
    <xf numFmtId="0" fontId="18" fillId="8" borderId="15" xfId="1" applyFont="1" applyFill="1" applyBorder="1" applyAlignment="1">
      <alignment horizontal="left"/>
    </xf>
    <xf numFmtId="166" fontId="18" fillId="8" borderId="16" xfId="1" applyNumberFormat="1" applyFont="1" applyFill="1" applyBorder="1"/>
    <xf numFmtId="169" fontId="19" fillId="4" borderId="0" xfId="1" applyNumberFormat="1" applyFont="1" applyFill="1"/>
    <xf numFmtId="0" fontId="19" fillId="8" borderId="15" xfId="1" applyFont="1" applyFill="1" applyBorder="1" applyAlignment="1">
      <alignment horizontal="left"/>
    </xf>
    <xf numFmtId="169" fontId="19" fillId="8" borderId="16" xfId="1" applyNumberFormat="1" applyFont="1" applyFill="1" applyBorder="1"/>
    <xf numFmtId="9" fontId="19" fillId="8" borderId="17" xfId="2" applyFont="1" applyFill="1" applyBorder="1"/>
    <xf numFmtId="178" fontId="11" fillId="0" borderId="0" xfId="1" applyNumberFormat="1" applyFont="1"/>
    <xf numFmtId="178" fontId="9" fillId="3" borderId="10" xfId="4" applyFont="1" applyFill="1" applyBorder="1"/>
    <xf numFmtId="178" fontId="9" fillId="3" borderId="11" xfId="4" applyFont="1" applyFill="1" applyBorder="1" applyAlignment="1">
      <alignment horizontal="right"/>
    </xf>
    <xf numFmtId="178" fontId="9" fillId="3" borderId="12" xfId="4" applyFont="1" applyFill="1" applyBorder="1" applyAlignment="1">
      <alignment horizontal="right"/>
    </xf>
    <xf numFmtId="178" fontId="7" fillId="0" borderId="13" xfId="4" applyFont="1" applyBorder="1"/>
    <xf numFmtId="173" fontId="24" fillId="0" borderId="0" xfId="1" applyNumberFormat="1" applyFont="1"/>
    <xf numFmtId="173" fontId="24" fillId="0" borderId="14" xfId="1" applyNumberFormat="1" applyFont="1" applyBorder="1"/>
    <xf numFmtId="0" fontId="7" fillId="0" borderId="13" xfId="1" applyFont="1" applyBorder="1"/>
    <xf numFmtId="173" fontId="19" fillId="0" borderId="0" xfId="1" applyNumberFormat="1" applyFont="1"/>
    <xf numFmtId="0" fontId="19" fillId="0" borderId="14" xfId="1" applyFont="1" applyBorder="1"/>
    <xf numFmtId="178" fontId="9" fillId="3" borderId="13" xfId="4" applyFont="1" applyFill="1" applyBorder="1"/>
    <xf numFmtId="178" fontId="10" fillId="3" borderId="0" xfId="4" applyFont="1" applyFill="1" applyAlignment="1">
      <alignment horizontal="right"/>
    </xf>
    <xf numFmtId="178" fontId="10" fillId="3" borderId="14" xfId="4" applyFont="1" applyFill="1" applyBorder="1" applyAlignment="1">
      <alignment horizontal="right"/>
    </xf>
    <xf numFmtId="167" fontId="7" fillId="0" borderId="14" xfId="1" applyNumberFormat="1" applyFont="1" applyBorder="1"/>
    <xf numFmtId="173" fontId="7" fillId="0" borderId="0" xfId="1" applyNumberFormat="1" applyFont="1"/>
    <xf numFmtId="173" fontId="7" fillId="0" borderId="14" xfId="1" applyNumberFormat="1" applyFont="1" applyBorder="1"/>
    <xf numFmtId="0" fontId="7" fillId="0" borderId="13" xfId="1" applyFont="1" applyBorder="1" applyAlignment="1">
      <alignment horizontal="left"/>
    </xf>
    <xf numFmtId="9" fontId="21" fillId="0" borderId="0" xfId="1" applyNumberFormat="1" applyFont="1"/>
    <xf numFmtId="9" fontId="21" fillId="0" borderId="14" xfId="1" applyNumberFormat="1" applyFont="1" applyBorder="1"/>
    <xf numFmtId="180" fontId="7" fillId="0" borderId="0" xfId="1" applyNumberFormat="1" applyFont="1"/>
    <xf numFmtId="180" fontId="7" fillId="0" borderId="14" xfId="1" applyNumberFormat="1" applyFont="1" applyBorder="1"/>
    <xf numFmtId="166" fontId="19" fillId="0" borderId="0" xfId="1" applyNumberFormat="1" applyFont="1"/>
    <xf numFmtId="166" fontId="19" fillId="0" borderId="14" xfId="1" applyNumberFormat="1" applyFont="1" applyBorder="1"/>
    <xf numFmtId="2" fontId="7" fillId="0" borderId="0" xfId="1" applyNumberFormat="1" applyFont="1"/>
    <xf numFmtId="2" fontId="7" fillId="0" borderId="14" xfId="1" applyNumberFormat="1" applyFont="1" applyBorder="1"/>
    <xf numFmtId="0" fontId="9" fillId="0" borderId="15" xfId="1" applyFont="1" applyBorder="1"/>
    <xf numFmtId="166" fontId="18" fillId="9" borderId="16" xfId="1" applyNumberFormat="1" applyFont="1" applyFill="1" applyBorder="1"/>
    <xf numFmtId="178" fontId="9" fillId="3" borderId="12" xfId="4" applyFont="1" applyFill="1" applyBorder="1"/>
    <xf numFmtId="178" fontId="9" fillId="0" borderId="0" xfId="1" applyNumberFormat="1" applyFont="1"/>
    <xf numFmtId="9" fontId="7" fillId="0" borderId="0" xfId="1" applyNumberFormat="1" applyFont="1"/>
    <xf numFmtId="15" fontId="24" fillId="10" borderId="14" xfId="1" applyNumberFormat="1" applyFont="1" applyFill="1" applyBorder="1"/>
    <xf numFmtId="15" fontId="7" fillId="0" borderId="0" xfId="1" applyNumberFormat="1" applyFont="1"/>
    <xf numFmtId="10" fontId="7" fillId="0" borderId="0" xfId="1" applyNumberFormat="1" applyFont="1"/>
    <xf numFmtId="15" fontId="7" fillId="0" borderId="14" xfId="1" applyNumberFormat="1" applyFont="1" applyBorder="1"/>
    <xf numFmtId="171" fontId="7" fillId="0" borderId="0" xfId="2" applyNumberFormat="1" applyFont="1" applyFill="1" applyBorder="1"/>
    <xf numFmtId="178" fontId="7" fillId="0" borderId="15" xfId="4" applyFont="1" applyBorder="1"/>
    <xf numFmtId="9" fontId="7" fillId="0" borderId="0" xfId="1" applyNumberFormat="1" applyFont="1" applyAlignment="1">
      <alignment horizontal="left"/>
    </xf>
    <xf numFmtId="0" fontId="9" fillId="0" borderId="0" xfId="1" applyFont="1"/>
    <xf numFmtId="171" fontId="9" fillId="0" borderId="0" xfId="2" applyNumberFormat="1" applyFont="1" applyFill="1" applyBorder="1"/>
    <xf numFmtId="178" fontId="7" fillId="0" borderId="0" xfId="1" applyNumberFormat="1" applyFont="1"/>
    <xf numFmtId="0" fontId="7" fillId="0" borderId="13" xfId="1" applyFont="1" applyBorder="1" applyAlignment="1">
      <alignment horizontal="left" indent="1"/>
    </xf>
    <xf numFmtId="166" fontId="7" fillId="0" borderId="14" xfId="1" applyNumberFormat="1" applyFont="1" applyBorder="1"/>
    <xf numFmtId="1" fontId="7" fillId="10" borderId="14" xfId="1" applyNumberFormat="1" applyFont="1" applyFill="1" applyBorder="1"/>
    <xf numFmtId="3" fontId="7" fillId="0" borderId="14" xfId="1" applyNumberFormat="1" applyFont="1" applyBorder="1"/>
    <xf numFmtId="165" fontId="7" fillId="0" borderId="0" xfId="1" applyNumberFormat="1" applyFont="1"/>
    <xf numFmtId="3" fontId="7" fillId="10" borderId="14" xfId="1" applyNumberFormat="1" applyFont="1" applyFill="1" applyBorder="1"/>
    <xf numFmtId="0" fontId="9" fillId="0" borderId="13" xfId="1" applyFont="1" applyBorder="1" applyAlignment="1">
      <alignment horizontal="left"/>
    </xf>
    <xf numFmtId="3" fontId="9" fillId="0" borderId="14" xfId="1" applyNumberFormat="1" applyFont="1" applyBorder="1"/>
    <xf numFmtId="176" fontId="7" fillId="0" borderId="0" xfId="1" applyNumberFormat="1" applyFont="1"/>
    <xf numFmtId="171" fontId="21" fillId="0" borderId="14" xfId="2" applyNumberFormat="1" applyFont="1" applyBorder="1"/>
    <xf numFmtId="171" fontId="21" fillId="0" borderId="14" xfId="1" applyNumberFormat="1" applyFont="1" applyBorder="1"/>
    <xf numFmtId="9" fontId="7" fillId="0" borderId="14" xfId="2" applyFont="1" applyFill="1" applyBorder="1"/>
    <xf numFmtId="0" fontId="7" fillId="0" borderId="13" xfId="1" quotePrefix="1" applyFont="1" applyBorder="1" applyAlignment="1">
      <alignment horizontal="left" indent="1"/>
    </xf>
    <xf numFmtId="9" fontId="7" fillId="0" borderId="14" xfId="1" applyNumberFormat="1" applyFont="1" applyBorder="1"/>
    <xf numFmtId="167" fontId="25" fillId="0" borderId="14" xfId="1" applyNumberFormat="1" applyFont="1" applyBorder="1"/>
    <xf numFmtId="0" fontId="9" fillId="0" borderId="13" xfId="1" applyFont="1" applyBorder="1"/>
    <xf numFmtId="171" fontId="9" fillId="0" borderId="14" xfId="1" applyNumberFormat="1" applyFont="1" applyBorder="1"/>
    <xf numFmtId="171" fontId="7" fillId="0" borderId="14" xfId="1" applyNumberFormat="1" applyFont="1" applyBorder="1"/>
    <xf numFmtId="0" fontId="10" fillId="0" borderId="15" xfId="1" applyFont="1" applyBorder="1"/>
    <xf numFmtId="171" fontId="18" fillId="0" borderId="17" xfId="2" applyNumberFormat="1" applyFont="1" applyFill="1" applyBorder="1"/>
    <xf numFmtId="178" fontId="9" fillId="3" borderId="10" xfId="1" applyNumberFormat="1" applyFont="1" applyFill="1" applyBorder="1"/>
    <xf numFmtId="178" fontId="9" fillId="3" borderId="11" xfId="1" applyNumberFormat="1" applyFont="1" applyFill="1" applyBorder="1" applyAlignment="1">
      <alignment horizontal="right"/>
    </xf>
    <xf numFmtId="178" fontId="9" fillId="3" borderId="12" xfId="1" applyNumberFormat="1" applyFont="1" applyFill="1" applyBorder="1" applyAlignment="1">
      <alignment horizontal="right"/>
    </xf>
    <xf numFmtId="178" fontId="11" fillId="0" borderId="0" xfId="1" applyNumberFormat="1" applyFont="1" applyAlignment="1">
      <alignment horizontal="right"/>
    </xf>
    <xf numFmtId="178" fontId="7" fillId="0" borderId="13" xfId="1" applyNumberFormat="1" applyFont="1" applyBorder="1" applyAlignment="1">
      <alignment horizontal="left" indent="1"/>
    </xf>
    <xf numFmtId="1" fontId="7" fillId="0" borderId="0" xfId="1" applyNumberFormat="1" applyFont="1"/>
    <xf numFmtId="1" fontId="7" fillId="0" borderId="14" xfId="1" applyNumberFormat="1" applyFont="1" applyBorder="1"/>
    <xf numFmtId="9" fontId="7" fillId="10" borderId="0" xfId="1" applyNumberFormat="1" applyFont="1" applyFill="1"/>
    <xf numFmtId="178" fontId="26" fillId="0" borderId="13" xfId="1" applyNumberFormat="1" applyFont="1" applyBorder="1" applyAlignment="1">
      <alignment horizontal="left" indent="1"/>
    </xf>
    <xf numFmtId="178" fontId="26" fillId="0" borderId="0" xfId="1" applyNumberFormat="1" applyFont="1"/>
    <xf numFmtId="178" fontId="7" fillId="0" borderId="13" xfId="1" applyNumberFormat="1" applyFont="1" applyBorder="1"/>
    <xf numFmtId="2" fontId="7" fillId="10" borderId="0" xfId="1" applyNumberFormat="1" applyFont="1" applyFill="1"/>
    <xf numFmtId="171" fontId="7" fillId="0" borderId="0" xfId="1" applyNumberFormat="1" applyFont="1"/>
    <xf numFmtId="178" fontId="7" fillId="0" borderId="0" xfId="1" applyNumberFormat="1" applyFont="1" applyAlignment="1">
      <alignment horizontal="right"/>
    </xf>
    <xf numFmtId="178" fontId="7" fillId="0" borderId="14" xfId="1" applyNumberFormat="1" applyFont="1" applyBorder="1" applyAlignment="1">
      <alignment horizontal="right"/>
    </xf>
    <xf numFmtId="182" fontId="7" fillId="0" borderId="0" xfId="1" applyNumberFormat="1" applyFont="1" applyAlignment="1">
      <alignment horizontal="right"/>
    </xf>
    <xf numFmtId="183" fontId="7" fillId="0" borderId="0" xfId="1" applyNumberFormat="1" applyFont="1"/>
    <xf numFmtId="183" fontId="7" fillId="0" borderId="14" xfId="1" applyNumberFormat="1" applyFont="1" applyBorder="1"/>
    <xf numFmtId="167" fontId="9" fillId="0" borderId="0" xfId="1" applyNumberFormat="1" applyFont="1"/>
    <xf numFmtId="183" fontId="9" fillId="0" borderId="0" xfId="1" applyNumberFormat="1" applyFont="1"/>
    <xf numFmtId="184" fontId="9" fillId="0" borderId="0" xfId="3" applyNumberFormat="1" applyFont="1" applyFill="1" applyBorder="1"/>
    <xf numFmtId="2" fontId="9" fillId="0" borderId="0" xfId="1" applyNumberFormat="1" applyFont="1"/>
    <xf numFmtId="182" fontId="7" fillId="0" borderId="14" xfId="1" applyNumberFormat="1" applyFont="1" applyBorder="1" applyAlignment="1">
      <alignment horizontal="right"/>
    </xf>
    <xf numFmtId="178" fontId="9" fillId="0" borderId="13" xfId="1" applyNumberFormat="1" applyFont="1" applyBorder="1"/>
    <xf numFmtId="1" fontId="9" fillId="0" borderId="0" xfId="1" applyNumberFormat="1" applyFont="1"/>
    <xf numFmtId="1" fontId="9" fillId="0" borderId="14" xfId="1" applyNumberFormat="1" applyFont="1" applyBorder="1"/>
    <xf numFmtId="178" fontId="9" fillId="0" borderId="15" xfId="1" applyNumberFormat="1" applyFont="1" applyBorder="1"/>
    <xf numFmtId="184" fontId="9" fillId="0" borderId="16" xfId="1" applyNumberFormat="1" applyFont="1" applyBorder="1"/>
    <xf numFmtId="3" fontId="9" fillId="0" borderId="17" xfId="1" applyNumberFormat="1" applyFont="1" applyBorder="1"/>
    <xf numFmtId="184" fontId="7" fillId="0" borderId="0" xfId="3" applyNumberFormat="1" applyFont="1" applyFill="1" applyBorder="1"/>
    <xf numFmtId="178" fontId="7" fillId="3" borderId="11" xfId="1" applyNumberFormat="1" applyFont="1" applyFill="1" applyBorder="1" applyAlignment="1">
      <alignment horizontal="right"/>
    </xf>
    <xf numFmtId="178" fontId="7" fillId="3" borderId="12" xfId="1" applyNumberFormat="1" applyFont="1" applyFill="1" applyBorder="1" applyAlignment="1">
      <alignment horizontal="right"/>
    </xf>
    <xf numFmtId="3" fontId="7" fillId="0" borderId="0" xfId="3" applyNumberFormat="1" applyFont="1" applyFill="1" applyBorder="1"/>
    <xf numFmtId="166" fontId="7" fillId="0" borderId="14" xfId="5" applyNumberFormat="1" applyFont="1" applyFill="1" applyBorder="1"/>
    <xf numFmtId="184" fontId="7" fillId="0" borderId="0" xfId="1" applyNumberFormat="1" applyFont="1"/>
    <xf numFmtId="166" fontId="7" fillId="0" borderId="0" xfId="1" applyNumberFormat="1" applyFont="1"/>
    <xf numFmtId="166" fontId="7" fillId="0" borderId="0" xfId="5" applyNumberFormat="1" applyFont="1" applyFill="1" applyBorder="1"/>
    <xf numFmtId="3" fontId="7" fillId="0" borderId="0" xfId="1" applyNumberFormat="1" applyFont="1"/>
    <xf numFmtId="166" fontId="9" fillId="0" borderId="0" xfId="5" applyNumberFormat="1" applyFont="1" applyFill="1" applyBorder="1"/>
    <xf numFmtId="178" fontId="27" fillId="0" borderId="0" xfId="1" applyNumberFormat="1" applyFont="1"/>
    <xf numFmtId="3" fontId="9" fillId="0" borderId="0" xfId="1" applyNumberFormat="1" applyFont="1"/>
    <xf numFmtId="166" fontId="9" fillId="0" borderId="14" xfId="5" applyNumberFormat="1" applyFont="1" applyFill="1" applyBorder="1"/>
    <xf numFmtId="178" fontId="19" fillId="0" borderId="13" xfId="1" applyNumberFormat="1" applyFont="1" applyBorder="1"/>
    <xf numFmtId="178" fontId="19" fillId="0" borderId="0" xfId="1" applyNumberFormat="1" applyFont="1"/>
    <xf numFmtId="178" fontId="7" fillId="0" borderId="15" xfId="1" applyNumberFormat="1" applyFont="1" applyBorder="1"/>
    <xf numFmtId="0" fontId="7" fillId="0" borderId="16" xfId="1" applyFont="1" applyBorder="1"/>
    <xf numFmtId="3" fontId="7" fillId="0" borderId="17" xfId="1" applyNumberFormat="1" applyFont="1" applyBorder="1"/>
    <xf numFmtId="178" fontId="14" fillId="0" borderId="0" xfId="1" applyNumberFormat="1" applyFont="1"/>
    <xf numFmtId="166" fontId="9" fillId="9" borderId="14" xfId="5" applyNumberFormat="1" applyFont="1" applyFill="1" applyBorder="1"/>
    <xf numFmtId="166" fontId="28" fillId="0" borderId="0" xfId="1" applyNumberFormat="1" applyFont="1"/>
    <xf numFmtId="166" fontId="11" fillId="0" borderId="0" xfId="1" applyNumberFormat="1" applyFont="1"/>
    <xf numFmtId="2" fontId="24" fillId="10" borderId="14" xfId="1" applyNumberFormat="1" applyFont="1" applyFill="1" applyBorder="1"/>
    <xf numFmtId="178" fontId="19" fillId="0" borderId="15" xfId="1" applyNumberFormat="1" applyFont="1" applyBorder="1"/>
    <xf numFmtId="178" fontId="19" fillId="0" borderId="16" xfId="1" applyNumberFormat="1" applyFont="1" applyBorder="1"/>
    <xf numFmtId="1" fontId="19" fillId="0" borderId="17" xfId="1" applyNumberFormat="1" applyFont="1" applyBorder="1"/>
    <xf numFmtId="0" fontId="9" fillId="0" borderId="0" xfId="1" applyFont="1" applyAlignment="1">
      <alignment vertical="center"/>
    </xf>
    <xf numFmtId="0" fontId="10" fillId="0" borderId="22" xfId="1" applyFont="1" applyBorder="1" applyAlignment="1">
      <alignment horizontal="center" vertical="center"/>
    </xf>
    <xf numFmtId="0" fontId="13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right" vertical="center"/>
    </xf>
    <xf numFmtId="2" fontId="7" fillId="0" borderId="0" xfId="1" applyNumberFormat="1" applyFont="1" applyAlignment="1">
      <alignment horizontal="right" vertical="center"/>
    </xf>
    <xf numFmtId="0" fontId="7" fillId="0" borderId="20" xfId="1" applyFont="1" applyBorder="1" applyAlignment="1">
      <alignment horizontal="right" vertical="center"/>
    </xf>
    <xf numFmtId="0" fontId="7" fillId="0" borderId="0" xfId="1" applyFont="1" applyAlignment="1">
      <alignment vertical="center"/>
    </xf>
    <xf numFmtId="185" fontId="10" fillId="0" borderId="22" xfId="1" applyNumberFormat="1" applyFont="1" applyBorder="1" applyAlignment="1">
      <alignment horizontal="left" vertical="center"/>
    </xf>
    <xf numFmtId="167" fontId="13" fillId="0" borderId="3" xfId="1" applyNumberFormat="1" applyFont="1" applyBorder="1" applyAlignment="1">
      <alignment horizontal="center" vertical="center" wrapText="1"/>
    </xf>
    <xf numFmtId="0" fontId="10" fillId="0" borderId="0" xfId="1" applyFont="1" applyAlignment="1">
      <alignment horizontal="center" vertical="center"/>
    </xf>
    <xf numFmtId="0" fontId="13" fillId="0" borderId="0" xfId="1" applyFont="1" applyAlignment="1">
      <alignment horizontal="center" vertical="center" wrapText="1"/>
    </xf>
    <xf numFmtId="0" fontId="7" fillId="4" borderId="0" xfId="1" applyFont="1" applyFill="1" applyAlignment="1">
      <alignment vertical="center"/>
    </xf>
    <xf numFmtId="0" fontId="9" fillId="9" borderId="0" xfId="1" applyFont="1" applyFill="1" applyAlignment="1">
      <alignment horizontal="right" vertical="center"/>
    </xf>
    <xf numFmtId="0" fontId="11" fillId="5" borderId="0" xfId="1" applyFont="1" applyFill="1" applyAlignment="1">
      <alignment vertical="center"/>
    </xf>
    <xf numFmtId="0" fontId="11" fillId="5" borderId="0" xfId="1" applyFont="1" applyFill="1" applyAlignment="1">
      <alignment horizontal="right" vertical="center"/>
    </xf>
    <xf numFmtId="0" fontId="11" fillId="5" borderId="20" xfId="1" applyFont="1" applyFill="1" applyBorder="1" applyAlignment="1">
      <alignment horizontal="right" vertical="center"/>
    </xf>
    <xf numFmtId="0" fontId="13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right" vertical="center"/>
    </xf>
    <xf numFmtId="0" fontId="11" fillId="0" borderId="20" xfId="1" applyFont="1" applyBorder="1" applyAlignment="1">
      <alignment horizontal="right" vertical="center"/>
    </xf>
    <xf numFmtId="0" fontId="13" fillId="4" borderId="0" xfId="1" applyFont="1" applyFill="1" applyAlignment="1">
      <alignment vertical="center"/>
    </xf>
    <xf numFmtId="0" fontId="13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 applyAlignment="1">
      <alignment horizontal="right" vertical="center"/>
    </xf>
    <xf numFmtId="0" fontId="13" fillId="5" borderId="20" xfId="1" applyFont="1" applyFill="1" applyBorder="1" applyAlignment="1">
      <alignment horizontal="right" vertical="center"/>
    </xf>
    <xf numFmtId="0" fontId="9" fillId="3" borderId="0" xfId="1" applyFont="1" applyFill="1" applyAlignment="1">
      <alignment vertical="center"/>
    </xf>
    <xf numFmtId="0" fontId="7" fillId="3" borderId="0" xfId="1" applyFont="1" applyFill="1" applyAlignment="1">
      <alignment horizontal="center" vertical="center"/>
    </xf>
    <xf numFmtId="0" fontId="7" fillId="3" borderId="0" xfId="1" applyFont="1" applyFill="1" applyAlignment="1">
      <alignment horizontal="right" vertical="center"/>
    </xf>
    <xf numFmtId="1" fontId="7" fillId="3" borderId="0" xfId="1" applyNumberFormat="1" applyFont="1" applyFill="1" applyAlignment="1">
      <alignment horizontal="right" vertical="center"/>
    </xf>
    <xf numFmtId="167" fontId="7" fillId="3" borderId="0" xfId="1" applyNumberFormat="1" applyFont="1" applyFill="1" applyAlignment="1">
      <alignment horizontal="right" vertical="center"/>
    </xf>
    <xf numFmtId="167" fontId="7" fillId="3" borderId="20" xfId="1" applyNumberFormat="1" applyFont="1" applyFill="1" applyBorder="1" applyAlignment="1">
      <alignment horizontal="right" vertical="center"/>
    </xf>
    <xf numFmtId="0" fontId="7" fillId="0" borderId="0" xfId="1" applyFont="1" applyAlignment="1">
      <alignment horizontal="left" vertical="center" indent="1"/>
    </xf>
    <xf numFmtId="0" fontId="32" fillId="0" borderId="0" xfId="1" applyFont="1" applyAlignment="1">
      <alignment horizontal="center" vertical="center"/>
    </xf>
    <xf numFmtId="167" fontId="7" fillId="0" borderId="0" xfId="1" applyNumberFormat="1" applyFont="1" applyAlignment="1">
      <alignment horizontal="right" vertical="center"/>
    </xf>
    <xf numFmtId="3" fontId="7" fillId="0" borderId="0" xfId="1" applyNumberFormat="1" applyFont="1" applyAlignment="1">
      <alignment horizontal="right" vertical="center"/>
    </xf>
    <xf numFmtId="168" fontId="7" fillId="0" borderId="0" xfId="1" applyNumberFormat="1" applyFont="1" applyAlignment="1">
      <alignment horizontal="right" vertical="center"/>
    </xf>
    <xf numFmtId="3" fontId="7" fillId="0" borderId="20" xfId="1" applyNumberFormat="1" applyFont="1" applyBorder="1" applyAlignment="1">
      <alignment horizontal="right" vertical="center"/>
    </xf>
    <xf numFmtId="167" fontId="7" fillId="4" borderId="0" xfId="1" applyNumberFormat="1" applyFont="1" applyFill="1" applyAlignment="1">
      <alignment horizontal="right" vertical="center"/>
    </xf>
    <xf numFmtId="3" fontId="7" fillId="3" borderId="0" xfId="1" applyNumberFormat="1" applyFont="1" applyFill="1" applyAlignment="1">
      <alignment horizontal="right" vertical="center"/>
    </xf>
    <xf numFmtId="3" fontId="7" fillId="3" borderId="20" xfId="1" applyNumberFormat="1" applyFont="1" applyFill="1" applyBorder="1" applyAlignment="1">
      <alignment horizontal="right" vertical="center"/>
    </xf>
    <xf numFmtId="0" fontId="24" fillId="0" borderId="0" xfId="1" applyFont="1" applyAlignment="1">
      <alignment horizontal="right" vertical="center"/>
    </xf>
    <xf numFmtId="167" fontId="24" fillId="0" borderId="0" xfId="1" applyNumberFormat="1" applyFont="1" applyAlignment="1">
      <alignment horizontal="right" vertical="center"/>
    </xf>
    <xf numFmtId="3" fontId="24" fillId="0" borderId="0" xfId="1" applyNumberFormat="1" applyFont="1" applyAlignment="1">
      <alignment horizontal="right" vertical="center"/>
    </xf>
    <xf numFmtId="3" fontId="24" fillId="0" borderId="0" xfId="1" applyNumberFormat="1" applyFont="1" applyAlignment="1">
      <alignment vertical="center"/>
    </xf>
    <xf numFmtId="3" fontId="24" fillId="0" borderId="20" xfId="1" applyNumberFormat="1" applyFont="1" applyBorder="1" applyAlignment="1">
      <alignment horizontal="right" vertical="center"/>
    </xf>
    <xf numFmtId="0" fontId="9" fillId="0" borderId="23" xfId="1" applyFont="1" applyBorder="1" applyAlignment="1">
      <alignment vertical="center"/>
    </xf>
    <xf numFmtId="186" fontId="33" fillId="0" borderId="23" xfId="1" applyNumberFormat="1" applyFont="1" applyBorder="1" applyAlignment="1">
      <alignment horizontal="center" vertical="center"/>
    </xf>
    <xf numFmtId="167" fontId="7" fillId="0" borderId="6" xfId="1" applyNumberFormat="1" applyFont="1" applyBorder="1" applyAlignment="1">
      <alignment horizontal="right" vertical="center"/>
    </xf>
    <xf numFmtId="167" fontId="9" fillId="0" borderId="24" xfId="1" applyNumberFormat="1" applyFont="1" applyBorder="1" applyAlignment="1">
      <alignment horizontal="right" vertical="center"/>
    </xf>
    <xf numFmtId="167" fontId="9" fillId="0" borderId="23" xfId="1" applyNumberFormat="1" applyFont="1" applyBorder="1" applyAlignment="1">
      <alignment horizontal="right" vertical="center"/>
    </xf>
    <xf numFmtId="167" fontId="7" fillId="0" borderId="23" xfId="1" applyNumberFormat="1" applyFont="1" applyBorder="1" applyAlignment="1">
      <alignment horizontal="right" vertical="center"/>
    </xf>
    <xf numFmtId="3" fontId="9" fillId="0" borderId="23" xfId="1" applyNumberFormat="1" applyFont="1" applyBorder="1" applyAlignment="1">
      <alignment horizontal="right" vertical="center"/>
    </xf>
    <xf numFmtId="168" fontId="9" fillId="0" borderId="23" xfId="1" applyNumberFormat="1" applyFont="1" applyBorder="1" applyAlignment="1">
      <alignment horizontal="right" vertical="center"/>
    </xf>
    <xf numFmtId="168" fontId="9" fillId="0" borderId="25" xfId="1" applyNumberFormat="1" applyFont="1" applyBorder="1" applyAlignment="1">
      <alignment horizontal="right" vertical="center"/>
    </xf>
    <xf numFmtId="186" fontId="7" fillId="0" borderId="23" xfId="1" applyNumberFormat="1" applyFont="1" applyBorder="1" applyAlignment="1">
      <alignment vertical="center"/>
    </xf>
    <xf numFmtId="49" fontId="9" fillId="0" borderId="0" xfId="3" applyNumberFormat="1" applyFont="1" applyFill="1" applyAlignment="1">
      <alignment vertical="center"/>
    </xf>
    <xf numFmtId="0" fontId="33" fillId="0" borderId="0" xfId="1" applyFont="1" applyAlignment="1">
      <alignment horizontal="center" vertical="center"/>
    </xf>
    <xf numFmtId="167" fontId="9" fillId="0" borderId="0" xfId="1" applyNumberFormat="1" applyFont="1" applyAlignment="1">
      <alignment horizontal="right" vertical="center"/>
    </xf>
    <xf numFmtId="3" fontId="9" fillId="0" borderId="0" xfId="1" applyNumberFormat="1" applyFont="1" applyAlignment="1">
      <alignment horizontal="right" vertical="center"/>
    </xf>
    <xf numFmtId="3" fontId="9" fillId="0" borderId="20" xfId="1" applyNumberFormat="1" applyFont="1" applyBorder="1" applyAlignment="1">
      <alignment horizontal="right" vertical="center"/>
    </xf>
    <xf numFmtId="0" fontId="14" fillId="0" borderId="0" xfId="1" applyFont="1" applyAlignment="1">
      <alignment vertical="center"/>
    </xf>
    <xf numFmtId="0" fontId="34" fillId="0" borderId="0" xfId="1" applyFont="1" applyAlignment="1">
      <alignment horizontal="center" vertical="center"/>
    </xf>
    <xf numFmtId="0" fontId="14" fillId="0" borderId="0" xfId="1" applyFont="1" applyAlignment="1">
      <alignment horizontal="right" vertical="center"/>
    </xf>
    <xf numFmtId="171" fontId="14" fillId="0" borderId="0" xfId="1" applyNumberFormat="1" applyFont="1" applyAlignment="1">
      <alignment horizontal="right" vertical="center"/>
    </xf>
    <xf numFmtId="9" fontId="14" fillId="0" borderId="0" xfId="2" applyFont="1" applyFill="1" applyAlignment="1">
      <alignment horizontal="right" vertical="center"/>
    </xf>
    <xf numFmtId="167" fontId="14" fillId="0" borderId="0" xfId="2" applyNumberFormat="1" applyFont="1" applyFill="1" applyAlignment="1">
      <alignment horizontal="right" vertical="center"/>
    </xf>
    <xf numFmtId="9" fontId="14" fillId="0" borderId="0" xfId="2" applyFont="1" applyFill="1" applyBorder="1" applyAlignment="1">
      <alignment horizontal="right" vertical="center"/>
    </xf>
    <xf numFmtId="9" fontId="14" fillId="0" borderId="20" xfId="2" applyFont="1" applyFill="1" applyBorder="1" applyAlignment="1">
      <alignment horizontal="right" vertical="center"/>
    </xf>
    <xf numFmtId="168" fontId="24" fillId="0" borderId="0" xfId="1" applyNumberFormat="1" applyFont="1" applyAlignment="1">
      <alignment vertical="center"/>
    </xf>
    <xf numFmtId="168" fontId="24" fillId="0" borderId="0" xfId="1" applyNumberFormat="1" applyFont="1" applyAlignment="1">
      <alignment horizontal="right" vertical="center"/>
    </xf>
    <xf numFmtId="168" fontId="7" fillId="0" borderId="20" xfId="1" applyNumberFormat="1" applyFont="1" applyBorder="1" applyAlignment="1">
      <alignment horizontal="right" vertical="center"/>
    </xf>
    <xf numFmtId="0" fontId="32" fillId="3" borderId="0" xfId="1" applyFont="1" applyFill="1" applyAlignment="1">
      <alignment horizontal="center" vertical="center"/>
    </xf>
    <xf numFmtId="1" fontId="7" fillId="0" borderId="0" xfId="1" applyNumberFormat="1" applyFont="1" applyAlignment="1">
      <alignment horizontal="right" vertical="center"/>
    </xf>
    <xf numFmtId="186" fontId="9" fillId="0" borderId="23" xfId="1" applyNumberFormat="1" applyFont="1" applyBorder="1" applyAlignment="1">
      <alignment vertical="center"/>
    </xf>
    <xf numFmtId="186" fontId="9" fillId="0" borderId="23" xfId="1" applyNumberFormat="1" applyFont="1" applyBorder="1" applyAlignment="1">
      <alignment horizontal="right" vertical="center"/>
    </xf>
    <xf numFmtId="186" fontId="23" fillId="0" borderId="23" xfId="1" applyNumberFormat="1" applyFont="1" applyBorder="1" applyAlignment="1">
      <alignment horizontal="right" vertical="center"/>
    </xf>
    <xf numFmtId="3" fontId="9" fillId="0" borderId="25" xfId="1" applyNumberFormat="1" applyFont="1" applyBorder="1" applyAlignment="1">
      <alignment horizontal="right" vertical="center"/>
    </xf>
    <xf numFmtId="3" fontId="25" fillId="0" borderId="0" xfId="1" applyNumberFormat="1" applyFont="1" applyAlignment="1">
      <alignment horizontal="right" vertical="center"/>
    </xf>
    <xf numFmtId="167" fontId="28" fillId="0" borderId="0" xfId="1" applyNumberFormat="1" applyFont="1" applyAlignment="1">
      <alignment horizontal="right" vertical="center"/>
    </xf>
    <xf numFmtId="168" fontId="9" fillId="4" borderId="23" xfId="1" applyNumberFormat="1" applyFont="1" applyFill="1" applyBorder="1" applyAlignment="1">
      <alignment horizontal="right" vertical="center"/>
    </xf>
    <xf numFmtId="3" fontId="9" fillId="4" borderId="23" xfId="1" applyNumberFormat="1" applyFont="1" applyFill="1" applyBorder="1" applyAlignment="1">
      <alignment horizontal="right" vertical="center"/>
    </xf>
    <xf numFmtId="3" fontId="23" fillId="0" borderId="23" xfId="1" applyNumberFormat="1" applyFont="1" applyBorder="1" applyAlignment="1">
      <alignment horizontal="right" vertical="center"/>
    </xf>
    <xf numFmtId="4" fontId="9" fillId="0" borderId="23" xfId="1" applyNumberFormat="1" applyFont="1" applyBorder="1" applyAlignment="1">
      <alignment horizontal="right" vertical="center"/>
    </xf>
    <xf numFmtId="184" fontId="9" fillId="0" borderId="0" xfId="3" applyNumberFormat="1" applyFont="1" applyFill="1" applyBorder="1" applyAlignment="1">
      <alignment vertical="center"/>
    </xf>
    <xf numFmtId="171" fontId="34" fillId="0" borderId="0" xfId="2" applyNumberFormat="1" applyFont="1" applyFill="1" applyAlignment="1">
      <alignment horizontal="center" vertical="center"/>
    </xf>
    <xf numFmtId="171" fontId="14" fillId="0" borderId="0" xfId="2" applyNumberFormat="1" applyFont="1" applyFill="1" applyAlignment="1">
      <alignment horizontal="right" vertical="center"/>
    </xf>
    <xf numFmtId="171" fontId="14" fillId="0" borderId="0" xfId="2" applyNumberFormat="1" applyFont="1" applyFill="1" applyBorder="1" applyAlignment="1">
      <alignment horizontal="right" vertical="center"/>
    </xf>
    <xf numFmtId="171" fontId="14" fillId="0" borderId="20" xfId="2" applyNumberFormat="1" applyFont="1" applyFill="1" applyBorder="1" applyAlignment="1">
      <alignment horizontal="right" vertical="center"/>
    </xf>
    <xf numFmtId="0" fontId="28" fillId="0" borderId="0" xfId="1" applyFont="1" applyAlignment="1">
      <alignment horizontal="right" vertical="center"/>
    </xf>
    <xf numFmtId="9" fontId="7" fillId="0" borderId="0" xfId="2" applyFont="1" applyFill="1" applyAlignment="1">
      <alignment horizontal="right" vertical="center"/>
    </xf>
    <xf numFmtId="174" fontId="7" fillId="0" borderId="0" xfId="1" applyNumberFormat="1" applyFont="1" applyAlignment="1">
      <alignment horizontal="right" vertical="center"/>
    </xf>
    <xf numFmtId="167" fontId="7" fillId="0" borderId="20" xfId="1" applyNumberFormat="1" applyFont="1" applyBorder="1" applyAlignment="1">
      <alignment horizontal="right" vertical="center"/>
    </xf>
    <xf numFmtId="1" fontId="24" fillId="0" borderId="0" xfId="1" applyNumberFormat="1" applyFont="1" applyAlignment="1">
      <alignment horizontal="right" vertical="center"/>
    </xf>
    <xf numFmtId="1" fontId="28" fillId="0" borderId="0" xfId="1" applyNumberFormat="1" applyFont="1" applyAlignment="1">
      <alignment horizontal="right" vertical="center"/>
    </xf>
    <xf numFmtId="1" fontId="24" fillId="0" borderId="0" xfId="1" applyNumberFormat="1" applyFont="1" applyAlignment="1">
      <alignment vertical="center"/>
    </xf>
    <xf numFmtId="1" fontId="24" fillId="0" borderId="20" xfId="1" applyNumberFormat="1" applyFont="1" applyBorder="1" applyAlignment="1">
      <alignment horizontal="right" vertical="center"/>
    </xf>
    <xf numFmtId="1" fontId="7" fillId="0" borderId="20" xfId="1" applyNumberFormat="1" applyFont="1" applyBorder="1" applyAlignment="1">
      <alignment horizontal="right" vertical="center"/>
    </xf>
    <xf numFmtId="1" fontId="9" fillId="0" borderId="23" xfId="1" applyNumberFormat="1" applyFont="1" applyBorder="1" applyAlignment="1">
      <alignment horizontal="right" vertical="center"/>
    </xf>
    <xf numFmtId="1" fontId="23" fillId="0" borderId="23" xfId="1" applyNumberFormat="1" applyFont="1" applyBorder="1" applyAlignment="1">
      <alignment horizontal="right" vertical="center"/>
    </xf>
    <xf numFmtId="187" fontId="9" fillId="0" borderId="23" xfId="1" applyNumberFormat="1" applyFont="1" applyBorder="1" applyAlignment="1">
      <alignment horizontal="right" vertical="center"/>
    </xf>
    <xf numFmtId="1" fontId="9" fillId="0" borderId="25" xfId="1" applyNumberFormat="1" applyFont="1" applyBorder="1" applyAlignment="1">
      <alignment horizontal="right" vertical="center"/>
    </xf>
    <xf numFmtId="171" fontId="7" fillId="0" borderId="0" xfId="2" applyNumberFormat="1" applyFont="1" applyFill="1" applyAlignment="1">
      <alignment horizontal="right" vertical="center"/>
    </xf>
    <xf numFmtId="171" fontId="7" fillId="0" borderId="0" xfId="2" applyNumberFormat="1" applyFont="1" applyFill="1" applyBorder="1" applyAlignment="1">
      <alignment horizontal="right" vertical="center"/>
    </xf>
    <xf numFmtId="171" fontId="7" fillId="0" borderId="20" xfId="2" applyNumberFormat="1" applyFont="1" applyFill="1" applyBorder="1" applyAlignment="1">
      <alignment horizontal="right" vertical="center"/>
    </xf>
    <xf numFmtId="165" fontId="7" fillId="3" borderId="0" xfId="1" applyNumberFormat="1" applyFont="1" applyFill="1" applyAlignment="1">
      <alignment horizontal="right" vertical="center"/>
    </xf>
    <xf numFmtId="0" fontId="7" fillId="3" borderId="20" xfId="1" applyFont="1" applyFill="1" applyBorder="1" applyAlignment="1">
      <alignment horizontal="right" vertical="center"/>
    </xf>
    <xf numFmtId="49" fontId="7" fillId="0" borderId="0" xfId="1" applyNumberFormat="1" applyFont="1" applyAlignment="1">
      <alignment horizontal="left" vertical="center" indent="1"/>
    </xf>
    <xf numFmtId="184" fontId="9" fillId="0" borderId="0" xfId="3" applyNumberFormat="1" applyFont="1" applyFill="1" applyAlignment="1">
      <alignment vertical="center"/>
    </xf>
    <xf numFmtId="49" fontId="9" fillId="0" borderId="18" xfId="3" applyNumberFormat="1" applyFont="1" applyFill="1" applyBorder="1" applyAlignment="1">
      <alignment vertical="center"/>
    </xf>
    <xf numFmtId="184" fontId="33" fillId="0" borderId="18" xfId="3" applyNumberFormat="1" applyFont="1" applyFill="1" applyBorder="1" applyAlignment="1">
      <alignment horizontal="center" vertical="center"/>
    </xf>
    <xf numFmtId="184" fontId="9" fillId="0" borderId="18" xfId="3" applyNumberFormat="1" applyFont="1" applyFill="1" applyBorder="1" applyAlignment="1">
      <alignment horizontal="right" vertical="center"/>
    </xf>
    <xf numFmtId="167" fontId="9" fillId="0" borderId="18" xfId="3" applyNumberFormat="1" applyFont="1" applyFill="1" applyBorder="1" applyAlignment="1">
      <alignment horizontal="right" vertical="center"/>
    </xf>
    <xf numFmtId="167" fontId="7" fillId="0" borderId="18" xfId="1" applyNumberFormat="1" applyFont="1" applyBorder="1" applyAlignment="1">
      <alignment horizontal="right" vertical="center"/>
    </xf>
    <xf numFmtId="167" fontId="23" fillId="0" borderId="18" xfId="3" applyNumberFormat="1" applyFont="1" applyFill="1" applyBorder="1" applyAlignment="1">
      <alignment horizontal="right" vertical="center"/>
    </xf>
    <xf numFmtId="1" fontId="9" fillId="0" borderId="18" xfId="3" applyNumberFormat="1" applyFont="1" applyFill="1" applyBorder="1" applyAlignment="1">
      <alignment horizontal="right" vertical="center"/>
    </xf>
    <xf numFmtId="1" fontId="9" fillId="0" borderId="19" xfId="3" applyNumberFormat="1" applyFont="1" applyFill="1" applyBorder="1" applyAlignment="1">
      <alignment horizontal="right" vertical="center"/>
    </xf>
    <xf numFmtId="167" fontId="23" fillId="0" borderId="0" xfId="1" applyNumberFormat="1" applyFont="1" applyAlignment="1">
      <alignment horizontal="right" vertical="center"/>
    </xf>
    <xf numFmtId="167" fontId="35" fillId="0" borderId="0" xfId="1" applyNumberFormat="1" applyFont="1" applyAlignment="1">
      <alignment horizontal="right" vertical="center"/>
    </xf>
    <xf numFmtId="1" fontId="23" fillId="0" borderId="0" xfId="1" applyNumberFormat="1" applyFont="1" applyAlignment="1">
      <alignment horizontal="right" vertical="center"/>
    </xf>
    <xf numFmtId="1" fontId="9" fillId="0" borderId="0" xfId="1" applyNumberFormat="1" applyFont="1" applyAlignment="1">
      <alignment horizontal="right" vertical="center"/>
    </xf>
    <xf numFmtId="49" fontId="9" fillId="0" borderId="6" xfId="1" applyNumberFormat="1" applyFont="1" applyBorder="1" applyAlignment="1">
      <alignment vertical="center"/>
    </xf>
    <xf numFmtId="167" fontId="9" fillId="0" borderId="6" xfId="1" applyNumberFormat="1" applyFont="1" applyBorder="1" applyAlignment="1">
      <alignment horizontal="right" vertical="center"/>
    </xf>
    <xf numFmtId="1" fontId="9" fillId="0" borderId="6" xfId="1" applyNumberFormat="1" applyFont="1" applyBorder="1" applyAlignment="1">
      <alignment horizontal="right" vertical="center"/>
    </xf>
    <xf numFmtId="1" fontId="9" fillId="0" borderId="26" xfId="1" applyNumberFormat="1" applyFont="1" applyBorder="1" applyAlignment="1">
      <alignment horizontal="right" vertical="center"/>
    </xf>
    <xf numFmtId="167" fontId="24" fillId="0" borderId="0" xfId="3" applyNumberFormat="1" applyFont="1" applyFill="1" applyBorder="1" applyAlignment="1">
      <alignment horizontal="right" vertical="center"/>
    </xf>
    <xf numFmtId="167" fontId="7" fillId="0" borderId="0" xfId="3" applyNumberFormat="1" applyFont="1" applyFill="1" applyBorder="1" applyAlignment="1">
      <alignment horizontal="right" vertical="center"/>
    </xf>
    <xf numFmtId="1" fontId="7" fillId="0" borderId="0" xfId="3" applyNumberFormat="1" applyFont="1" applyFill="1" applyBorder="1" applyAlignment="1">
      <alignment horizontal="right" vertical="center"/>
    </xf>
    <xf numFmtId="1" fontId="24" fillId="0" borderId="0" xfId="3" applyNumberFormat="1" applyFont="1" applyFill="1" applyBorder="1" applyAlignment="1">
      <alignment horizontal="right" vertical="center"/>
    </xf>
    <xf numFmtId="1" fontId="24" fillId="0" borderId="20" xfId="3" applyNumberFormat="1" applyFont="1" applyFill="1" applyBorder="1" applyAlignment="1">
      <alignment horizontal="right" vertical="center"/>
    </xf>
    <xf numFmtId="167" fontId="24" fillId="0" borderId="0" xfId="3" applyNumberFormat="1" applyFont="1" applyFill="1" applyAlignment="1">
      <alignment horizontal="right" vertical="center"/>
    </xf>
    <xf numFmtId="49" fontId="9" fillId="0" borderId="23" xfId="1" applyNumberFormat="1" applyFont="1" applyBorder="1" applyAlignment="1">
      <alignment vertical="center"/>
    </xf>
    <xf numFmtId="167" fontId="23" fillId="0" borderId="23" xfId="1" applyNumberFormat="1" applyFont="1" applyBorder="1" applyAlignment="1">
      <alignment horizontal="right" vertical="center"/>
    </xf>
    <xf numFmtId="167" fontId="9" fillId="0" borderId="25" xfId="1" applyNumberFormat="1" applyFont="1" applyBorder="1" applyAlignment="1">
      <alignment horizontal="right" vertical="center"/>
    </xf>
    <xf numFmtId="165" fontId="7" fillId="0" borderId="0" xfId="1" applyNumberFormat="1" applyFont="1" applyAlignment="1">
      <alignment horizontal="right" vertical="center"/>
    </xf>
    <xf numFmtId="49" fontId="9" fillId="0" borderId="18" xfId="1" applyNumberFormat="1" applyFont="1" applyBorder="1" applyAlignment="1">
      <alignment vertical="center"/>
    </xf>
    <xf numFmtId="167" fontId="9" fillId="0" borderId="18" xfId="1" applyNumberFormat="1" applyFont="1" applyBorder="1" applyAlignment="1">
      <alignment horizontal="right" vertical="center"/>
    </xf>
    <xf numFmtId="1" fontId="9" fillId="0" borderId="18" xfId="1" applyNumberFormat="1" applyFont="1" applyBorder="1" applyAlignment="1">
      <alignment horizontal="right" vertical="center"/>
    </xf>
    <xf numFmtId="167" fontId="9" fillId="0" borderId="19" xfId="1" applyNumberFormat="1" applyFont="1" applyBorder="1" applyAlignment="1">
      <alignment horizontal="right" vertical="center"/>
    </xf>
    <xf numFmtId="2" fontId="9" fillId="0" borderId="18" xfId="1" applyNumberFormat="1" applyFont="1" applyBorder="1" applyAlignment="1">
      <alignment horizontal="right" vertical="center"/>
    </xf>
    <xf numFmtId="49" fontId="9" fillId="0" borderId="0" xfId="1" applyNumberFormat="1" applyFont="1" applyAlignment="1">
      <alignment vertical="center"/>
    </xf>
    <xf numFmtId="1" fontId="9" fillId="0" borderId="20" xfId="1" applyNumberFormat="1" applyFont="1" applyBorder="1" applyAlignment="1">
      <alignment horizontal="right" vertical="center"/>
    </xf>
    <xf numFmtId="49" fontId="14" fillId="0" borderId="0" xfId="2" applyNumberFormat="1" applyFont="1" applyFill="1" applyAlignment="1">
      <alignment vertical="center"/>
    </xf>
    <xf numFmtId="1" fontId="9" fillId="0" borderId="27" xfId="1" applyNumberFormat="1" applyFont="1" applyBorder="1" applyAlignment="1">
      <alignment horizontal="right" vertical="center"/>
    </xf>
    <xf numFmtId="1" fontId="7" fillId="0" borderId="5" xfId="1" applyNumberFormat="1" applyFont="1" applyBorder="1" applyAlignment="1">
      <alignment horizontal="right" vertical="center"/>
    </xf>
    <xf numFmtId="167" fontId="7" fillId="0" borderId="5" xfId="1" applyNumberFormat="1" applyFont="1" applyBorder="1" applyAlignment="1">
      <alignment horizontal="right" vertical="center"/>
    </xf>
    <xf numFmtId="0" fontId="7" fillId="3" borderId="0" xfId="1" applyFont="1" applyFill="1" applyAlignment="1">
      <alignment horizontal="left" vertical="center"/>
    </xf>
    <xf numFmtId="0" fontId="33" fillId="3" borderId="20" xfId="1" applyFont="1" applyFill="1" applyBorder="1" applyAlignment="1">
      <alignment horizontal="center" vertical="center"/>
    </xf>
    <xf numFmtId="0" fontId="9" fillId="3" borderId="0" xfId="1" applyFont="1" applyFill="1" applyAlignment="1">
      <alignment horizontal="right" vertical="center"/>
    </xf>
    <xf numFmtId="0" fontId="36" fillId="0" borderId="0" xfId="1" applyFont="1" applyAlignment="1">
      <alignment vertical="center"/>
    </xf>
    <xf numFmtId="165" fontId="7" fillId="0" borderId="0" xfId="3" applyFont="1" applyFill="1" applyAlignment="1">
      <alignment horizontal="right" vertical="center"/>
    </xf>
    <xf numFmtId="171" fontId="7" fillId="0" borderId="0" xfId="1" applyNumberFormat="1" applyFont="1" applyAlignment="1">
      <alignment horizontal="right" vertical="center"/>
    </xf>
    <xf numFmtId="171" fontId="7" fillId="0" borderId="20" xfId="1" applyNumberFormat="1" applyFont="1" applyBorder="1" applyAlignment="1">
      <alignment horizontal="right" vertical="center"/>
    </xf>
    <xf numFmtId="167" fontId="24" fillId="0" borderId="20" xfId="1" applyNumberFormat="1" applyFont="1" applyBorder="1" applyAlignment="1">
      <alignment horizontal="right" vertical="center"/>
    </xf>
    <xf numFmtId="167" fontId="25" fillId="0" borderId="0" xfId="1" applyNumberFormat="1" applyFont="1" applyAlignment="1">
      <alignment horizontal="right" vertical="center"/>
    </xf>
    <xf numFmtId="167" fontId="9" fillId="0" borderId="20" xfId="1" applyNumberFormat="1" applyFont="1" applyBorder="1" applyAlignment="1">
      <alignment horizontal="right" vertical="center"/>
    </xf>
    <xf numFmtId="0" fontId="7" fillId="0" borderId="18" xfId="1" applyFont="1" applyBorder="1" applyAlignment="1">
      <alignment vertical="center"/>
    </xf>
    <xf numFmtId="0" fontId="32" fillId="0" borderId="18" xfId="1" applyFont="1" applyBorder="1" applyAlignment="1">
      <alignment horizontal="center" vertical="center"/>
    </xf>
    <xf numFmtId="171" fontId="7" fillId="0" borderId="18" xfId="2" applyNumberFormat="1" applyFont="1" applyFill="1" applyBorder="1" applyAlignment="1">
      <alignment horizontal="right" vertical="center"/>
    </xf>
    <xf numFmtId="171" fontId="24" fillId="0" borderId="18" xfId="1" applyNumberFormat="1" applyFont="1" applyBorder="1" applyAlignment="1">
      <alignment horizontal="right" vertical="center"/>
    </xf>
    <xf numFmtId="171" fontId="7" fillId="0" borderId="18" xfId="1" applyNumberFormat="1" applyFont="1" applyBorder="1" applyAlignment="1">
      <alignment horizontal="right" vertical="center"/>
    </xf>
    <xf numFmtId="171" fontId="7" fillId="0" borderId="19" xfId="2" applyNumberFormat="1" applyFont="1" applyFill="1" applyBorder="1" applyAlignment="1">
      <alignment horizontal="right" vertical="center"/>
    </xf>
    <xf numFmtId="171" fontId="21" fillId="0" borderId="18" xfId="1" applyNumberFormat="1" applyFont="1" applyBorder="1" applyAlignment="1">
      <alignment horizontal="right" vertical="center"/>
    </xf>
    <xf numFmtId="0" fontId="7" fillId="0" borderId="18" xfId="1" applyFont="1" applyBorder="1" applyAlignment="1">
      <alignment horizontal="right" vertical="center"/>
    </xf>
    <xf numFmtId="167" fontId="24" fillId="0" borderId="18" xfId="1" applyNumberFormat="1" applyFont="1" applyBorder="1" applyAlignment="1">
      <alignment horizontal="right" vertical="center"/>
    </xf>
    <xf numFmtId="167" fontId="7" fillId="0" borderId="19" xfId="1" applyNumberFormat="1" applyFont="1" applyBorder="1" applyAlignment="1">
      <alignment horizontal="right" vertical="center"/>
    </xf>
    <xf numFmtId="167" fontId="21" fillId="0" borderId="18" xfId="1" applyNumberFormat="1" applyFont="1" applyBorder="1" applyAlignment="1">
      <alignment horizontal="right" vertical="center"/>
    </xf>
    <xf numFmtId="0" fontId="37" fillId="5" borderId="20" xfId="1" applyFont="1" applyFill="1" applyBorder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9" fillId="3" borderId="20" xfId="1" applyFont="1" applyFill="1" applyBorder="1" applyAlignment="1">
      <alignment vertical="center"/>
    </xf>
    <xf numFmtId="3" fontId="23" fillId="0" borderId="25" xfId="1" applyNumberFormat="1" applyFon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0" fontId="33" fillId="0" borderId="18" xfId="1" applyFont="1" applyBorder="1" applyAlignment="1">
      <alignment horizontal="center" vertical="center"/>
    </xf>
    <xf numFmtId="167" fontId="23" fillId="0" borderId="18" xfId="1" applyNumberFormat="1" applyFont="1" applyBorder="1" applyAlignment="1">
      <alignment horizontal="right" vertical="center"/>
    </xf>
    <xf numFmtId="167" fontId="35" fillId="0" borderId="18" xfId="1" applyNumberFormat="1" applyFont="1" applyBorder="1" applyAlignment="1">
      <alignment horizontal="right" vertical="center"/>
    </xf>
    <xf numFmtId="3" fontId="9" fillId="0" borderId="18" xfId="1" applyNumberFormat="1" applyFont="1" applyBorder="1" applyAlignment="1">
      <alignment horizontal="right" vertical="center"/>
    </xf>
    <xf numFmtId="3" fontId="23" fillId="0" borderId="18" xfId="1" applyNumberFormat="1" applyFont="1" applyBorder="1" applyAlignment="1">
      <alignment horizontal="right" vertical="center"/>
    </xf>
    <xf numFmtId="3" fontId="18" fillId="0" borderId="18" xfId="1" applyNumberFormat="1" applyFont="1" applyBorder="1" applyAlignment="1">
      <alignment horizontal="right" vertical="center"/>
    </xf>
    <xf numFmtId="3" fontId="9" fillId="0" borderId="19" xfId="1" applyNumberFormat="1" applyFont="1" applyBorder="1" applyAlignment="1">
      <alignment horizontal="right" vertical="center"/>
    </xf>
    <xf numFmtId="167" fontId="7" fillId="0" borderId="28" xfId="1" applyNumberFormat="1" applyFont="1" applyBorder="1" applyAlignment="1">
      <alignment horizontal="right" vertical="center"/>
    </xf>
    <xf numFmtId="167" fontId="24" fillId="0" borderId="28" xfId="1" applyNumberFormat="1" applyFont="1" applyBorder="1" applyAlignment="1">
      <alignment horizontal="right" vertical="center"/>
    </xf>
    <xf numFmtId="3" fontId="7" fillId="0" borderId="28" xfId="1" applyNumberFormat="1" applyFont="1" applyBorder="1" applyAlignment="1">
      <alignment horizontal="right" vertical="center"/>
    </xf>
    <xf numFmtId="3" fontId="24" fillId="0" borderId="28" xfId="1" applyNumberFormat="1" applyFont="1" applyBorder="1" applyAlignment="1">
      <alignment horizontal="right" vertical="center"/>
    </xf>
    <xf numFmtId="3" fontId="25" fillId="0" borderId="28" xfId="1" applyNumberFormat="1" applyFont="1" applyBorder="1" applyAlignment="1">
      <alignment horizontal="right" vertical="center"/>
    </xf>
    <xf numFmtId="3" fontId="24" fillId="0" borderId="29" xfId="1" applyNumberFormat="1" applyFont="1" applyBorder="1" applyAlignment="1">
      <alignment horizontal="right" vertical="center"/>
    </xf>
    <xf numFmtId="167" fontId="9" fillId="0" borderId="28" xfId="1" applyNumberFormat="1" applyFont="1" applyBorder="1" applyAlignment="1">
      <alignment horizontal="right" vertical="center"/>
    </xf>
    <xf numFmtId="3" fontId="9" fillId="0" borderId="28" xfId="1" applyNumberFormat="1" applyFont="1" applyBorder="1" applyAlignment="1">
      <alignment horizontal="right" vertical="center"/>
    </xf>
    <xf numFmtId="3" fontId="9" fillId="0" borderId="30" xfId="1" applyNumberFormat="1" applyFont="1" applyBorder="1" applyAlignment="1">
      <alignment horizontal="right" vertical="center"/>
    </xf>
    <xf numFmtId="4" fontId="9" fillId="0" borderId="28" xfId="1" applyNumberFormat="1" applyFont="1" applyBorder="1" applyAlignment="1">
      <alignment horizontal="right" vertical="center"/>
    </xf>
    <xf numFmtId="4" fontId="9" fillId="0" borderId="29" xfId="1" applyNumberFormat="1" applyFont="1" applyBorder="1" applyAlignment="1">
      <alignment horizontal="right" vertical="center"/>
    </xf>
    <xf numFmtId="167" fontId="24" fillId="0" borderId="5" xfId="1" applyNumberFormat="1" applyFont="1" applyBorder="1" applyAlignment="1">
      <alignment horizontal="right" vertical="center"/>
    </xf>
    <xf numFmtId="167" fontId="23" fillId="0" borderId="28" xfId="1" applyNumberFormat="1" applyFont="1" applyBorder="1" applyAlignment="1">
      <alignment horizontal="right" vertical="center"/>
    </xf>
    <xf numFmtId="3" fontId="9" fillId="0" borderId="29" xfId="1" applyNumberFormat="1" applyFont="1" applyBorder="1" applyAlignment="1">
      <alignment horizontal="right" vertical="center"/>
    </xf>
    <xf numFmtId="0" fontId="9" fillId="0" borderId="5" xfId="1" applyFont="1" applyBorder="1" applyAlignment="1">
      <alignment vertical="center"/>
    </xf>
    <xf numFmtId="168" fontId="25" fillId="0" borderId="20" xfId="1" applyNumberFormat="1" applyFont="1" applyBorder="1" applyAlignment="1">
      <alignment horizontal="right" vertical="center"/>
    </xf>
    <xf numFmtId="168" fontId="25" fillId="0" borderId="0" xfId="1" applyNumberFormat="1" applyFont="1" applyAlignment="1">
      <alignment horizontal="right" vertical="center"/>
    </xf>
    <xf numFmtId="188" fontId="9" fillId="3" borderId="0" xfId="1" applyNumberFormat="1" applyFont="1" applyFill="1" applyAlignment="1" applyProtection="1">
      <alignment horizontal="right" vertical="center"/>
      <protection locked="0"/>
    </xf>
    <xf numFmtId="188" fontId="9" fillId="3" borderId="0" xfId="1" applyNumberFormat="1" applyFont="1" applyFill="1" applyAlignment="1">
      <alignment horizontal="right" vertical="center"/>
    </xf>
    <xf numFmtId="1" fontId="9" fillId="3" borderId="0" xfId="1" applyNumberFormat="1" applyFont="1" applyFill="1" applyAlignment="1">
      <alignment horizontal="right" vertical="center"/>
    </xf>
    <xf numFmtId="176" fontId="9" fillId="3" borderId="0" xfId="3" applyNumberFormat="1" applyFont="1" applyFill="1" applyBorder="1" applyAlignment="1">
      <alignment horizontal="right" vertical="center"/>
    </xf>
    <xf numFmtId="0" fontId="9" fillId="3" borderId="20" xfId="1" applyFont="1" applyFill="1" applyBorder="1" applyAlignment="1">
      <alignment horizontal="right" vertical="center"/>
    </xf>
    <xf numFmtId="186" fontId="32" fillId="0" borderId="23" xfId="1" applyNumberFormat="1" applyFont="1" applyBorder="1" applyAlignment="1">
      <alignment horizontal="center" vertical="center"/>
    </xf>
    <xf numFmtId="186" fontId="7" fillId="0" borderId="23" xfId="1" applyNumberFormat="1" applyFont="1" applyBorder="1" applyAlignment="1">
      <alignment horizontal="right" vertical="center"/>
    </xf>
    <xf numFmtId="1" fontId="7" fillId="0" borderId="23" xfId="1" applyNumberFormat="1" applyFont="1" applyBorder="1" applyAlignment="1">
      <alignment horizontal="right" vertical="center"/>
    </xf>
    <xf numFmtId="3" fontId="7" fillId="0" borderId="23" xfId="1" applyNumberFormat="1" applyFont="1" applyBorder="1" applyAlignment="1">
      <alignment horizontal="right" vertical="center"/>
    </xf>
    <xf numFmtId="3" fontId="7" fillId="0" borderId="25" xfId="1" applyNumberFormat="1" applyFont="1" applyBorder="1" applyAlignment="1">
      <alignment horizontal="right" vertical="center"/>
    </xf>
    <xf numFmtId="165" fontId="7" fillId="0" borderId="0" xfId="3" applyFont="1" applyFill="1" applyBorder="1" applyAlignment="1">
      <alignment horizontal="right" vertical="center"/>
    </xf>
    <xf numFmtId="165" fontId="7" fillId="0" borderId="20" xfId="3" applyFont="1" applyFill="1" applyBorder="1" applyAlignment="1">
      <alignment horizontal="right" vertical="center"/>
    </xf>
    <xf numFmtId="9" fontId="7" fillId="0" borderId="0" xfId="2" applyFont="1" applyFill="1" applyAlignment="1">
      <alignment vertical="center"/>
    </xf>
    <xf numFmtId="9" fontId="32" fillId="0" borderId="0" xfId="2" applyFont="1" applyFill="1" applyAlignment="1">
      <alignment horizontal="center" vertical="center"/>
    </xf>
    <xf numFmtId="9" fontId="24" fillId="0" borderId="0" xfId="2" applyFont="1" applyFill="1" applyAlignment="1">
      <alignment horizontal="right" vertical="center"/>
    </xf>
    <xf numFmtId="9" fontId="24" fillId="0" borderId="0" xfId="2" applyFont="1" applyFill="1" applyBorder="1" applyAlignment="1">
      <alignment horizontal="right" vertical="center"/>
    </xf>
    <xf numFmtId="9" fontId="24" fillId="0" borderId="20" xfId="2" applyFont="1" applyFill="1" applyBorder="1" applyAlignment="1">
      <alignment horizontal="right" vertical="center"/>
    </xf>
    <xf numFmtId="9" fontId="25" fillId="0" borderId="0" xfId="2" applyFont="1" applyFill="1" applyAlignment="1">
      <alignment horizontal="right" vertical="center"/>
    </xf>
    <xf numFmtId="9" fontId="7" fillId="0" borderId="0" xfId="2" applyFont="1" applyFill="1" applyBorder="1" applyAlignment="1">
      <alignment vertical="center"/>
    </xf>
    <xf numFmtId="171" fontId="24" fillId="0" borderId="0" xfId="2" applyNumberFormat="1" applyFont="1" applyFill="1" applyAlignment="1">
      <alignment horizontal="right" vertical="center"/>
    </xf>
    <xf numFmtId="171" fontId="24" fillId="0" borderId="0" xfId="2" applyNumberFormat="1" applyFont="1" applyFill="1" applyBorder="1" applyAlignment="1">
      <alignment horizontal="right" vertical="center"/>
    </xf>
    <xf numFmtId="9" fontId="7" fillId="0" borderId="0" xfId="2" applyFont="1" applyFill="1" applyBorder="1" applyAlignment="1">
      <alignment horizontal="right" vertical="center"/>
    </xf>
    <xf numFmtId="9" fontId="7" fillId="0" borderId="20" xfId="2" applyFont="1" applyFill="1" applyBorder="1" applyAlignment="1">
      <alignment horizontal="right" vertical="center"/>
    </xf>
    <xf numFmtId="9" fontId="25" fillId="0" borderId="0" xfId="2" applyFont="1" applyFill="1" applyBorder="1" applyAlignment="1">
      <alignment horizontal="right" vertical="center"/>
    </xf>
    <xf numFmtId="3" fontId="38" fillId="0" borderId="0" xfId="3" applyNumberFormat="1" applyFont="1" applyFill="1" applyBorder="1" applyAlignment="1">
      <alignment horizontal="left" vertical="center"/>
    </xf>
    <xf numFmtId="167" fontId="38" fillId="0" borderId="0" xfId="1" applyNumberFormat="1" applyFont="1" applyAlignment="1">
      <alignment horizontal="right" vertical="center"/>
    </xf>
    <xf numFmtId="1" fontId="38" fillId="0" borderId="0" xfId="1" applyNumberFormat="1" applyFont="1" applyAlignment="1">
      <alignment horizontal="right" vertical="center"/>
    </xf>
    <xf numFmtId="3" fontId="38" fillId="0" borderId="0" xfId="1" applyNumberFormat="1" applyFont="1" applyAlignment="1">
      <alignment horizontal="right" vertical="center"/>
    </xf>
    <xf numFmtId="3" fontId="38" fillId="0" borderId="20" xfId="1" applyNumberFormat="1" applyFont="1" applyBorder="1" applyAlignment="1">
      <alignment horizontal="right" vertical="center"/>
    </xf>
    <xf numFmtId="178" fontId="26" fillId="0" borderId="0" xfId="1" applyNumberFormat="1" applyFont="1" applyAlignment="1">
      <alignment vertical="center"/>
    </xf>
    <xf numFmtId="171" fontId="21" fillId="0" borderId="0" xfId="2" applyNumberFormat="1" applyFont="1" applyFill="1" applyAlignment="1">
      <alignment horizontal="right" vertical="center"/>
    </xf>
    <xf numFmtId="9" fontId="21" fillId="0" borderId="0" xfId="2" applyFont="1" applyFill="1" applyAlignment="1">
      <alignment horizontal="right" vertical="center"/>
    </xf>
    <xf numFmtId="3" fontId="25" fillId="0" borderId="20" xfId="1" applyNumberFormat="1" applyFont="1" applyBorder="1" applyAlignment="1">
      <alignment horizontal="right" vertical="center"/>
    </xf>
    <xf numFmtId="3" fontId="7" fillId="0" borderId="0" xfId="2" applyNumberFormat="1" applyFont="1" applyFill="1" applyAlignment="1">
      <alignment horizontal="right" vertical="center"/>
    </xf>
    <xf numFmtId="3" fontId="7" fillId="0" borderId="0" xfId="2" applyNumberFormat="1" applyFont="1" applyFill="1" applyBorder="1" applyAlignment="1">
      <alignment horizontal="right" vertical="center"/>
    </xf>
    <xf numFmtId="3" fontId="7" fillId="0" borderId="20" xfId="2" applyNumberFormat="1" applyFont="1" applyFill="1" applyBorder="1" applyAlignment="1">
      <alignment horizontal="right" vertical="center"/>
    </xf>
    <xf numFmtId="3" fontId="13" fillId="5" borderId="0" xfId="1" applyNumberFormat="1" applyFont="1" applyFill="1" applyAlignment="1">
      <alignment horizontal="right" vertical="center"/>
    </xf>
    <xf numFmtId="3" fontId="13" fillId="5" borderId="20" xfId="1" applyNumberFormat="1" applyFont="1" applyFill="1" applyBorder="1" applyAlignment="1">
      <alignment horizontal="right" vertical="center"/>
    </xf>
    <xf numFmtId="168" fontId="9" fillId="3" borderId="0" xfId="1" applyNumberFormat="1" applyFont="1" applyFill="1" applyAlignment="1">
      <alignment vertical="center"/>
    </xf>
    <xf numFmtId="168" fontId="9" fillId="3" borderId="20" xfId="1" applyNumberFormat="1" applyFont="1" applyFill="1" applyBorder="1" applyAlignment="1">
      <alignment vertical="center"/>
    </xf>
    <xf numFmtId="3" fontId="9" fillId="3" borderId="0" xfId="1" applyNumberFormat="1" applyFont="1" applyFill="1" applyAlignment="1">
      <alignment vertical="center"/>
    </xf>
    <xf numFmtId="49" fontId="7" fillId="0" borderId="0" xfId="3" applyNumberFormat="1" applyFont="1" applyFill="1" applyBorder="1" applyAlignment="1">
      <alignment horizontal="left" vertical="center" indent="1"/>
    </xf>
    <xf numFmtId="186" fontId="7" fillId="0" borderId="0" xfId="1" applyNumberFormat="1" applyFont="1" applyAlignment="1">
      <alignment vertical="center"/>
    </xf>
    <xf numFmtId="186" fontId="9" fillId="0" borderId="6" xfId="1" applyNumberFormat="1" applyFont="1" applyBorder="1" applyAlignment="1">
      <alignment vertical="center"/>
    </xf>
    <xf numFmtId="3" fontId="9" fillId="0" borderId="6" xfId="1" applyNumberFormat="1" applyFont="1" applyBorder="1" applyAlignment="1">
      <alignment horizontal="right" vertical="center"/>
    </xf>
    <xf numFmtId="168" fontId="9" fillId="0" borderId="6" xfId="1" applyNumberFormat="1" applyFont="1" applyBorder="1" applyAlignment="1">
      <alignment horizontal="right" vertical="center"/>
    </xf>
    <xf numFmtId="168" fontId="9" fillId="0" borderId="26" xfId="1" applyNumberFormat="1" applyFont="1" applyBorder="1" applyAlignment="1">
      <alignment horizontal="right" vertical="center"/>
    </xf>
    <xf numFmtId="3" fontId="24" fillId="0" borderId="5" xfId="1" applyNumberFormat="1" applyFont="1" applyBorder="1" applyAlignment="1">
      <alignment horizontal="right" vertical="center"/>
    </xf>
    <xf numFmtId="186" fontId="9" fillId="0" borderId="6" xfId="1" applyNumberFormat="1" applyFont="1" applyBorder="1" applyAlignment="1">
      <alignment horizontal="right" vertical="center"/>
    </xf>
    <xf numFmtId="3" fontId="9" fillId="0" borderId="26" xfId="1" applyNumberFormat="1" applyFont="1" applyBorder="1" applyAlignment="1">
      <alignment horizontal="right" vertical="center"/>
    </xf>
    <xf numFmtId="4" fontId="9" fillId="0" borderId="6" xfId="1" applyNumberFormat="1" applyFont="1" applyBorder="1" applyAlignment="1">
      <alignment horizontal="right" vertical="center"/>
    </xf>
    <xf numFmtId="184" fontId="7" fillId="0" borderId="0" xfId="3" applyNumberFormat="1" applyFont="1" applyFill="1" applyBorder="1" applyAlignment="1">
      <alignment vertical="center"/>
    </xf>
    <xf numFmtId="1" fontId="28" fillId="0" borderId="0" xfId="3" applyNumberFormat="1" applyFont="1" applyFill="1" applyBorder="1" applyAlignment="1">
      <alignment horizontal="right" vertical="center"/>
    </xf>
    <xf numFmtId="3" fontId="7" fillId="0" borderId="0" xfId="3" applyNumberFormat="1" applyFont="1" applyFill="1" applyBorder="1" applyAlignment="1">
      <alignment horizontal="right" vertical="center"/>
    </xf>
    <xf numFmtId="3" fontId="24" fillId="0" borderId="0" xfId="3" applyNumberFormat="1" applyFont="1" applyFill="1" applyBorder="1" applyAlignment="1">
      <alignment horizontal="right" vertical="center"/>
    </xf>
    <xf numFmtId="3" fontId="24" fillId="0" borderId="20" xfId="3" applyNumberFormat="1" applyFont="1" applyFill="1" applyBorder="1" applyAlignment="1">
      <alignment horizontal="right" vertical="center"/>
    </xf>
    <xf numFmtId="186" fontId="24" fillId="0" borderId="0" xfId="1" applyNumberFormat="1" applyFont="1" applyAlignment="1">
      <alignment horizontal="right" vertical="center"/>
    </xf>
    <xf numFmtId="186" fontId="7" fillId="0" borderId="0" xfId="1" applyNumberFormat="1" applyFont="1" applyAlignment="1">
      <alignment horizontal="right" vertical="center"/>
    </xf>
    <xf numFmtId="0" fontId="7" fillId="0" borderId="0" xfId="1" applyFont="1" applyAlignment="1">
      <alignment horizontal="left" vertical="center" indent="2"/>
    </xf>
    <xf numFmtId="0" fontId="7" fillId="0" borderId="0" xfId="1" applyFont="1" applyAlignment="1">
      <alignment horizontal="left" vertical="center" indent="3"/>
    </xf>
    <xf numFmtId="0" fontId="9" fillId="0" borderId="0" xfId="1" applyFont="1" applyAlignment="1">
      <alignment horizontal="left" vertical="center" indent="1"/>
    </xf>
    <xf numFmtId="167" fontId="7" fillId="0" borderId="0" xfId="2" applyNumberFormat="1" applyFont="1" applyFill="1" applyAlignment="1">
      <alignment horizontal="right" vertical="center"/>
    </xf>
    <xf numFmtId="167" fontId="7" fillId="0" borderId="0" xfId="2" applyNumberFormat="1" applyFont="1" applyFill="1" applyBorder="1" applyAlignment="1">
      <alignment horizontal="right" vertical="center"/>
    </xf>
    <xf numFmtId="167" fontId="7" fillId="0" borderId="20" xfId="2" applyNumberFormat="1" applyFont="1" applyFill="1" applyBorder="1" applyAlignment="1">
      <alignment horizontal="right" vertical="center"/>
    </xf>
    <xf numFmtId="0" fontId="37" fillId="0" borderId="0" xfId="1" applyFont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3" fillId="0" borderId="20" xfId="1" applyFont="1" applyBorder="1" applyAlignment="1">
      <alignment horizontal="right" vertical="center"/>
    </xf>
    <xf numFmtId="1" fontId="23" fillId="0" borderId="18" xfId="1" applyNumberFormat="1" applyFont="1" applyBorder="1" applyAlignment="1">
      <alignment horizontal="right" vertical="center"/>
    </xf>
    <xf numFmtId="1" fontId="23" fillId="0" borderId="18" xfId="1" applyNumberFormat="1" applyFont="1" applyBorder="1" applyAlignment="1">
      <alignment vertical="center"/>
    </xf>
    <xf numFmtId="1" fontId="9" fillId="0" borderId="19" xfId="1" applyNumberFormat="1" applyFont="1" applyBorder="1" applyAlignment="1">
      <alignment horizontal="right" vertical="center"/>
    </xf>
    <xf numFmtId="1" fontId="25" fillId="0" borderId="0" xfId="1" applyNumberFormat="1" applyFont="1" applyAlignment="1">
      <alignment horizontal="right" vertical="center"/>
    </xf>
    <xf numFmtId="1" fontId="25" fillId="0" borderId="20" xfId="1" applyNumberFormat="1" applyFont="1" applyBorder="1" applyAlignment="1">
      <alignment horizontal="right" vertical="center"/>
    </xf>
    <xf numFmtId="172" fontId="7" fillId="0" borderId="0" xfId="1" applyNumberFormat="1" applyFont="1" applyAlignment="1">
      <alignment horizontal="right" vertical="center"/>
    </xf>
    <xf numFmtId="1" fontId="24" fillId="0" borderId="20" xfId="1" applyNumberFormat="1" applyFont="1" applyBorder="1" applyAlignment="1">
      <alignment vertical="center"/>
    </xf>
    <xf numFmtId="0" fontId="32" fillId="0" borderId="31" xfId="1" applyFont="1" applyBorder="1" applyAlignment="1">
      <alignment horizontal="center" vertical="center"/>
    </xf>
    <xf numFmtId="0" fontId="32" fillId="0" borderId="32" xfId="1" applyFont="1" applyBorder="1" applyAlignment="1">
      <alignment horizontal="center" vertical="center"/>
    </xf>
    <xf numFmtId="171" fontId="25" fillId="0" borderId="0" xfId="2" applyNumberFormat="1" applyFont="1" applyFill="1" applyBorder="1" applyAlignment="1">
      <alignment horizontal="right" vertical="center"/>
    </xf>
    <xf numFmtId="0" fontId="9" fillId="0" borderId="0" xfId="1" applyFont="1" applyAlignment="1">
      <alignment horizontal="right" vertical="center"/>
    </xf>
    <xf numFmtId="171" fontId="24" fillId="0" borderId="0" xfId="1" applyNumberFormat="1" applyFont="1" applyAlignment="1">
      <alignment horizontal="right" vertical="center"/>
    </xf>
    <xf numFmtId="2" fontId="7" fillId="0" borderId="20" xfId="1" applyNumberFormat="1" applyFont="1" applyBorder="1" applyAlignment="1">
      <alignment horizontal="right" vertical="center"/>
    </xf>
    <xf numFmtId="0" fontId="25" fillId="0" borderId="0" xfId="1" applyFont="1" applyAlignment="1">
      <alignment horizontal="right" vertical="center"/>
    </xf>
    <xf numFmtId="0" fontId="25" fillId="0" borderId="20" xfId="1" applyFont="1" applyBorder="1" applyAlignment="1">
      <alignment horizontal="right" vertical="center"/>
    </xf>
    <xf numFmtId="0" fontId="24" fillId="0" borderId="0" xfId="1" applyFont="1" applyAlignment="1">
      <alignment vertical="center"/>
    </xf>
    <xf numFmtId="167" fontId="7" fillId="0" borderId="0" xfId="3" applyNumberFormat="1" applyFont="1" applyFill="1" applyAlignment="1">
      <alignment horizontal="right" vertical="center"/>
    </xf>
    <xf numFmtId="3" fontId="7" fillId="0" borderId="0" xfId="3" applyNumberFormat="1" applyFont="1" applyFill="1" applyAlignment="1">
      <alignment horizontal="right" vertical="center"/>
    </xf>
    <xf numFmtId="3" fontId="7" fillId="0" borderId="20" xfId="3" applyNumberFormat="1" applyFont="1" applyFill="1" applyBorder="1" applyAlignment="1">
      <alignment horizontal="right" vertical="center"/>
    </xf>
    <xf numFmtId="0" fontId="7" fillId="0" borderId="0" xfId="1" applyFont="1" applyAlignment="1">
      <alignment horizontal="center" vertical="center"/>
    </xf>
    <xf numFmtId="0" fontId="9" fillId="11" borderId="0" xfId="1" applyFont="1" applyFill="1"/>
    <xf numFmtId="168" fontId="24" fillId="0" borderId="20" xfId="1" applyNumberFormat="1" applyFont="1" applyBorder="1" applyAlignment="1">
      <alignment horizontal="right" vertical="center"/>
    </xf>
    <xf numFmtId="0" fontId="9" fillId="4" borderId="0" xfId="1" applyFont="1" applyFill="1" applyAlignment="1">
      <alignment vertical="center"/>
    </xf>
    <xf numFmtId="9" fontId="7" fillId="4" borderId="0" xfId="2" applyFont="1" applyFill="1" applyBorder="1" applyAlignment="1">
      <alignment vertical="center"/>
    </xf>
    <xf numFmtId="3" fontId="7" fillId="4" borderId="0" xfId="1" applyNumberFormat="1" applyFont="1" applyFill="1" applyAlignment="1">
      <alignment vertical="center"/>
    </xf>
    <xf numFmtId="0" fontId="7" fillId="9" borderId="0" xfId="1" applyFont="1" applyFill="1" applyAlignment="1">
      <alignment horizontal="right" vertical="center"/>
    </xf>
    <xf numFmtId="9" fontId="7" fillId="4" borderId="0" xfId="12" applyFont="1" applyFill="1"/>
    <xf numFmtId="9" fontId="7" fillId="4" borderId="0" xfId="12" applyFont="1" applyFill="1" applyBorder="1"/>
    <xf numFmtId="3" fontId="9" fillId="3" borderId="0" xfId="1" applyNumberFormat="1" applyFont="1" applyFill="1" applyAlignment="1">
      <alignment horizontal="right" vertical="center"/>
    </xf>
    <xf numFmtId="168" fontId="23" fillId="0" borderId="23" xfId="1" applyNumberFormat="1" applyFont="1" applyBorder="1" applyAlignment="1">
      <alignment horizontal="right" vertical="center"/>
    </xf>
    <xf numFmtId="4" fontId="7" fillId="0" borderId="0" xfId="1" applyNumberFormat="1" applyFont="1" applyAlignment="1">
      <alignment horizontal="right" vertical="center"/>
    </xf>
    <xf numFmtId="0" fontId="9" fillId="3" borderId="8" xfId="1" applyFont="1" applyFill="1" applyBorder="1" applyAlignment="1">
      <alignment horizontal="center"/>
    </xf>
    <xf numFmtId="0" fontId="20" fillId="0" borderId="8" xfId="1" applyFont="1" applyBorder="1" applyAlignment="1">
      <alignment horizontal="center" vertical="center"/>
    </xf>
    <xf numFmtId="0" fontId="20" fillId="0" borderId="8" xfId="1" applyFont="1" applyBorder="1" applyAlignment="1">
      <alignment horizontal="center" vertical="center" wrapText="1"/>
    </xf>
    <xf numFmtId="178" fontId="9" fillId="0" borderId="0" xfId="1" applyNumberFormat="1" applyFont="1" applyAlignment="1">
      <alignment horizontal="right"/>
    </xf>
    <xf numFmtId="168" fontId="9" fillId="0" borderId="0" xfId="1" applyNumberFormat="1" applyFont="1" applyAlignment="1">
      <alignment horizontal="right" vertical="center"/>
    </xf>
    <xf numFmtId="168" fontId="23" fillId="0" borderId="0" xfId="1" applyNumberFormat="1" applyFont="1" applyAlignment="1">
      <alignment horizontal="right" vertical="center"/>
    </xf>
    <xf numFmtId="4" fontId="7" fillId="0" borderId="20" xfId="1" applyNumberFormat="1" applyFont="1" applyBorder="1" applyAlignment="1">
      <alignment horizontal="right" vertical="center"/>
    </xf>
    <xf numFmtId="4" fontId="7" fillId="3" borderId="0" xfId="1" applyNumberFormat="1" applyFont="1" applyFill="1" applyAlignment="1">
      <alignment horizontal="right" vertical="center"/>
    </xf>
    <xf numFmtId="4" fontId="7" fillId="3" borderId="20" xfId="1" applyNumberFormat="1" applyFont="1" applyFill="1" applyBorder="1" applyAlignment="1">
      <alignment horizontal="right" vertical="center"/>
    </xf>
    <xf numFmtId="4" fontId="9" fillId="0" borderId="18" xfId="3" applyNumberFormat="1" applyFont="1" applyFill="1" applyBorder="1" applyAlignment="1">
      <alignment horizontal="right" vertical="center"/>
    </xf>
    <xf numFmtId="9" fontId="14" fillId="0" borderId="20" xfId="12" applyFont="1" applyFill="1" applyBorder="1" applyAlignment="1">
      <alignment horizontal="right" vertical="center"/>
    </xf>
    <xf numFmtId="171" fontId="14" fillId="0" borderId="0" xfId="12" applyNumberFormat="1" applyFont="1" applyFill="1" applyBorder="1" applyAlignment="1">
      <alignment horizontal="right" vertical="center"/>
    </xf>
    <xf numFmtId="171" fontId="14" fillId="0" borderId="0" xfId="12" applyNumberFormat="1" applyFont="1" applyFill="1" applyAlignment="1">
      <alignment horizontal="right" vertical="center"/>
    </xf>
    <xf numFmtId="171" fontId="14" fillId="0" borderId="20" xfId="12" applyNumberFormat="1" applyFont="1" applyFill="1" applyBorder="1" applyAlignment="1">
      <alignment horizontal="right" vertical="center"/>
    </xf>
    <xf numFmtId="1" fontId="21" fillId="0" borderId="0" xfId="1" applyNumberFormat="1" applyFont="1" applyAlignment="1">
      <alignment horizontal="right" vertical="center"/>
    </xf>
    <xf numFmtId="168" fontId="9" fillId="0" borderId="28" xfId="1" applyNumberFormat="1" applyFont="1" applyBorder="1" applyAlignment="1">
      <alignment horizontal="right" vertical="center"/>
    </xf>
    <xf numFmtId="2" fontId="7" fillId="0" borderId="17" xfId="1" applyNumberFormat="1" applyFont="1" applyBorder="1"/>
    <xf numFmtId="168" fontId="23" fillId="0" borderId="18" xfId="1" applyNumberFormat="1" applyFont="1" applyBorder="1" applyAlignment="1">
      <alignment horizontal="right" vertical="center"/>
    </xf>
    <xf numFmtId="0" fontId="44" fillId="0" borderId="0" xfId="1" applyFont="1" applyAlignment="1">
      <alignment vertical="center"/>
    </xf>
    <xf numFmtId="167" fontId="45" fillId="0" borderId="0" xfId="1" applyNumberFormat="1" applyFont="1" applyAlignment="1">
      <alignment vertical="center"/>
    </xf>
    <xf numFmtId="167" fontId="46" fillId="0" borderId="0" xfId="1" applyNumberFormat="1" applyFont="1" applyAlignment="1">
      <alignment horizontal="center" vertical="center"/>
    </xf>
    <xf numFmtId="174" fontId="44" fillId="0" borderId="0" xfId="1" applyNumberFormat="1" applyFont="1" applyAlignment="1">
      <alignment horizontal="right" vertical="center"/>
    </xf>
    <xf numFmtId="174" fontId="44" fillId="0" borderId="20" xfId="1" applyNumberFormat="1" applyFont="1" applyBorder="1" applyAlignment="1">
      <alignment horizontal="right" vertical="center"/>
    </xf>
    <xf numFmtId="49" fontId="7" fillId="0" borderId="0" xfId="1" applyNumberFormat="1" applyFont="1" applyAlignment="1">
      <alignment horizontal="left" vertical="center" indent="3"/>
    </xf>
    <xf numFmtId="189" fontId="7" fillId="0" borderId="0" xfId="13" applyNumberFormat="1" applyFont="1" applyBorder="1" applyAlignment="1">
      <alignment horizontal="right" vertical="center"/>
    </xf>
    <xf numFmtId="171" fontId="7" fillId="0" borderId="0" xfId="12" applyNumberFormat="1" applyFont="1" applyAlignment="1">
      <alignment horizontal="right" vertical="center"/>
    </xf>
    <xf numFmtId="190" fontId="9" fillId="0" borderId="28" xfId="1" applyNumberFormat="1" applyFont="1" applyBorder="1" applyAlignment="1">
      <alignment horizontal="right" vertical="center"/>
    </xf>
    <xf numFmtId="0" fontId="47" fillId="6" borderId="0" xfId="1" applyFont="1" applyFill="1" applyAlignment="1">
      <alignment vertical="center"/>
    </xf>
    <xf numFmtId="9" fontId="7" fillId="0" borderId="0" xfId="12" applyFont="1" applyAlignment="1">
      <alignment horizontal="right" vertical="center"/>
    </xf>
    <xf numFmtId="1" fontId="23" fillId="0" borderId="19" xfId="1" applyNumberFormat="1" applyFont="1" applyBorder="1" applyAlignment="1">
      <alignment horizontal="right" vertical="center"/>
    </xf>
    <xf numFmtId="169" fontId="19" fillId="0" borderId="0" xfId="1" applyNumberFormat="1" applyFont="1"/>
    <xf numFmtId="0" fontId="11" fillId="9" borderId="0" xfId="1" applyFont="1" applyFill="1" applyAlignment="1">
      <alignment horizontal="right" vertical="center"/>
    </xf>
    <xf numFmtId="171" fontId="7" fillId="9" borderId="0" xfId="2" applyNumberFormat="1" applyFont="1" applyFill="1" applyBorder="1" applyAlignment="1">
      <alignment horizontal="right" vertical="center"/>
    </xf>
    <xf numFmtId="167" fontId="9" fillId="9" borderId="0" xfId="1" applyNumberFormat="1" applyFont="1" applyFill="1" applyAlignment="1">
      <alignment horizontal="right" vertical="center"/>
    </xf>
    <xf numFmtId="167" fontId="7" fillId="9" borderId="0" xfId="1" applyNumberFormat="1" applyFont="1" applyFill="1" applyAlignment="1">
      <alignment horizontal="right" vertical="center"/>
    </xf>
    <xf numFmtId="3" fontId="9" fillId="9" borderId="0" xfId="1" applyNumberFormat="1" applyFont="1" applyFill="1" applyAlignment="1">
      <alignment horizontal="right" vertical="center"/>
    </xf>
    <xf numFmtId="9" fontId="7" fillId="9" borderId="0" xfId="2" applyFont="1" applyFill="1" applyBorder="1" applyAlignment="1">
      <alignment horizontal="right" vertical="center"/>
    </xf>
    <xf numFmtId="171" fontId="7" fillId="9" borderId="0" xfId="1" applyNumberFormat="1" applyFont="1" applyFill="1" applyAlignment="1">
      <alignment horizontal="right" vertical="center"/>
    </xf>
    <xf numFmtId="165" fontId="7" fillId="9" borderId="0" xfId="3" applyFont="1" applyFill="1" applyBorder="1" applyAlignment="1">
      <alignment horizontal="right" vertical="center"/>
    </xf>
    <xf numFmtId="167" fontId="24" fillId="9" borderId="0" xfId="1" applyNumberFormat="1" applyFont="1" applyFill="1" applyAlignment="1">
      <alignment horizontal="right" vertical="center"/>
    </xf>
    <xf numFmtId="171" fontId="7" fillId="9" borderId="0" xfId="2" applyNumberFormat="1" applyFont="1" applyFill="1" applyAlignment="1">
      <alignment horizontal="right" vertical="center"/>
    </xf>
    <xf numFmtId="168" fontId="9" fillId="9" borderId="6" xfId="1" applyNumberFormat="1" applyFont="1" applyFill="1" applyBorder="1" applyAlignment="1">
      <alignment horizontal="right" vertical="center"/>
    </xf>
    <xf numFmtId="1" fontId="7" fillId="9" borderId="0" xfId="1" applyNumberFormat="1" applyFont="1" applyFill="1" applyAlignment="1">
      <alignment horizontal="right" vertical="center"/>
    </xf>
    <xf numFmtId="1" fontId="9" fillId="9" borderId="0" xfId="1" applyNumberFormat="1" applyFont="1" applyFill="1" applyAlignment="1">
      <alignment horizontal="right" vertical="center"/>
    </xf>
    <xf numFmtId="1" fontId="24" fillId="9" borderId="0" xfId="1" applyNumberFormat="1" applyFont="1" applyFill="1" applyAlignment="1">
      <alignment horizontal="right" vertical="center"/>
    </xf>
    <xf numFmtId="1" fontId="9" fillId="9" borderId="6" xfId="1" applyNumberFormat="1" applyFont="1" applyFill="1" applyBorder="1" applyAlignment="1">
      <alignment horizontal="right" vertical="center"/>
    </xf>
    <xf numFmtId="9" fontId="21" fillId="0" borderId="18" xfId="1" applyNumberFormat="1" applyFont="1" applyBorder="1" applyAlignment="1">
      <alignment horizontal="right" vertical="center"/>
    </xf>
    <xf numFmtId="3" fontId="47" fillId="0" borderId="0" xfId="1" applyNumberFormat="1" applyFont="1" applyAlignment="1">
      <alignment horizontal="right" vertical="center"/>
    </xf>
    <xf numFmtId="0" fontId="13" fillId="9" borderId="0" xfId="1" applyFont="1" applyFill="1" applyAlignment="1">
      <alignment horizontal="right" vertical="center"/>
    </xf>
    <xf numFmtId="3" fontId="7" fillId="9" borderId="0" xfId="1" applyNumberFormat="1" applyFont="1" applyFill="1" applyAlignment="1">
      <alignment horizontal="right" vertical="center"/>
    </xf>
    <xf numFmtId="3" fontId="9" fillId="9" borderId="23" xfId="1" applyNumberFormat="1" applyFont="1" applyFill="1" applyBorder="1" applyAlignment="1">
      <alignment horizontal="right" vertical="center"/>
    </xf>
    <xf numFmtId="9" fontId="14" fillId="9" borderId="0" xfId="2" applyFont="1" applyFill="1" applyAlignment="1">
      <alignment horizontal="right" vertical="center"/>
    </xf>
    <xf numFmtId="171" fontId="7" fillId="9" borderId="0" xfId="12" applyNumberFormat="1" applyFont="1" applyFill="1" applyAlignment="1">
      <alignment horizontal="right" vertical="center"/>
    </xf>
    <xf numFmtId="171" fontId="14" fillId="9" borderId="0" xfId="2" applyNumberFormat="1" applyFont="1" applyFill="1" applyAlignment="1">
      <alignment horizontal="right" vertical="center"/>
    </xf>
    <xf numFmtId="1" fontId="9" fillId="9" borderId="23" xfId="1" applyNumberFormat="1" applyFont="1" applyFill="1" applyBorder="1" applyAlignment="1">
      <alignment horizontal="right" vertical="center"/>
    </xf>
    <xf numFmtId="1" fontId="9" fillId="9" borderId="18" xfId="3" applyNumberFormat="1" applyFont="1" applyFill="1" applyBorder="1" applyAlignment="1">
      <alignment horizontal="right" vertical="center"/>
    </xf>
    <xf numFmtId="1" fontId="7" fillId="9" borderId="0" xfId="3" applyNumberFormat="1" applyFont="1" applyFill="1" applyBorder="1" applyAlignment="1">
      <alignment horizontal="right" vertical="center"/>
    </xf>
    <xf numFmtId="1" fontId="9" fillId="9" borderId="18" xfId="1" applyNumberFormat="1" applyFont="1" applyFill="1" applyBorder="1" applyAlignment="1">
      <alignment horizontal="right" vertical="center"/>
    </xf>
    <xf numFmtId="167" fontId="25" fillId="9" borderId="0" xfId="1" applyNumberFormat="1" applyFont="1" applyFill="1" applyAlignment="1">
      <alignment horizontal="right" vertical="center"/>
    </xf>
    <xf numFmtId="9" fontId="21" fillId="9" borderId="18" xfId="1" applyNumberFormat="1" applyFont="1" applyFill="1" applyBorder="1" applyAlignment="1">
      <alignment horizontal="right" vertical="center"/>
    </xf>
    <xf numFmtId="167" fontId="21" fillId="9" borderId="18" xfId="1" applyNumberFormat="1" applyFont="1" applyFill="1" applyBorder="1" applyAlignment="1">
      <alignment horizontal="right" vertical="center"/>
    </xf>
    <xf numFmtId="0" fontId="9" fillId="9" borderId="0" xfId="1" applyFont="1" applyFill="1" applyAlignment="1">
      <alignment vertical="center"/>
    </xf>
    <xf numFmtId="3" fontId="25" fillId="9" borderId="0" xfId="1" applyNumberFormat="1" applyFont="1" applyFill="1" applyAlignment="1">
      <alignment horizontal="right" vertical="center"/>
    </xf>
    <xf numFmtId="3" fontId="18" fillId="9" borderId="18" xfId="1" applyNumberFormat="1" applyFont="1" applyFill="1" applyBorder="1" applyAlignment="1">
      <alignment horizontal="right" vertical="center"/>
    </xf>
    <xf numFmtId="3" fontId="7" fillId="9" borderId="28" xfId="1" applyNumberFormat="1" applyFont="1" applyFill="1" applyBorder="1" applyAlignment="1">
      <alignment horizontal="right" vertical="center"/>
    </xf>
    <xf numFmtId="3" fontId="9" fillId="9" borderId="28" xfId="1" applyNumberFormat="1" applyFont="1" applyFill="1" applyBorder="1" applyAlignment="1">
      <alignment horizontal="right" vertical="center"/>
    </xf>
    <xf numFmtId="3" fontId="7" fillId="9" borderId="23" xfId="1" applyNumberFormat="1" applyFont="1" applyFill="1" applyBorder="1" applyAlignment="1">
      <alignment horizontal="right" vertical="center"/>
    </xf>
    <xf numFmtId="4" fontId="7" fillId="9" borderId="0" xfId="1" applyNumberFormat="1" applyFont="1" applyFill="1" applyAlignment="1">
      <alignment horizontal="right" vertical="center"/>
    </xf>
    <xf numFmtId="9" fontId="25" fillId="9" borderId="0" xfId="2" applyFont="1" applyFill="1" applyAlignment="1">
      <alignment horizontal="right" vertical="center"/>
    </xf>
    <xf numFmtId="3" fontId="38" fillId="9" borderId="0" xfId="1" applyNumberFormat="1" applyFont="1" applyFill="1" applyAlignment="1">
      <alignment horizontal="right" vertical="center"/>
    </xf>
    <xf numFmtId="9" fontId="21" fillId="9" borderId="0" xfId="2" applyFont="1" applyFill="1" applyAlignment="1">
      <alignment horizontal="right" vertical="center"/>
    </xf>
    <xf numFmtId="3" fontId="7" fillId="9" borderId="0" xfId="2" applyNumberFormat="1" applyFont="1" applyFill="1" applyAlignment="1">
      <alignment horizontal="right" vertical="center"/>
    </xf>
    <xf numFmtId="3" fontId="9" fillId="9" borderId="6" xfId="1" applyNumberFormat="1" applyFont="1" applyFill="1" applyBorder="1" applyAlignment="1">
      <alignment horizontal="right" vertical="center"/>
    </xf>
    <xf numFmtId="3" fontId="7" fillId="9" borderId="0" xfId="3" applyNumberFormat="1" applyFont="1" applyFill="1" applyBorder="1" applyAlignment="1">
      <alignment horizontal="right" vertical="center"/>
    </xf>
    <xf numFmtId="3" fontId="47" fillId="9" borderId="0" xfId="1" applyNumberFormat="1" applyFont="1" applyFill="1" applyAlignment="1">
      <alignment horizontal="right" vertical="center"/>
    </xf>
    <xf numFmtId="174" fontId="44" fillId="9" borderId="0" xfId="1" applyNumberFormat="1" applyFont="1" applyFill="1" applyAlignment="1">
      <alignment horizontal="right" vertical="center"/>
    </xf>
    <xf numFmtId="167" fontId="7" fillId="9" borderId="0" xfId="2" applyNumberFormat="1" applyFont="1" applyFill="1" applyAlignment="1">
      <alignment horizontal="right" vertical="center"/>
    </xf>
    <xf numFmtId="1" fontId="25" fillId="9" borderId="0" xfId="1" applyNumberFormat="1" applyFont="1" applyFill="1" applyAlignment="1">
      <alignment horizontal="right" vertical="center"/>
    </xf>
    <xf numFmtId="172" fontId="7" fillId="9" borderId="0" xfId="1" applyNumberFormat="1" applyFont="1" applyFill="1" applyAlignment="1">
      <alignment horizontal="right" vertical="center"/>
    </xf>
    <xf numFmtId="2" fontId="7" fillId="9" borderId="0" xfId="1" applyNumberFormat="1" applyFont="1" applyFill="1" applyAlignment="1">
      <alignment horizontal="right" vertical="center"/>
    </xf>
    <xf numFmtId="0" fontId="25" fillId="9" borderId="0" xfId="1" applyFont="1" applyFill="1" applyAlignment="1">
      <alignment horizontal="right" vertical="center"/>
    </xf>
    <xf numFmtId="3" fontId="7" fillId="9" borderId="0" xfId="3" applyNumberFormat="1" applyFont="1" applyFill="1" applyAlignment="1">
      <alignment horizontal="right" vertical="center"/>
    </xf>
    <xf numFmtId="0" fontId="7" fillId="4" borderId="0" xfId="1" applyFont="1" applyFill="1" applyAlignment="1">
      <alignment horizontal="left" vertical="center" indent="1"/>
    </xf>
    <xf numFmtId="0" fontId="32" fillId="4" borderId="0" xfId="1" applyFont="1" applyFill="1" applyAlignment="1">
      <alignment horizontal="center" vertical="center"/>
    </xf>
    <xf numFmtId="0" fontId="24" fillId="4" borderId="0" xfId="1" applyFont="1" applyFill="1" applyAlignment="1">
      <alignment horizontal="right" vertical="center"/>
    </xf>
    <xf numFmtId="0" fontId="7" fillId="4" borderId="0" xfId="1" applyFont="1" applyFill="1" applyAlignment="1">
      <alignment horizontal="right" vertical="center"/>
    </xf>
    <xf numFmtId="167" fontId="24" fillId="4" borderId="0" xfId="1" applyNumberFormat="1" applyFont="1" applyFill="1" applyAlignment="1">
      <alignment horizontal="right" vertical="center"/>
    </xf>
    <xf numFmtId="3" fontId="7" fillId="4" borderId="0" xfId="1" applyNumberFormat="1" applyFont="1" applyFill="1" applyAlignment="1">
      <alignment horizontal="right" vertical="center"/>
    </xf>
    <xf numFmtId="3" fontId="24" fillId="4" borderId="0" xfId="1" applyNumberFormat="1" applyFont="1" applyFill="1" applyAlignment="1">
      <alignment horizontal="right" vertical="center"/>
    </xf>
    <xf numFmtId="3" fontId="24" fillId="4" borderId="0" xfId="1" applyNumberFormat="1" applyFont="1" applyFill="1" applyAlignment="1">
      <alignment vertical="center"/>
    </xf>
    <xf numFmtId="3" fontId="24" fillId="4" borderId="20" xfId="1" applyNumberFormat="1" applyFont="1" applyFill="1" applyBorder="1" applyAlignment="1">
      <alignment horizontal="right" vertical="center"/>
    </xf>
    <xf numFmtId="186" fontId="7" fillId="4" borderId="23" xfId="1" applyNumberFormat="1" applyFont="1" applyFill="1" applyBorder="1" applyAlignment="1">
      <alignment vertical="center"/>
    </xf>
    <xf numFmtId="0" fontId="7" fillId="4" borderId="23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171" fontId="7" fillId="4" borderId="0" xfId="1" applyNumberFormat="1" applyFont="1" applyFill="1" applyAlignment="1">
      <alignment horizontal="center" vertical="center"/>
    </xf>
    <xf numFmtId="184" fontId="9" fillId="4" borderId="6" xfId="3" applyNumberFormat="1" applyFont="1" applyFill="1" applyBorder="1" applyAlignment="1">
      <alignment vertical="center"/>
    </xf>
    <xf numFmtId="184" fontId="9" fillId="4" borderId="0" xfId="3" applyNumberFormat="1" applyFont="1" applyFill="1" applyBorder="1" applyAlignment="1">
      <alignment vertical="center"/>
    </xf>
    <xf numFmtId="184" fontId="9" fillId="4" borderId="0" xfId="3" applyNumberFormat="1" applyFont="1" applyFill="1" applyAlignment="1">
      <alignment vertical="center"/>
    </xf>
    <xf numFmtId="0" fontId="9" fillId="4" borderId="6" xfId="1" applyFont="1" applyFill="1" applyBorder="1" applyAlignment="1">
      <alignment vertical="center"/>
    </xf>
    <xf numFmtId="165" fontId="7" fillId="4" borderId="0" xfId="13" applyFont="1" applyFill="1" applyAlignment="1">
      <alignment vertical="center"/>
    </xf>
    <xf numFmtId="0" fontId="7" fillId="4" borderId="28" xfId="1" applyFont="1" applyFill="1" applyBorder="1" applyAlignment="1">
      <alignment vertical="center"/>
    </xf>
    <xf numFmtId="186" fontId="7" fillId="4" borderId="28" xfId="1" applyNumberFormat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9" fontId="7" fillId="4" borderId="0" xfId="2" applyFont="1" applyFill="1" applyAlignment="1">
      <alignment vertical="center"/>
    </xf>
    <xf numFmtId="186" fontId="7" fillId="4" borderId="0" xfId="1" applyNumberFormat="1" applyFont="1" applyFill="1" applyAlignment="1">
      <alignment vertical="center"/>
    </xf>
    <xf numFmtId="184" fontId="7" fillId="4" borderId="0" xfId="3" applyNumberFormat="1" applyFont="1" applyFill="1" applyAlignment="1">
      <alignment vertical="center"/>
    </xf>
    <xf numFmtId="184" fontId="7" fillId="4" borderId="0" xfId="3" applyNumberFormat="1" applyFont="1" applyFill="1" applyBorder="1" applyAlignment="1">
      <alignment vertical="center"/>
    </xf>
    <xf numFmtId="0" fontId="44" fillId="4" borderId="0" xfId="1" applyFont="1" applyFill="1" applyAlignment="1">
      <alignment vertical="center"/>
    </xf>
    <xf numFmtId="1" fontId="7" fillId="4" borderId="0" xfId="1" applyNumberFormat="1" applyFont="1" applyFill="1" applyAlignment="1">
      <alignment vertical="center"/>
    </xf>
    <xf numFmtId="1" fontId="7" fillId="4" borderId="0" xfId="1" applyNumberFormat="1" applyFont="1" applyFill="1" applyAlignment="1">
      <alignment horizontal="right" vertical="center"/>
    </xf>
    <xf numFmtId="167" fontId="7" fillId="4" borderId="0" xfId="1" applyNumberFormat="1" applyFont="1" applyFill="1" applyAlignment="1">
      <alignment vertical="center"/>
    </xf>
    <xf numFmtId="168" fontId="7" fillId="4" borderId="0" xfId="1" applyNumberFormat="1" applyFont="1" applyFill="1" applyAlignment="1">
      <alignment horizontal="right" vertical="center"/>
    </xf>
    <xf numFmtId="9" fontId="7" fillId="4" borderId="0" xfId="2" applyFont="1" applyFill="1" applyAlignment="1">
      <alignment horizontal="right" vertical="center"/>
    </xf>
    <xf numFmtId="4" fontId="24" fillId="9" borderId="0" xfId="1" applyNumberFormat="1" applyFont="1" applyFill="1" applyAlignment="1">
      <alignment horizontal="right" vertical="center"/>
    </xf>
    <xf numFmtId="4" fontId="9" fillId="9" borderId="23" xfId="1" applyNumberFormat="1" applyFont="1" applyFill="1" applyBorder="1" applyAlignment="1">
      <alignment horizontal="right" vertical="center"/>
    </xf>
    <xf numFmtId="4" fontId="9" fillId="9" borderId="0" xfId="1" applyNumberFormat="1" applyFont="1" applyFill="1" applyAlignment="1">
      <alignment horizontal="right" vertical="center"/>
    </xf>
    <xf numFmtId="171" fontId="14" fillId="9" borderId="0" xfId="12" applyNumberFormat="1" applyFont="1" applyFill="1" applyBorder="1" applyAlignment="1">
      <alignment horizontal="right" vertical="center"/>
    </xf>
    <xf numFmtId="9" fontId="14" fillId="9" borderId="0" xfId="12" applyFont="1" applyFill="1" applyBorder="1" applyAlignment="1">
      <alignment horizontal="right" vertical="center"/>
    </xf>
    <xf numFmtId="9" fontId="7" fillId="9" borderId="0" xfId="12" applyFont="1" applyFill="1" applyBorder="1" applyAlignment="1">
      <alignment horizontal="right" vertical="center"/>
    </xf>
    <xf numFmtId="4" fontId="19" fillId="9" borderId="0" xfId="1" applyNumberFormat="1" applyFont="1" applyFill="1" applyAlignment="1">
      <alignment horizontal="right" vertical="center"/>
    </xf>
    <xf numFmtId="4" fontId="7" fillId="9" borderId="5" xfId="1" applyNumberFormat="1" applyFont="1" applyFill="1" applyBorder="1" applyAlignment="1">
      <alignment horizontal="right" vertical="center"/>
    </xf>
    <xf numFmtId="4" fontId="9" fillId="9" borderId="18" xfId="3" applyNumberFormat="1" applyFont="1" applyFill="1" applyBorder="1" applyAlignment="1">
      <alignment horizontal="right" vertical="center"/>
    </xf>
    <xf numFmtId="4" fontId="9" fillId="9" borderId="6" xfId="1" applyNumberFormat="1" applyFont="1" applyFill="1" applyBorder="1" applyAlignment="1">
      <alignment horizontal="right" vertical="center"/>
    </xf>
    <xf numFmtId="4" fontId="24" fillId="9" borderId="0" xfId="3" applyNumberFormat="1" applyFont="1" applyFill="1" applyBorder="1" applyAlignment="1">
      <alignment horizontal="right" vertical="center"/>
    </xf>
    <xf numFmtId="4" fontId="9" fillId="9" borderId="18" xfId="1" applyNumberFormat="1" applyFont="1" applyFill="1" applyBorder="1" applyAlignment="1">
      <alignment horizontal="right" vertical="center"/>
    </xf>
    <xf numFmtId="171" fontId="7" fillId="9" borderId="18" xfId="2" applyNumberFormat="1" applyFont="1" applyFill="1" applyBorder="1" applyAlignment="1">
      <alignment horizontal="right" vertical="center"/>
    </xf>
    <xf numFmtId="167" fontId="7" fillId="9" borderId="18" xfId="1" applyNumberFormat="1" applyFont="1" applyFill="1" applyBorder="1" applyAlignment="1">
      <alignment horizontal="right" vertical="center"/>
    </xf>
    <xf numFmtId="168" fontId="24" fillId="9" borderId="0" xfId="1" applyNumberFormat="1" applyFont="1" applyFill="1" applyAlignment="1">
      <alignment horizontal="right" vertical="center"/>
    </xf>
    <xf numFmtId="3" fontId="23" fillId="9" borderId="23" xfId="1" applyNumberFormat="1" applyFont="1" applyFill="1" applyBorder="1" applyAlignment="1">
      <alignment horizontal="right" vertical="center"/>
    </xf>
    <xf numFmtId="3" fontId="24" fillId="9" borderId="0" xfId="1" applyNumberFormat="1" applyFont="1" applyFill="1" applyAlignment="1">
      <alignment horizontal="right" vertical="center"/>
    </xf>
    <xf numFmtId="3" fontId="23" fillId="9" borderId="18" xfId="1" applyNumberFormat="1" applyFont="1" applyFill="1" applyBorder="1" applyAlignment="1">
      <alignment horizontal="right" vertical="center"/>
    </xf>
    <xf numFmtId="3" fontId="24" fillId="9" borderId="28" xfId="1" applyNumberFormat="1" applyFont="1" applyFill="1" applyBorder="1" applyAlignment="1">
      <alignment horizontal="right" vertical="center"/>
    </xf>
    <xf numFmtId="168" fontId="7" fillId="9" borderId="0" xfId="1" applyNumberFormat="1" applyFont="1" applyFill="1" applyAlignment="1">
      <alignment horizontal="right" vertical="center"/>
    </xf>
    <xf numFmtId="9" fontId="24" fillId="9" borderId="0" xfId="2" applyFont="1" applyFill="1" applyBorder="1" applyAlignment="1">
      <alignment horizontal="right" vertical="center"/>
    </xf>
    <xf numFmtId="3" fontId="7" fillId="9" borderId="0" xfId="2" applyNumberFormat="1" applyFont="1" applyFill="1" applyBorder="1" applyAlignment="1">
      <alignment horizontal="right" vertical="center"/>
    </xf>
    <xf numFmtId="3" fontId="24" fillId="9" borderId="0" xfId="3" applyNumberFormat="1" applyFont="1" applyFill="1" applyBorder="1" applyAlignment="1">
      <alignment horizontal="right" vertical="center"/>
    </xf>
    <xf numFmtId="167" fontId="7" fillId="9" borderId="0" xfId="2" applyNumberFormat="1" applyFont="1" applyFill="1" applyBorder="1" applyAlignment="1">
      <alignment horizontal="right" vertical="center"/>
    </xf>
    <xf numFmtId="1" fontId="23" fillId="9" borderId="18" xfId="1" applyNumberFormat="1" applyFont="1" applyFill="1" applyBorder="1" applyAlignment="1">
      <alignment horizontal="right" vertical="center"/>
    </xf>
    <xf numFmtId="1" fontId="19" fillId="9" borderId="0" xfId="1" applyNumberFormat="1" applyFont="1" applyFill="1" applyAlignment="1">
      <alignment horizontal="right" vertical="center"/>
    </xf>
    <xf numFmtId="3" fontId="14" fillId="9" borderId="0" xfId="12" applyNumberFormat="1" applyFont="1" applyFill="1" applyBorder="1" applyAlignment="1">
      <alignment horizontal="right" vertical="center"/>
    </xf>
    <xf numFmtId="3" fontId="14" fillId="0" borderId="0" xfId="12" applyNumberFormat="1" applyFont="1" applyFill="1" applyBorder="1" applyAlignment="1">
      <alignment horizontal="right" vertical="center"/>
    </xf>
    <xf numFmtId="3" fontId="14" fillId="0" borderId="0" xfId="12" applyNumberFormat="1" applyFont="1" applyFill="1" applyAlignment="1">
      <alignment horizontal="right" vertical="center"/>
    </xf>
    <xf numFmtId="3" fontId="7" fillId="9" borderId="0" xfId="12" applyNumberFormat="1" applyFont="1" applyFill="1" applyBorder="1" applyAlignment="1">
      <alignment horizontal="right" vertical="center"/>
    </xf>
    <xf numFmtId="3" fontId="7" fillId="0" borderId="0" xfId="12" applyNumberFormat="1" applyFont="1" applyFill="1" applyBorder="1" applyAlignment="1">
      <alignment horizontal="right" vertical="center"/>
    </xf>
    <xf numFmtId="3" fontId="7" fillId="0" borderId="0" xfId="12" applyNumberFormat="1" applyFont="1" applyFill="1" applyAlignment="1">
      <alignment horizontal="right" vertical="center"/>
    </xf>
    <xf numFmtId="3" fontId="19" fillId="9" borderId="0" xfId="1" applyNumberFormat="1" applyFont="1" applyFill="1" applyAlignment="1">
      <alignment horizontal="right" vertical="center"/>
    </xf>
    <xf numFmtId="3" fontId="7" fillId="9" borderId="5" xfId="1" applyNumberFormat="1" applyFont="1" applyFill="1" applyBorder="1" applyAlignment="1">
      <alignment horizontal="right" vertical="center"/>
    </xf>
    <xf numFmtId="3" fontId="9" fillId="9" borderId="18" xfId="3" applyNumberFormat="1" applyFont="1" applyFill="1" applyBorder="1" applyAlignment="1">
      <alignment horizontal="right" vertical="center"/>
    </xf>
    <xf numFmtId="3" fontId="9" fillId="0" borderId="18" xfId="3" applyNumberFormat="1" applyFont="1" applyFill="1" applyBorder="1" applyAlignment="1">
      <alignment horizontal="right" vertical="center"/>
    </xf>
    <xf numFmtId="3" fontId="9" fillId="0" borderId="0" xfId="3" applyNumberFormat="1" applyFont="1" applyFill="1" applyBorder="1" applyAlignment="1">
      <alignment horizontal="right" vertical="center"/>
    </xf>
    <xf numFmtId="3" fontId="19" fillId="0" borderId="0" xfId="1" applyNumberFormat="1" applyFont="1" applyAlignment="1">
      <alignment horizontal="right" vertical="center"/>
    </xf>
    <xf numFmtId="3" fontId="7" fillId="0" borderId="5" xfId="1" applyNumberFormat="1" applyFont="1" applyBorder="1" applyAlignment="1">
      <alignment horizontal="right" vertical="center"/>
    </xf>
    <xf numFmtId="3" fontId="9" fillId="9" borderId="18" xfId="1" applyNumberFormat="1" applyFont="1" applyFill="1" applyBorder="1" applyAlignment="1">
      <alignment horizontal="right" vertical="center"/>
    </xf>
    <xf numFmtId="3" fontId="9" fillId="0" borderId="27" xfId="1" applyNumberFormat="1" applyFont="1" applyBorder="1" applyAlignment="1">
      <alignment horizontal="right" vertical="center"/>
    </xf>
    <xf numFmtId="3" fontId="7" fillId="4" borderId="20" xfId="1" applyNumberFormat="1" applyFont="1" applyFill="1" applyBorder="1" applyAlignment="1">
      <alignment horizontal="right" vertical="center"/>
    </xf>
    <xf numFmtId="4" fontId="24" fillId="4" borderId="0" xfId="1" applyNumberFormat="1" applyFont="1" applyFill="1" applyAlignment="1">
      <alignment horizontal="right" vertical="center"/>
    </xf>
    <xf numFmtId="4" fontId="24" fillId="0" borderId="0" xfId="1" applyNumberFormat="1" applyFont="1" applyAlignment="1">
      <alignment horizontal="right" vertical="center"/>
    </xf>
    <xf numFmtId="4" fontId="9" fillId="0" borderId="0" xfId="1" applyNumberFormat="1" applyFont="1" applyAlignment="1">
      <alignment horizontal="right" vertical="center"/>
    </xf>
    <xf numFmtId="4" fontId="7" fillId="0" borderId="27" xfId="1" applyNumberFormat="1" applyFont="1" applyBorder="1" applyAlignment="1">
      <alignment horizontal="right" vertical="center"/>
    </xf>
    <xf numFmtId="9" fontId="14" fillId="0" borderId="0" xfId="12" applyFont="1" applyFill="1" applyBorder="1" applyAlignment="1">
      <alignment horizontal="right" vertical="center"/>
    </xf>
    <xf numFmtId="9" fontId="7" fillId="0" borderId="0" xfId="12" applyFont="1" applyFill="1" applyBorder="1" applyAlignment="1">
      <alignment horizontal="right" vertical="center"/>
    </xf>
    <xf numFmtId="4" fontId="24" fillId="0" borderId="0" xfId="3" applyNumberFormat="1" applyFont="1" applyFill="1" applyBorder="1" applyAlignment="1">
      <alignment horizontal="right" vertical="center"/>
    </xf>
    <xf numFmtId="4" fontId="9" fillId="0" borderId="18" xfId="1" applyNumberFormat="1" applyFont="1" applyBorder="1" applyAlignment="1">
      <alignment horizontal="right" vertical="center"/>
    </xf>
    <xf numFmtId="9" fontId="14" fillId="0" borderId="0" xfId="12" applyFont="1" applyFill="1" applyAlignment="1">
      <alignment horizontal="right" vertical="center"/>
    </xf>
    <xf numFmtId="168" fontId="9" fillId="0" borderId="18" xfId="1" applyNumberFormat="1" applyFont="1" applyBorder="1" applyAlignment="1">
      <alignment horizontal="right" vertical="center"/>
    </xf>
    <xf numFmtId="3" fontId="7" fillId="15" borderId="0" xfId="1" applyNumberFormat="1" applyFont="1" applyFill="1" applyAlignment="1">
      <alignment horizontal="right" vertical="center"/>
    </xf>
    <xf numFmtId="168" fontId="9" fillId="4" borderId="0" xfId="1" applyNumberFormat="1" applyFont="1" applyFill="1" applyAlignment="1">
      <alignment horizontal="right"/>
    </xf>
    <xf numFmtId="9" fontId="9" fillId="4" borderId="0" xfId="12" applyFont="1" applyFill="1"/>
    <xf numFmtId="0" fontId="36" fillId="4" borderId="0" xfId="1" applyFont="1" applyFill="1"/>
    <xf numFmtId="4" fontId="24" fillId="0" borderId="20" xfId="1" applyNumberFormat="1" applyFont="1" applyBorder="1" applyAlignment="1">
      <alignment horizontal="right" vertical="center"/>
    </xf>
    <xf numFmtId="4" fontId="9" fillId="0" borderId="25" xfId="1" applyNumberFormat="1" applyFont="1" applyBorder="1" applyAlignment="1">
      <alignment horizontal="right" vertical="center"/>
    </xf>
    <xf numFmtId="4" fontId="9" fillId="0" borderId="20" xfId="1" applyNumberFormat="1" applyFont="1" applyBorder="1" applyAlignment="1">
      <alignment horizontal="right" vertical="center"/>
    </xf>
    <xf numFmtId="4" fontId="7" fillId="0" borderId="34" xfId="1" applyNumberFormat="1" applyFont="1" applyBorder="1" applyAlignment="1">
      <alignment horizontal="right" vertical="center"/>
    </xf>
    <xf numFmtId="9" fontId="7" fillId="0" borderId="20" xfId="12" applyFont="1" applyFill="1" applyBorder="1" applyAlignment="1">
      <alignment horizontal="right" vertical="center"/>
    </xf>
    <xf numFmtId="4" fontId="9" fillId="0" borderId="26" xfId="1" applyNumberFormat="1" applyFont="1" applyBorder="1" applyAlignment="1">
      <alignment horizontal="right" vertical="center"/>
    </xf>
    <xf numFmtId="4" fontId="24" fillId="0" borderId="20" xfId="3" applyNumberFormat="1" applyFont="1" applyFill="1" applyBorder="1" applyAlignment="1">
      <alignment horizontal="right" vertical="center"/>
    </xf>
    <xf numFmtId="4" fontId="9" fillId="0" borderId="19" xfId="1" applyNumberFormat="1" applyFont="1" applyBorder="1" applyAlignment="1">
      <alignment horizontal="right" vertical="center"/>
    </xf>
    <xf numFmtId="3" fontId="24" fillId="0" borderId="21" xfId="1" applyNumberFormat="1" applyFont="1" applyBorder="1" applyAlignment="1">
      <alignment horizontal="right" vertical="center"/>
    </xf>
    <xf numFmtId="4" fontId="23" fillId="0" borderId="25" xfId="1" applyNumberFormat="1" applyFont="1" applyBorder="1" applyAlignment="1">
      <alignment horizontal="right" vertical="center"/>
    </xf>
    <xf numFmtId="168" fontId="9" fillId="14" borderId="23" xfId="1" applyNumberFormat="1" applyFont="1" applyFill="1" applyBorder="1" applyAlignment="1">
      <alignment horizontal="right" vertical="center"/>
    </xf>
    <xf numFmtId="168" fontId="9" fillId="0" borderId="18" xfId="3" applyNumberFormat="1" applyFont="1" applyFill="1" applyBorder="1" applyAlignment="1">
      <alignment horizontal="right" vertical="center"/>
    </xf>
    <xf numFmtId="4" fontId="9" fillId="4" borderId="0" xfId="1" applyNumberFormat="1" applyFont="1" applyFill="1" applyAlignment="1">
      <alignment vertical="center"/>
    </xf>
    <xf numFmtId="4" fontId="23" fillId="4" borderId="18" xfId="3" applyNumberFormat="1" applyFont="1" applyFill="1" applyBorder="1" applyAlignment="1">
      <alignment horizontal="right" vertical="center"/>
    </xf>
    <xf numFmtId="168" fontId="23" fillId="0" borderId="19" xfId="1" applyNumberFormat="1" applyFont="1" applyBorder="1" applyAlignment="1">
      <alignment horizontal="right" vertical="center"/>
    </xf>
    <xf numFmtId="3" fontId="24" fillId="16" borderId="20" xfId="1" applyNumberFormat="1" applyFont="1" applyFill="1" applyBorder="1" applyAlignment="1">
      <alignment horizontal="right" vertical="center"/>
    </xf>
    <xf numFmtId="1" fontId="7" fillId="16" borderId="20" xfId="1" applyNumberFormat="1" applyFont="1" applyFill="1" applyBorder="1" applyAlignment="1">
      <alignment horizontal="right" vertical="center"/>
    </xf>
    <xf numFmtId="3" fontId="7" fillId="16" borderId="20" xfId="1" applyNumberFormat="1" applyFont="1" applyFill="1" applyBorder="1" applyAlignment="1">
      <alignment horizontal="right" vertical="center"/>
    </xf>
    <xf numFmtId="168" fontId="24" fillId="16" borderId="20" xfId="1" applyNumberFormat="1" applyFont="1" applyFill="1" applyBorder="1" applyAlignment="1">
      <alignment horizontal="right" vertical="center"/>
    </xf>
    <xf numFmtId="168" fontId="24" fillId="16" borderId="29" xfId="1" applyNumberFormat="1" applyFont="1" applyFill="1" applyBorder="1" applyAlignment="1">
      <alignment horizontal="right" vertical="center"/>
    </xf>
    <xf numFmtId="3" fontId="24" fillId="16" borderId="29" xfId="1" applyNumberFormat="1" applyFont="1" applyFill="1" applyBorder="1" applyAlignment="1">
      <alignment horizontal="right" vertical="center"/>
    </xf>
    <xf numFmtId="168" fontId="7" fillId="16" borderId="20" xfId="1" applyNumberFormat="1" applyFont="1" applyFill="1" applyBorder="1" applyAlignment="1">
      <alignment horizontal="right" vertical="center"/>
    </xf>
    <xf numFmtId="3" fontId="7" fillId="17" borderId="0" xfId="1" applyNumberFormat="1" applyFont="1" applyFill="1" applyAlignment="1">
      <alignment horizontal="right" vertical="center"/>
    </xf>
    <xf numFmtId="1" fontId="7" fillId="17" borderId="0" xfId="1" applyNumberFormat="1" applyFont="1" applyFill="1" applyAlignment="1">
      <alignment horizontal="right" vertical="center"/>
    </xf>
    <xf numFmtId="3" fontId="7" fillId="17" borderId="28" xfId="1" applyNumberFormat="1" applyFont="1" applyFill="1" applyBorder="1" applyAlignment="1">
      <alignment horizontal="right" vertical="center"/>
    </xf>
    <xf numFmtId="3" fontId="25" fillId="17" borderId="0" xfId="1" applyNumberFormat="1" applyFont="1" applyFill="1" applyAlignment="1">
      <alignment horizontal="right" vertical="center"/>
    </xf>
    <xf numFmtId="9" fontId="18" fillId="8" borderId="17" xfId="2" applyFont="1" applyFill="1" applyBorder="1"/>
    <xf numFmtId="49" fontId="48" fillId="0" borderId="0" xfId="0" applyNumberFormat="1" applyFont="1"/>
    <xf numFmtId="49" fontId="49" fillId="0" borderId="0" xfId="0" applyNumberFormat="1" applyFont="1"/>
    <xf numFmtId="49" fontId="42" fillId="0" borderId="0" xfId="0" applyNumberFormat="1" applyFont="1" applyAlignment="1">
      <alignment horizontal="left" vertical="center"/>
    </xf>
    <xf numFmtId="49" fontId="42" fillId="0" borderId="0" xfId="0" applyNumberFormat="1" applyFont="1"/>
    <xf numFmtId="49" fontId="5" fillId="0" borderId="0" xfId="0" applyNumberFormat="1" applyFont="1"/>
    <xf numFmtId="49" fontId="50" fillId="0" borderId="0" xfId="0" applyNumberFormat="1" applyFont="1"/>
    <xf numFmtId="49" fontId="5" fillId="0" borderId="33" xfId="0" applyNumberFormat="1" applyFont="1" applyBorder="1"/>
    <xf numFmtId="0" fontId="5" fillId="0" borderId="0" xfId="0" applyFont="1"/>
    <xf numFmtId="2" fontId="48" fillId="0" borderId="0" xfId="0" applyNumberFormat="1" applyFont="1"/>
    <xf numFmtId="49" fontId="5" fillId="0" borderId="33" xfId="0" applyNumberFormat="1" applyFont="1" applyBorder="1"/>
    <xf numFmtId="0" fontId="9" fillId="4" borderId="2" xfId="1" applyFont="1" applyFill="1" applyBorder="1" applyAlignment="1">
      <alignment horizontal="left"/>
    </xf>
    <xf numFmtId="0" fontId="12" fillId="4" borderId="3" xfId="1" applyFont="1" applyFill="1" applyBorder="1" applyAlignment="1">
      <alignment horizontal="center" vertical="center" wrapText="1"/>
    </xf>
    <xf numFmtId="0" fontId="12" fillId="4" borderId="4" xfId="1" applyFont="1" applyFill="1" applyBorder="1" applyAlignment="1">
      <alignment horizontal="center" vertical="center" wrapText="1"/>
    </xf>
    <xf numFmtId="0" fontId="9" fillId="4" borderId="1" xfId="1" applyFont="1" applyFill="1" applyBorder="1" applyAlignment="1">
      <alignment horizontal="center"/>
    </xf>
    <xf numFmtId="0" fontId="9" fillId="3" borderId="7" xfId="1" applyFont="1" applyFill="1" applyBorder="1" applyAlignment="1">
      <alignment horizontal="center"/>
    </xf>
    <xf numFmtId="0" fontId="9" fillId="3" borderId="8" xfId="1" applyFont="1" applyFill="1" applyBorder="1" applyAlignment="1">
      <alignment horizontal="center"/>
    </xf>
    <xf numFmtId="0" fontId="9" fillId="3" borderId="9" xfId="1" applyFont="1" applyFill="1" applyBorder="1" applyAlignment="1">
      <alignment horizontal="center"/>
    </xf>
    <xf numFmtId="0" fontId="20" fillId="0" borderId="7" xfId="1" applyFont="1" applyBorder="1" applyAlignment="1">
      <alignment horizontal="center" vertical="center"/>
    </xf>
    <xf numFmtId="0" fontId="20" fillId="0" borderId="9" xfId="1" applyFont="1" applyBorder="1" applyAlignment="1">
      <alignment horizontal="center" vertical="center"/>
    </xf>
    <xf numFmtId="0" fontId="20" fillId="0" borderId="7" xfId="1" applyFont="1" applyBorder="1" applyAlignment="1">
      <alignment horizontal="center" vertical="center" wrapText="1"/>
    </xf>
    <xf numFmtId="0" fontId="20" fillId="0" borderId="9" xfId="1" applyFont="1" applyBorder="1" applyAlignment="1">
      <alignment horizontal="center" vertical="center" wrapText="1"/>
    </xf>
    <xf numFmtId="179" fontId="23" fillId="0" borderId="0" xfId="4" applyNumberFormat="1" applyFont="1" applyAlignment="1">
      <alignment horizontal="left"/>
    </xf>
    <xf numFmtId="181" fontId="23" fillId="0" borderId="0" xfId="4" applyNumberFormat="1" applyFont="1" applyAlignment="1">
      <alignment horizontal="left"/>
    </xf>
    <xf numFmtId="0" fontId="4" fillId="0" borderId="0" xfId="1" applyFont="1" applyAlignment="1">
      <alignment horizontal="center" vertical="center"/>
    </xf>
  </cellXfs>
  <cellStyles count="29">
    <cellStyle name="60% - Accent1 2" xfId="6" xr:uid="{C803F75B-955B-4453-AC8C-4CD58734B8EB}"/>
    <cellStyle name="Comma" xfId="13" builtinId="3"/>
    <cellStyle name="Comma 2" xfId="3" xr:uid="{F09B9857-212E-41D0-BC42-2C4082BC322F}"/>
    <cellStyle name="Comma 2 2" xfId="16" xr:uid="{13669B31-F7A9-4DFA-B7D0-EF284F8F3C78}"/>
    <cellStyle name="Comma 2 2 2" xfId="25" xr:uid="{5030E439-7504-4C7D-8E8D-0C33EE340305}"/>
    <cellStyle name="Comma 2 3" xfId="21" xr:uid="{9CDEB7F6-0B4E-4EB5-90A8-263FC6F698C5}"/>
    <cellStyle name="Comma 3" xfId="8" xr:uid="{82890E6E-1846-422D-BDC3-BFD37DE7040B}"/>
    <cellStyle name="Comma 3 2" xfId="19" xr:uid="{8681ECA4-A4F1-443E-A57D-E3E1A077ED69}"/>
    <cellStyle name="Comma 3 2 2" xfId="27" xr:uid="{F8D9ED4D-868C-44E5-825D-3323C326DF1C}"/>
    <cellStyle name="Comma 3 3" xfId="23" xr:uid="{3FF03036-746D-4030-9E75-9368266E4849}"/>
    <cellStyle name="Comma 4" xfId="20" xr:uid="{50681252-9B99-4F6D-8ADE-60C85DB4F44B}"/>
    <cellStyle name="Comma 4 2" xfId="28" xr:uid="{B88DED59-9425-4D13-A3FC-3C42C4AE7C9D}"/>
    <cellStyle name="Comma 5" xfId="24" xr:uid="{A0AD8988-5EDA-4338-A519-012E206A2D64}"/>
    <cellStyle name="Currency 2" xfId="5" xr:uid="{9891C2FE-128F-42BB-8F7F-8F867F89F934}"/>
    <cellStyle name="Currency 2 2" xfId="17" xr:uid="{26F45FD8-AEBA-4EC9-94E9-ED672C115FA7}"/>
    <cellStyle name="Currency 2 2 2" xfId="26" xr:uid="{72FC61C4-49A5-40DB-B9F6-387C313B39CD}"/>
    <cellStyle name="Currency 2 3" xfId="22" xr:uid="{444310A6-A3FD-4ED3-905C-87C561D10355}"/>
    <cellStyle name="Hyperlink 2" xfId="14" xr:uid="{44852656-C4E1-402C-9928-06001E97D775}"/>
    <cellStyle name="MS Heading 2" xfId="9" xr:uid="{5D64B7AE-10DA-41A0-BC34-C40D1437B010}"/>
    <cellStyle name="MS Shading Alt" xfId="10" xr:uid="{D38C980C-46D7-4ACC-8101-0BC18A2B9D3B}"/>
    <cellStyle name="Normal" xfId="0" builtinId="0"/>
    <cellStyle name="Normal 11" xfId="11" xr:uid="{587E1CF7-FBB1-427A-8349-22B465F5A623}"/>
    <cellStyle name="Normal 2" xfId="1" xr:uid="{6D569B39-0AA6-4D1F-9903-A6C49FC63D11}"/>
    <cellStyle name="Normal 2 2" xfId="7" xr:uid="{396476B2-F5A5-463E-87BF-7001D0FC72ED}"/>
    <cellStyle name="Normal 2 2 2" xfId="18" xr:uid="{280FB5C8-DC0F-4DA1-A81B-F4F6FCE56913}"/>
    <cellStyle name="Normal_TEL" xfId="4" xr:uid="{B55225ED-E1B5-4212-8C89-3DCCABE6F5F8}"/>
    <cellStyle name="Percent" xfId="12" builtinId="5"/>
    <cellStyle name="Percent 2" xfId="2" xr:uid="{53BC2E4B-DFB3-4725-B692-034085F3011A}"/>
    <cellStyle name="Percent 2 2" xfId="15" xr:uid="{EEB4B768-3A75-4631-A3E6-777E3BAA7688}"/>
  </cellStyles>
  <dxfs count="2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66FF"/>
      <color rgb="FFFF99FF"/>
      <color rgb="FFEA8E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572271386430681"/>
          <c:y val="2.083333333333333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1858407079646017"/>
          <c:y val="0.31666795519187496"/>
          <c:w val="0.36283185840707965"/>
          <c:h val="0.17083402845877466"/>
        </c:manualLayout>
      </c:layout>
      <c:pieChart>
        <c:varyColors val="1"/>
        <c:ser>
          <c:idx val="0"/>
          <c:order val="0"/>
          <c:tx>
            <c:v>2009 Earnings Split</c:v>
          </c:tx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'Fin Sum'!#REF!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'Financial Summary'!#REF!</c15:sqref>
                        </c15:formulaRef>
                      </c:ext>
                    </c:extLst>
                    <c:strCache>
                      <c:ptCount val="6"/>
                      <c:pt idx="0">
                        <c:v>Siding &amp; Trim</c:v>
                      </c:pt>
                      <c:pt idx="1">
                        <c:v>Decking, Railing &amp; Accessories</c:v>
                      </c:pt>
                      <c:pt idx="2">
                        <c:v>A&amp;NZ</c:v>
                      </c:pt>
                      <c:pt idx="3">
                        <c:v>Europe</c:v>
                      </c:pt>
                      <c:pt idx="4">
                        <c:v>Research &amp; Development</c:v>
                      </c:pt>
                      <c:pt idx="5">
                        <c:v>General corporate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AA1-4C06-AA7A-162F366D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7787610619469029"/>
          <c:y val="0.82500335694725324"/>
          <c:w val="0"/>
          <c:h val="4.1666836209457237E-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 rtl="0"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2010 Earnings Split</a:t>
            </a:r>
          </a:p>
        </c:rich>
      </c:tx>
      <c:layout>
        <c:manualLayout>
          <c:xMode val="edge"/>
          <c:yMode val="edge"/>
          <c:x val="0.13095300587426573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90628433247498"/>
          <c:y val="0.1625006612168832"/>
          <c:w val="0.47619324424086357"/>
          <c:h val="0.53750218710199826"/>
        </c:manualLayout>
      </c:layout>
      <c:pieChart>
        <c:varyColors val="1"/>
        <c:ser>
          <c:idx val="0"/>
          <c:order val="0"/>
          <c:tx>
            <c:v>2009 Earnings Split</c:v>
          </c:tx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'Fin Sum'!#REF!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'Financial Summary'!#REF!</c15:sqref>
                        </c15:formulaRef>
                      </c:ext>
                    </c:extLst>
                    <c:strCache>
                      <c:ptCount val="6"/>
                      <c:pt idx="0">
                        <c:v>Siding &amp; Trim</c:v>
                      </c:pt>
                      <c:pt idx="1">
                        <c:v>Decking, Railing &amp; Accessories</c:v>
                      </c:pt>
                      <c:pt idx="2">
                        <c:v>A&amp;NZ</c:v>
                      </c:pt>
                      <c:pt idx="3">
                        <c:v>Europe</c:v>
                      </c:pt>
                      <c:pt idx="4">
                        <c:v>Research &amp; Development</c:v>
                      </c:pt>
                      <c:pt idx="5">
                        <c:v>General corporate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071-4406-97A2-228FB4DE3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7619297587801523"/>
          <c:y val="0.84583683289588807"/>
          <c:w val="0"/>
          <c:h val="4.1666666666666519E-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International FC'!A1"/><Relationship Id="rId3" Type="http://schemas.openxmlformats.org/officeDocument/2006/relationships/image" Target="../media/image3.jpeg"/><Relationship Id="rId7" Type="http://schemas.openxmlformats.org/officeDocument/2006/relationships/hyperlink" Target="#'North America FC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Market Drivers'!A1"/><Relationship Id="rId5" Type="http://schemas.openxmlformats.org/officeDocument/2006/relationships/hyperlink" Target="#'BS,CF and P&amp;L'!A1"/><Relationship Id="rId4" Type="http://schemas.openxmlformats.org/officeDocument/2006/relationships/hyperlink" Target="#Per_share_data"/><Relationship Id="rId9" Type="http://schemas.openxmlformats.org/officeDocument/2006/relationships/hyperlink" Target="#'Valuation (A$ DCF)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Fin Sum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5756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273E9B-AC66-BB10-A876-AC41331B1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180</xdr:row>
      <xdr:rowOff>0</xdr:rowOff>
    </xdr:from>
    <xdr:to>
      <xdr:col>10</xdr:col>
      <xdr:colOff>527050</xdr:colOff>
      <xdr:row>201</xdr:row>
      <xdr:rowOff>121920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CED16E-35E8-592B-AFF0-990817B92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3147000"/>
          <a:ext cx="6496050" cy="396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1181100</xdr:colOff>
      <xdr:row>200</xdr:row>
      <xdr:rowOff>104775</xdr:rowOff>
    </xdr:from>
    <xdr:to>
      <xdr:col>2</xdr:col>
      <xdr:colOff>0</xdr:colOff>
      <xdr:row>214</xdr:row>
      <xdr:rowOff>123825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202</xdr:row>
      <xdr:rowOff>95250</xdr:rowOff>
    </xdr:from>
    <xdr:to>
      <xdr:col>4</xdr:col>
      <xdr:colOff>0</xdr:colOff>
      <xdr:row>216</xdr:row>
      <xdr:rowOff>114300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67236</xdr:colOff>
      <xdr:row>1</xdr:row>
      <xdr:rowOff>22414</xdr:rowOff>
    </xdr:from>
    <xdr:to>
      <xdr:col>1</xdr:col>
      <xdr:colOff>2181343</xdr:colOff>
      <xdr:row>2</xdr:row>
      <xdr:rowOff>95825</xdr:rowOff>
    </xdr:to>
    <xdr:pic>
      <xdr:nvPicPr>
        <xdr:cNvPr id="5" name="Picture 4" descr="MS_PCLogo_Gray12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61" y="165289"/>
          <a:ext cx="1523557" cy="2162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57</xdr:col>
      <xdr:colOff>460340</xdr:colOff>
      <xdr:row>23</xdr:row>
      <xdr:rowOff>8203</xdr:rowOff>
    </xdr:from>
    <xdr:to>
      <xdr:col>61</xdr:col>
      <xdr:colOff>0</xdr:colOff>
      <xdr:row>24</xdr:row>
      <xdr:rowOff>102217</xdr:rowOff>
    </xdr:to>
    <xdr:sp macro="" textlink="">
      <xdr:nvSpPr>
        <xdr:cNvPr id="6" name="Rectangle 5">
          <a:hlinkClick xmlns:r="http://schemas.openxmlformats.org/officeDocument/2006/relationships" r:id="rId4" tooltip="Per share / ratios / analysis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537790" y="3294328"/>
          <a:ext cx="1637322" cy="236889"/>
        </a:xfrm>
        <a:prstGeom prst="rect">
          <a:avLst/>
        </a:prstGeom>
        <a:solidFill>
          <a:srgbClr val="009A46"/>
        </a:solidFill>
        <a:ln>
          <a:noFill/>
        </a:ln>
        <a:scene3d>
          <a:camera prst="orthographicFront"/>
          <a:lightRig rig="threePt" dir="t"/>
        </a:scene3d>
        <a:sp3d>
          <a:bevelT w="12700"/>
          <a:bevelB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Arial" panose="020B0604020202020204" pitchFamily="34" charset="0"/>
              <a:cs typeface="Arial" panose="020B0604020202020204" pitchFamily="34" charset="0"/>
            </a:rPr>
            <a:t>Per share / ratios</a:t>
          </a:r>
        </a:p>
      </xdr:txBody>
    </xdr:sp>
    <xdr:clientData/>
  </xdr:twoCellAnchor>
  <xdr:twoCellAnchor>
    <xdr:from>
      <xdr:col>57</xdr:col>
      <xdr:colOff>469865</xdr:colOff>
      <xdr:row>20</xdr:row>
      <xdr:rowOff>94177</xdr:rowOff>
    </xdr:from>
    <xdr:to>
      <xdr:col>61</xdr:col>
      <xdr:colOff>0</xdr:colOff>
      <xdr:row>22</xdr:row>
      <xdr:rowOff>80117</xdr:rowOff>
    </xdr:to>
    <xdr:sp macro="" textlink="">
      <xdr:nvSpPr>
        <xdr:cNvPr id="7" name="Rectangle 6">
          <a:hlinkClick xmlns:r="http://schemas.openxmlformats.org/officeDocument/2006/relationships" r:id="rId5" tooltip="P&amp;L / CF / BS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547315" y="2951677"/>
          <a:ext cx="1639217" cy="271690"/>
        </a:xfrm>
        <a:prstGeom prst="rect">
          <a:avLst/>
        </a:prstGeom>
        <a:solidFill>
          <a:srgbClr val="009A46"/>
        </a:solidFill>
        <a:ln>
          <a:noFill/>
        </a:ln>
        <a:scene3d>
          <a:camera prst="orthographicFront"/>
          <a:lightRig rig="threePt" dir="t"/>
        </a:scene3d>
        <a:sp3d>
          <a:bevelT w="12700"/>
          <a:bevelB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Arial" panose="020B0604020202020204" pitchFamily="34" charset="0"/>
              <a:cs typeface="Arial" panose="020B0604020202020204" pitchFamily="34" charset="0"/>
            </a:rPr>
            <a:t>BS, CF and P&amp;L</a:t>
          </a:r>
        </a:p>
      </xdr:txBody>
    </xdr:sp>
    <xdr:clientData/>
  </xdr:twoCellAnchor>
  <xdr:twoCellAnchor>
    <xdr:from>
      <xdr:col>57</xdr:col>
      <xdr:colOff>469865</xdr:colOff>
      <xdr:row>25</xdr:row>
      <xdr:rowOff>39204</xdr:rowOff>
    </xdr:from>
    <xdr:to>
      <xdr:col>61</xdr:col>
      <xdr:colOff>0</xdr:colOff>
      <xdr:row>27</xdr:row>
      <xdr:rowOff>27191</xdr:rowOff>
    </xdr:to>
    <xdr:sp macro="" textlink="">
      <xdr:nvSpPr>
        <xdr:cNvPr id="8" name="Rectangle 7">
          <a:hlinkClick xmlns:r="http://schemas.openxmlformats.org/officeDocument/2006/relationships" r:id="rId6" tooltip="Drivers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547315" y="3611079"/>
          <a:ext cx="1637322" cy="273737"/>
        </a:xfrm>
        <a:prstGeom prst="rect">
          <a:avLst/>
        </a:prstGeom>
        <a:solidFill>
          <a:srgbClr val="009A46"/>
        </a:solidFill>
        <a:ln>
          <a:noFill/>
        </a:ln>
        <a:scene3d>
          <a:camera prst="orthographicFront"/>
          <a:lightRig rig="threePt" dir="t"/>
        </a:scene3d>
        <a:sp3d>
          <a:bevelT w="12700"/>
          <a:bevelB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Arial" panose="020B0604020202020204" pitchFamily="34" charset="0"/>
              <a:cs typeface="Arial" panose="020B0604020202020204" pitchFamily="34" charset="0"/>
            </a:rPr>
            <a:t>Drivers</a:t>
          </a:r>
        </a:p>
      </xdr:txBody>
    </xdr:sp>
    <xdr:clientData/>
  </xdr:twoCellAnchor>
  <xdr:twoCellAnchor>
    <xdr:from>
      <xdr:col>57</xdr:col>
      <xdr:colOff>469865</xdr:colOff>
      <xdr:row>27</xdr:row>
      <xdr:rowOff>85393</xdr:rowOff>
    </xdr:from>
    <xdr:to>
      <xdr:col>61</xdr:col>
      <xdr:colOff>0</xdr:colOff>
      <xdr:row>29</xdr:row>
      <xdr:rowOff>73382</xdr:rowOff>
    </xdr:to>
    <xdr:sp macro="" textlink="">
      <xdr:nvSpPr>
        <xdr:cNvPr id="9" name="Rectangle 8">
          <a:hlinkClick xmlns:r="http://schemas.openxmlformats.org/officeDocument/2006/relationships" r:id="rId7" tooltip="Divisional summary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547315" y="3943018"/>
          <a:ext cx="1637322" cy="273739"/>
        </a:xfrm>
        <a:prstGeom prst="rect">
          <a:avLst/>
        </a:prstGeom>
        <a:solidFill>
          <a:srgbClr val="72AF2F"/>
        </a:solidFill>
        <a:ln>
          <a:noFill/>
        </a:ln>
        <a:scene3d>
          <a:camera prst="orthographicFront"/>
          <a:lightRig rig="threePt" dir="t"/>
        </a:scene3d>
        <a:sp3d>
          <a:bevelT w="12700"/>
          <a:bevelB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North America FC</a:t>
          </a:r>
          <a:endParaRPr lang="en-US" sz="1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57</xdr:col>
      <xdr:colOff>469865</xdr:colOff>
      <xdr:row>29</xdr:row>
      <xdr:rowOff>125032</xdr:rowOff>
    </xdr:from>
    <xdr:to>
      <xdr:col>61</xdr:col>
      <xdr:colOff>0</xdr:colOff>
      <xdr:row>31</xdr:row>
      <xdr:rowOff>119573</xdr:rowOff>
    </xdr:to>
    <xdr:sp macro="" textlink="">
      <xdr:nvSpPr>
        <xdr:cNvPr id="10" name="Rectangle 9">
          <a:hlinkClick xmlns:r="http://schemas.openxmlformats.org/officeDocument/2006/relationships" r:id="rId8" tooltip="Americas Division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547315" y="4268407"/>
          <a:ext cx="1637322" cy="280291"/>
        </a:xfrm>
        <a:prstGeom prst="rect">
          <a:avLst/>
        </a:prstGeom>
        <a:solidFill>
          <a:srgbClr val="72AF2F"/>
        </a:solidFill>
        <a:ln>
          <a:noFill/>
        </a:ln>
        <a:scene3d>
          <a:camera prst="orthographicFront"/>
          <a:lightRig rig="threePt" dir="t"/>
        </a:scene3d>
        <a:sp3d>
          <a:bevelT w="12700"/>
          <a:bevelB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Arial" panose="020B0604020202020204" pitchFamily="34" charset="0"/>
              <a:cs typeface="Arial" panose="020B0604020202020204" pitchFamily="34" charset="0"/>
            </a:rPr>
            <a:t>International FC</a:t>
          </a:r>
        </a:p>
      </xdr:txBody>
    </xdr:sp>
    <xdr:clientData/>
  </xdr:twoCellAnchor>
  <xdr:twoCellAnchor>
    <xdr:from>
      <xdr:col>57</xdr:col>
      <xdr:colOff>469865</xdr:colOff>
      <xdr:row>32</xdr:row>
      <xdr:rowOff>37575</xdr:rowOff>
    </xdr:from>
    <xdr:to>
      <xdr:col>61</xdr:col>
      <xdr:colOff>0</xdr:colOff>
      <xdr:row>34</xdr:row>
      <xdr:rowOff>25563</xdr:rowOff>
    </xdr:to>
    <xdr:sp macro="" textlink="">
      <xdr:nvSpPr>
        <xdr:cNvPr id="11" name="Rectangle 10">
          <a:hlinkClick xmlns:r="http://schemas.openxmlformats.org/officeDocument/2006/relationships" r:id="rId9" tooltip="Valuation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547315" y="4609575"/>
          <a:ext cx="1637322" cy="27373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2700"/>
          <a:bevelB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190500</xdr:colOff>
      <xdr:row>2</xdr:row>
      <xdr:rowOff>0</xdr:rowOff>
    </xdr:to>
    <xdr:sp macro="" textlink="">
      <xdr:nvSpPr>
        <xdr:cNvPr id="2" name="AutoShape 1">
          <a:hlinkClick xmlns:r="http://schemas.openxmlformats.org/officeDocument/2006/relationships" r:id="rId1" tooltip="Financial Summary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352425" cy="285750"/>
        </a:xfrm>
        <a:prstGeom prst="actionButtonHome">
          <a:avLst/>
        </a:prstGeom>
        <a:solidFill>
          <a:srgbClr val="7F7F7F"/>
        </a:solidFill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1611630</xdr:colOff>
      <xdr:row>0</xdr:row>
      <xdr:rowOff>0</xdr:rowOff>
    </xdr:from>
    <xdr:to>
      <xdr:col>1</xdr:col>
      <xdr:colOff>2202180</xdr:colOff>
      <xdr:row>2</xdr:row>
      <xdr:rowOff>127209</xdr:rowOff>
    </xdr:to>
    <xdr:sp macro="" textlink="">
      <xdr:nvSpPr>
        <xdr:cNvPr id="2" name="Rounded Rectangl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71650" y="0"/>
          <a:ext cx="590550" cy="470109"/>
        </a:xfrm>
        <a:prstGeom prst="roundRect">
          <a:avLst>
            <a:gd name="adj" fmla="val 0"/>
          </a:avLst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 contourW="12700" prstMaterial="matte">
          <a:bevelT w="19050"/>
          <a:bevelB w="12700"/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Cash bal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tiht/CleanUp/To%20be%20done/Publish/MS_JHX_Current%20New_ju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Financial Summary"/>
      <sheetName val="Valuation"/>
      <sheetName val="Results table QoQ"/>
      <sheetName val="MW-Cache"/>
      <sheetName val="Market Drivers"/>
      <sheetName val="BS,CF and P&amp;L"/>
      <sheetName val="Forecast Changes"/>
      <sheetName val="North America FC"/>
      <sheetName val="APAC FC"/>
      <sheetName val="EU BP"/>
      <sheetName val="EU BP (OLD)"/>
      <sheetName val="North America FC (OLD)"/>
      <sheetName val="Assumption Forecasts"/>
      <sheetName val="International FC"/>
      <sheetName val="Forecast Drivers tab"/>
      <sheetName val="Sheet1"/>
      <sheetName val="Result Table"/>
      <sheetName val="Asbestos 2022"/>
      <sheetName val="Asbestos 2021"/>
      <sheetName val="Charts - New"/>
      <sheetName val="Asbestos 2020"/>
      <sheetName val="Asbestos 2019"/>
      <sheetName val="Asbestos 2018"/>
      <sheetName val="Asbestos 2017"/>
      <sheetName val="Asbestos 2016"/>
      <sheetName val="Asbestos 2015"/>
      <sheetName val="Asbestos 2014"/>
      <sheetName val="Asbestos 2013"/>
      <sheetName val="Asbestos 2012"/>
      <sheetName val="Asbestos 2011"/>
      <sheetName val="MS vs Cons."/>
      <sheetName val="COGS"/>
      <sheetName val="Fx Forecast"/>
      <sheetName val="Result Finder"/>
      <sheetName val="Upside Scenario"/>
      <sheetName val="Datastream refresh"/>
      <sheetName val="Bull case"/>
      <sheetName val="Downside Scenario"/>
      <sheetName val="Charts for reports"/>
      <sheetName val="Charts"/>
      <sheetName val="EBIT Bridge"/>
      <sheetName val="MW GEG"/>
      <sheetName val="Asbestos 2019 Summary"/>
      <sheetName val="Asbestos 2010"/>
      <sheetName val="AMP sensitivities"/>
      <sheetName val="IFM"/>
      <sheetName val="mwareDates"/>
      <sheetName val="mwareSettings"/>
      <sheetName val="Result tables"/>
      <sheetName val="_Log"/>
      <sheetName val="MS_JHX_Current New_jules"/>
    </sheetNames>
    <sheetDataSet>
      <sheetData sheetId="0"/>
      <sheetData sheetId="1">
        <row r="6">
          <cell r="AA6">
            <v>28.81</v>
          </cell>
        </row>
      </sheetData>
      <sheetData sheetId="2">
        <row r="6">
          <cell r="D6">
            <v>50.907744292614673</v>
          </cell>
        </row>
      </sheetData>
      <sheetData sheetId="3"/>
      <sheetData sheetId="4"/>
      <sheetData sheetId="5">
        <row r="3">
          <cell r="CB3" t="str">
            <v>FY16A</v>
          </cell>
        </row>
      </sheetData>
      <sheetData sheetId="6">
        <row r="1">
          <cell r="C1" t="str">
            <v>&lt;-- Run cash balancer</v>
          </cell>
        </row>
      </sheetData>
      <sheetData sheetId="7"/>
      <sheetData sheetId="8">
        <row r="3">
          <cell r="CX3" t="str">
            <v>1Q20A</v>
          </cell>
        </row>
      </sheetData>
      <sheetData sheetId="9">
        <row r="3">
          <cell r="A3" t="str">
            <v>Year Ending March 31</v>
          </cell>
        </row>
      </sheetData>
      <sheetData sheetId="10">
        <row r="3">
          <cell r="A3" t="str">
            <v>Year Ending March 31</v>
          </cell>
        </row>
      </sheetData>
      <sheetData sheetId="11">
        <row r="3">
          <cell r="CJ3" t="str">
            <v>1Q18A</v>
          </cell>
        </row>
      </sheetData>
      <sheetData sheetId="12">
        <row r="3">
          <cell r="A3" t="str">
            <v>Year Ending March 31</v>
          </cell>
        </row>
      </sheetData>
      <sheetData sheetId="13"/>
      <sheetData sheetId="14">
        <row r="3">
          <cell r="A3" t="str">
            <v>Year Ending March 31</v>
          </cell>
        </row>
      </sheetData>
      <sheetData sheetId="15"/>
      <sheetData sheetId="16"/>
      <sheetData sheetId="17"/>
      <sheetData sheetId="18">
        <row r="13">
          <cell r="U13" t="str">
            <v>Mar'13 report</v>
          </cell>
        </row>
      </sheetData>
      <sheetData sheetId="19">
        <row r="9">
          <cell r="B9">
            <v>804.96219810611706</v>
          </cell>
        </row>
      </sheetData>
      <sheetData sheetId="20">
        <row r="3">
          <cell r="D3" t="str">
            <v>2Q12A</v>
          </cell>
        </row>
      </sheetData>
      <sheetData sheetId="21">
        <row r="9">
          <cell r="B9">
            <v>862.03808786578963</v>
          </cell>
        </row>
      </sheetData>
      <sheetData sheetId="22">
        <row r="10">
          <cell r="B10">
            <v>1.82</v>
          </cell>
        </row>
      </sheetData>
      <sheetData sheetId="23">
        <row r="10">
          <cell r="B10">
            <v>1.89</v>
          </cell>
        </row>
      </sheetData>
      <sheetData sheetId="24">
        <row r="10">
          <cell r="B10">
            <v>1.9</v>
          </cell>
        </row>
      </sheetData>
      <sheetData sheetId="25">
        <row r="10">
          <cell r="B10">
            <v>2.02</v>
          </cell>
        </row>
      </sheetData>
      <sheetData sheetId="26">
        <row r="10">
          <cell r="B10">
            <v>2.2200000000000002</v>
          </cell>
        </row>
      </sheetData>
      <sheetData sheetId="27">
        <row r="10">
          <cell r="B10">
            <v>2.1702411002708302</v>
          </cell>
        </row>
      </sheetData>
      <sheetData sheetId="28">
        <row r="14">
          <cell r="AH14" t="str">
            <v>Mar'10 report</v>
          </cell>
        </row>
      </sheetData>
      <sheetData sheetId="29">
        <row r="11">
          <cell r="AH11" t="str">
            <v>Mar'10 report</v>
          </cell>
        </row>
      </sheetData>
      <sheetData sheetId="30">
        <row r="11">
          <cell r="AF11" t="str">
            <v>Mar'09 report</v>
          </cell>
        </row>
      </sheetData>
      <sheetData sheetId="31"/>
      <sheetData sheetId="32"/>
      <sheetData sheetId="33"/>
      <sheetData sheetId="34"/>
      <sheetData sheetId="35"/>
      <sheetData sheetId="36">
        <row r="2">
          <cell r="J2" t="str">
            <v>AUDUSD</v>
          </cell>
        </row>
      </sheetData>
      <sheetData sheetId="37">
        <row r="79">
          <cell r="C79">
            <v>54</v>
          </cell>
        </row>
      </sheetData>
      <sheetData sheetId="38">
        <row r="92">
          <cell r="E92">
            <v>7</v>
          </cell>
        </row>
      </sheetData>
      <sheetData sheetId="39">
        <row r="38">
          <cell r="C38" t="str">
            <v>1Q13A</v>
          </cell>
        </row>
      </sheetData>
      <sheetData sheetId="40">
        <row r="1">
          <cell r="D1" t="str">
            <v>3Q12A</v>
          </cell>
        </row>
      </sheetData>
      <sheetData sheetId="41">
        <row r="5">
          <cell r="C5" t="str">
            <v>FY19</v>
          </cell>
        </row>
      </sheetData>
      <sheetData sheetId="42">
        <row r="10">
          <cell r="D10">
            <v>1</v>
          </cell>
        </row>
        <row r="12">
          <cell r="H12">
            <v>0</v>
          </cell>
        </row>
        <row r="14">
          <cell r="J14">
            <v>5.4699999999999999E-2</v>
          </cell>
        </row>
        <row r="15">
          <cell r="J15">
            <v>0</v>
          </cell>
        </row>
        <row r="16">
          <cell r="J16">
            <v>0</v>
          </cell>
        </row>
        <row r="17">
          <cell r="J17">
            <v>0</v>
          </cell>
        </row>
        <row r="18">
          <cell r="J18">
            <v>7.5499999999999998E-2</v>
          </cell>
        </row>
        <row r="20">
          <cell r="J20">
            <v>0</v>
          </cell>
        </row>
        <row r="21">
          <cell r="J21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J25">
            <v>0</v>
          </cell>
        </row>
        <row r="26">
          <cell r="J26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0.19500000000000001</v>
          </cell>
        </row>
        <row r="32">
          <cell r="J32">
            <v>0</v>
          </cell>
        </row>
        <row r="33">
          <cell r="J33">
            <v>0</v>
          </cell>
        </row>
        <row r="34">
          <cell r="J34">
            <v>0</v>
          </cell>
        </row>
        <row r="35">
          <cell r="J35">
            <v>0.1573</v>
          </cell>
        </row>
        <row r="36">
          <cell r="J36">
            <v>3.7699999999999997E-2</v>
          </cell>
        </row>
        <row r="39">
          <cell r="J39" t="str">
            <v>NA</v>
          </cell>
        </row>
        <row r="40">
          <cell r="J40" t="str">
            <v>NA</v>
          </cell>
        </row>
        <row r="42">
          <cell r="J42">
            <v>0</v>
          </cell>
        </row>
        <row r="43">
          <cell r="J43">
            <v>0</v>
          </cell>
        </row>
        <row r="44">
          <cell r="J44">
            <v>0</v>
          </cell>
        </row>
        <row r="45">
          <cell r="J45">
            <v>0</v>
          </cell>
        </row>
        <row r="46">
          <cell r="J46">
            <v>0</v>
          </cell>
        </row>
        <row r="48">
          <cell r="D48">
            <v>0</v>
          </cell>
        </row>
        <row r="49">
          <cell r="D49">
            <v>0</v>
          </cell>
        </row>
        <row r="50">
          <cell r="D50">
            <v>0</v>
          </cell>
        </row>
        <row r="51">
          <cell r="D51">
            <v>0</v>
          </cell>
        </row>
        <row r="54">
          <cell r="F54">
            <v>0.12570000000000001</v>
          </cell>
        </row>
        <row r="55">
          <cell r="F55">
            <v>0.87429999999999997</v>
          </cell>
        </row>
        <row r="58">
          <cell r="F58">
            <v>0.5</v>
          </cell>
        </row>
        <row r="59">
          <cell r="F59">
            <v>0.5</v>
          </cell>
        </row>
        <row r="60">
          <cell r="F60">
            <v>0</v>
          </cell>
        </row>
        <row r="63">
          <cell r="F63">
            <v>0</v>
          </cell>
        </row>
        <row r="64">
          <cell r="F64">
            <v>0</v>
          </cell>
        </row>
        <row r="65">
          <cell r="F65">
            <v>0</v>
          </cell>
        </row>
        <row r="66">
          <cell r="F66">
            <v>0</v>
          </cell>
        </row>
        <row r="67">
          <cell r="F67">
            <v>0</v>
          </cell>
        </row>
        <row r="70">
          <cell r="F70" t="str">
            <v>NA</v>
          </cell>
        </row>
        <row r="71">
          <cell r="F71" t="str">
            <v>NA</v>
          </cell>
        </row>
        <row r="72">
          <cell r="F72" t="str">
            <v>NA</v>
          </cell>
        </row>
        <row r="73">
          <cell r="F73" t="str">
            <v>NA</v>
          </cell>
        </row>
        <row r="74">
          <cell r="F74" t="str">
            <v>NA</v>
          </cell>
        </row>
        <row r="76">
          <cell r="F76" t="str">
            <v>NA</v>
          </cell>
        </row>
        <row r="77">
          <cell r="F77" t="str">
            <v>NA</v>
          </cell>
        </row>
      </sheetData>
      <sheetData sheetId="43"/>
      <sheetData sheetId="44">
        <row r="6">
          <cell r="D6">
            <v>747.61585601523404</v>
          </cell>
        </row>
      </sheetData>
      <sheetData sheetId="45"/>
      <sheetData sheetId="46"/>
      <sheetData sheetId="47"/>
      <sheetData sheetId="48"/>
      <sheetData sheetId="49"/>
      <sheetData sheetId="50"/>
      <sheetData sheetId="5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ick, Julianna C (Research)" id="{27EB322B-E63D-4071-AA4B-61BA317DCC38}" userId="S::Julianna.Sick@morganstanley.com::34e60967-76c6-40b7-a838-cb09369d7fdc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C72" dT="2024-02-13T00:18:22.36" personId="{27EB322B-E63D-4071-AA4B-61BA317DCC38}" id="{13514C22-3F2C-4BBF-ADD3-872F21D2B566}">
    <text>179.9</text>
  </threadedComment>
  <threadedComment ref="EN72" dT="2025-08-20T04:03:44.93" personId="{27EB322B-E63D-4071-AA4B-61BA317DCC38}" id="{E3AC42FE-BC16-4BBA-B93B-043D0BE3E525}">
    <text>126.9</text>
  </threadedComment>
  <threadedComment ref="EA77" dT="2023-11-08T00:28:24.21" personId="{27EB322B-E63D-4071-AA4B-61BA317DCC38}" id="{94454CE7-F34B-41B8-9ACE-8373C705D3B5}">
    <text>Includes 20.1m asset impairment</text>
  </threadedComment>
  <threadedComment ref="ED96" dT="2024-02-13T00:53:23.96" personId="{27EB322B-E63D-4071-AA4B-61BA317DCC38}" id="{61F6F3FB-7699-451A-9CB4-A310CEB38940}">
    <text>+120bps increase in tax rate. US$3m drag on NPAT</text>
  </threadedComment>
  <threadedComment ref="EF96" dT="2023-11-08T00:59:08.06" personId="{27EB322B-E63D-4071-AA4B-61BA317DCC38}" id="{DD832A57-275A-4F46-B382-DA3DC7007BD1}">
    <text>Guidance FY24 tax rate 23.4%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57060-707F-46F0-B65B-A9C80C1FE6A5}">
  <dimension ref="A1:H430"/>
  <sheetViews>
    <sheetView showGridLines="0" workbookViewId="0">
      <selection activeCell="Z1" sqref="Z1"/>
    </sheetView>
  </sheetViews>
  <sheetFormatPr defaultRowHeight="14.4" x14ac:dyDescent="0.3"/>
  <sheetData>
    <row r="1" spans="1:8" ht="23.3" customHeight="1" x14ac:dyDescent="0.3">
      <c r="A1" s="739"/>
      <c r="B1" s="740"/>
      <c r="C1" s="740"/>
      <c r="D1" s="740"/>
      <c r="E1" s="740"/>
      <c r="F1" s="740"/>
      <c r="G1" s="740"/>
      <c r="H1" s="740"/>
    </row>
    <row r="2" spans="1:8" x14ac:dyDescent="0.3">
      <c r="A2" s="737" t="s">
        <v>690</v>
      </c>
      <c r="B2" s="740"/>
      <c r="C2" s="740"/>
      <c r="D2" s="740"/>
      <c r="E2" s="740"/>
      <c r="F2" s="740"/>
      <c r="G2" s="740"/>
      <c r="H2" s="740"/>
    </row>
    <row r="3" spans="1:8" x14ac:dyDescent="0.3">
      <c r="A3" s="737" t="s">
        <v>691</v>
      </c>
      <c r="B3" s="740"/>
      <c r="C3" s="740"/>
      <c r="D3" s="740"/>
      <c r="E3" s="740"/>
      <c r="F3" s="740"/>
      <c r="G3" s="740"/>
      <c r="H3" s="740"/>
    </row>
    <row r="4" spans="1:8" x14ac:dyDescent="0.3">
      <c r="A4" s="737" t="s">
        <v>692</v>
      </c>
      <c r="B4" s="740"/>
      <c r="C4" s="740"/>
      <c r="D4" s="740"/>
      <c r="E4" s="740"/>
      <c r="F4" s="740"/>
      <c r="G4" s="740"/>
      <c r="H4" s="740"/>
    </row>
    <row r="5" spans="1:8" x14ac:dyDescent="0.3">
      <c r="A5" s="737" t="s">
        <v>693</v>
      </c>
      <c r="B5" s="740"/>
      <c r="C5" s="740"/>
      <c r="D5" s="740"/>
      <c r="E5" s="740"/>
      <c r="F5" s="740"/>
      <c r="G5" s="740"/>
      <c r="H5" s="740"/>
    </row>
    <row r="6" spans="1:8" x14ac:dyDescent="0.3">
      <c r="A6" s="737"/>
      <c r="B6" s="740"/>
      <c r="C6" s="740"/>
      <c r="D6" s="740"/>
      <c r="E6" s="740"/>
      <c r="F6" s="740"/>
      <c r="G6" s="740"/>
      <c r="H6" s="740"/>
    </row>
    <row r="7" spans="1:8" x14ac:dyDescent="0.3">
      <c r="A7" s="737" t="s">
        <v>694</v>
      </c>
      <c r="B7" s="740"/>
      <c r="C7" s="740"/>
      <c r="D7" s="740"/>
      <c r="E7" s="740"/>
      <c r="F7" s="740"/>
      <c r="G7" s="740"/>
      <c r="H7" s="740"/>
    </row>
    <row r="8" spans="1:8" x14ac:dyDescent="0.3">
      <c r="A8" s="737" t="s">
        <v>695</v>
      </c>
      <c r="B8" s="740"/>
      <c r="C8" s="740"/>
      <c r="D8" s="740"/>
      <c r="E8" s="740"/>
      <c r="F8" s="740"/>
      <c r="G8" s="740"/>
      <c r="H8" s="740"/>
    </row>
    <row r="9" spans="1:8" x14ac:dyDescent="0.3">
      <c r="A9" s="737"/>
      <c r="B9" s="740"/>
      <c r="C9" s="740"/>
      <c r="D9" s="740"/>
      <c r="E9" s="740"/>
      <c r="F9" s="740"/>
      <c r="G9" s="740"/>
      <c r="H9" s="740"/>
    </row>
    <row r="10" spans="1:8" x14ac:dyDescent="0.3">
      <c r="A10" s="737" t="s">
        <v>696</v>
      </c>
      <c r="B10" s="740"/>
      <c r="C10" s="740"/>
      <c r="D10" s="740"/>
      <c r="E10" s="740"/>
      <c r="F10" s="740"/>
      <c r="G10" s="740"/>
      <c r="H10" s="740"/>
    </row>
    <row r="11" spans="1:8" x14ac:dyDescent="0.3">
      <c r="A11" s="737" t="s">
        <v>697</v>
      </c>
      <c r="B11" s="740"/>
      <c r="C11" s="740"/>
      <c r="D11" s="740"/>
      <c r="E11" s="740"/>
      <c r="F11" s="740"/>
      <c r="G11" s="740"/>
      <c r="H11" s="740"/>
    </row>
    <row r="12" spans="1:8" x14ac:dyDescent="0.3">
      <c r="A12" s="737" t="s">
        <v>698</v>
      </c>
      <c r="B12" s="740"/>
      <c r="C12" s="740"/>
      <c r="D12" s="740"/>
      <c r="E12" s="740"/>
      <c r="F12" s="740"/>
      <c r="G12" s="740"/>
      <c r="H12" s="740"/>
    </row>
    <row r="13" spans="1:8" x14ac:dyDescent="0.3">
      <c r="A13" s="737" t="s">
        <v>699</v>
      </c>
      <c r="B13" s="740"/>
      <c r="C13" s="740"/>
      <c r="D13" s="740"/>
      <c r="E13" s="740"/>
      <c r="F13" s="740"/>
      <c r="G13" s="740"/>
      <c r="H13" s="740"/>
    </row>
    <row r="14" spans="1:8" x14ac:dyDescent="0.3">
      <c r="A14" s="737" t="s">
        <v>700</v>
      </c>
      <c r="B14" s="740"/>
      <c r="C14" s="740"/>
      <c r="D14" s="740"/>
      <c r="E14" s="740"/>
      <c r="F14" s="740"/>
      <c r="G14" s="740"/>
      <c r="H14" s="740"/>
    </row>
    <row r="15" spans="1:8" x14ac:dyDescent="0.3">
      <c r="A15" s="737" t="s">
        <v>701</v>
      </c>
      <c r="B15" s="740"/>
      <c r="C15" s="740"/>
      <c r="D15" s="740"/>
      <c r="E15" s="740"/>
      <c r="F15" s="740"/>
      <c r="G15" s="740"/>
      <c r="H15" s="740"/>
    </row>
    <row r="16" spans="1:8" x14ac:dyDescent="0.3">
      <c r="A16" s="737"/>
      <c r="B16" s="740"/>
      <c r="C16" s="740"/>
      <c r="D16" s="740"/>
      <c r="E16" s="740"/>
      <c r="F16" s="740"/>
      <c r="G16" s="740"/>
      <c r="H16" s="740"/>
    </row>
    <row r="17" spans="1:8" x14ac:dyDescent="0.3">
      <c r="A17" s="737" t="s">
        <v>702</v>
      </c>
      <c r="B17" s="740"/>
      <c r="C17" s="740"/>
      <c r="D17" s="740"/>
      <c r="E17" s="740"/>
      <c r="F17" s="740"/>
      <c r="G17" s="740"/>
      <c r="H17" s="740"/>
    </row>
    <row r="18" spans="1:8" x14ac:dyDescent="0.3">
      <c r="A18" s="737"/>
      <c r="B18" s="740"/>
      <c r="C18" s="740"/>
      <c r="D18" s="740"/>
      <c r="E18" s="740"/>
      <c r="F18" s="740"/>
      <c r="G18" s="740"/>
      <c r="H18" s="740"/>
    </row>
    <row r="19" spans="1:8" x14ac:dyDescent="0.3">
      <c r="A19" s="737" t="s">
        <v>703</v>
      </c>
      <c r="B19" s="740"/>
      <c r="C19" s="740"/>
      <c r="D19" s="740"/>
      <c r="E19" s="740"/>
      <c r="F19" s="740"/>
      <c r="G19" s="740"/>
      <c r="H19" s="740"/>
    </row>
    <row r="20" spans="1:8" x14ac:dyDescent="0.3">
      <c r="A20" s="737"/>
      <c r="B20" s="740"/>
      <c r="C20" s="740"/>
      <c r="D20" s="740"/>
      <c r="E20" s="740"/>
      <c r="F20" s="740"/>
      <c r="G20" s="740"/>
      <c r="H20" s="740"/>
    </row>
    <row r="21" spans="1:8" x14ac:dyDescent="0.3">
      <c r="A21" s="738" t="s">
        <v>704</v>
      </c>
      <c r="B21" s="740"/>
      <c r="C21" s="740"/>
      <c r="D21" s="740"/>
      <c r="E21" s="740"/>
      <c r="F21" s="740"/>
      <c r="G21" s="740"/>
      <c r="H21" s="740"/>
    </row>
    <row r="22" spans="1:8" x14ac:dyDescent="0.3">
      <c r="A22" s="740"/>
      <c r="B22" s="740"/>
      <c r="C22" s="740"/>
      <c r="D22" s="740"/>
      <c r="E22" s="740"/>
      <c r="F22" s="740"/>
      <c r="G22" s="740"/>
      <c r="H22" s="740"/>
    </row>
    <row r="23" spans="1:8" x14ac:dyDescent="0.3">
      <c r="A23" s="741" t="s">
        <v>705</v>
      </c>
      <c r="B23" s="740"/>
      <c r="C23" s="740"/>
      <c r="D23" s="740"/>
      <c r="E23" s="740"/>
      <c r="F23" s="740"/>
      <c r="G23" s="740"/>
      <c r="H23" s="740"/>
    </row>
    <row r="24" spans="1:8" x14ac:dyDescent="0.3">
      <c r="A24" s="741" t="s">
        <v>706</v>
      </c>
      <c r="B24" s="740"/>
      <c r="C24" s="740"/>
      <c r="D24" s="740"/>
      <c r="E24" s="740"/>
      <c r="F24" s="740"/>
      <c r="G24" s="740"/>
      <c r="H24" s="740"/>
    </row>
    <row r="25" spans="1:8" x14ac:dyDescent="0.3">
      <c r="A25" s="741" t="s">
        <v>707</v>
      </c>
      <c r="B25" s="740"/>
      <c r="C25" s="740"/>
      <c r="D25" s="740"/>
      <c r="E25" s="740"/>
      <c r="F25" s="740"/>
      <c r="G25" s="740"/>
      <c r="H25" s="740"/>
    </row>
    <row r="26" spans="1:8" x14ac:dyDescent="0.3">
      <c r="A26" s="741" t="s">
        <v>708</v>
      </c>
      <c r="B26" s="740"/>
      <c r="C26" s="740"/>
      <c r="D26" s="740"/>
      <c r="E26" s="740"/>
      <c r="F26" s="740"/>
      <c r="G26" s="740"/>
      <c r="H26" s="740"/>
    </row>
    <row r="27" spans="1:8" x14ac:dyDescent="0.3">
      <c r="A27" s="740"/>
      <c r="B27" s="740"/>
      <c r="C27" s="740"/>
      <c r="D27" s="740"/>
      <c r="E27" s="740"/>
      <c r="F27" s="740"/>
      <c r="G27" s="740"/>
      <c r="H27" s="740"/>
    </row>
    <row r="28" spans="1:8" x14ac:dyDescent="0.3">
      <c r="A28" s="741" t="s">
        <v>709</v>
      </c>
      <c r="B28" s="740"/>
      <c r="C28" s="740"/>
      <c r="D28" s="740"/>
      <c r="E28" s="740"/>
      <c r="F28" s="740"/>
      <c r="G28" s="740"/>
      <c r="H28" s="740"/>
    </row>
    <row r="29" spans="1:8" x14ac:dyDescent="0.3">
      <c r="A29" s="741" t="s">
        <v>710</v>
      </c>
      <c r="B29" s="740"/>
      <c r="C29" s="740"/>
      <c r="D29" s="740"/>
      <c r="E29" s="740"/>
      <c r="F29" s="740"/>
      <c r="G29" s="740"/>
      <c r="H29" s="740"/>
    </row>
    <row r="30" spans="1:8" x14ac:dyDescent="0.3">
      <c r="A30" s="741" t="s">
        <v>711</v>
      </c>
      <c r="B30" s="740"/>
      <c r="C30" s="740"/>
      <c r="D30" s="740"/>
      <c r="E30" s="740"/>
      <c r="F30" s="740"/>
      <c r="G30" s="740"/>
      <c r="H30" s="740"/>
    </row>
    <row r="31" spans="1:8" x14ac:dyDescent="0.3">
      <c r="A31" s="741" t="s">
        <v>712</v>
      </c>
      <c r="B31" s="740"/>
      <c r="C31" s="740"/>
      <c r="D31" s="740"/>
      <c r="E31" s="740"/>
      <c r="F31" s="740"/>
      <c r="G31" s="740"/>
      <c r="H31" s="740"/>
    </row>
    <row r="32" spans="1:8" x14ac:dyDescent="0.3">
      <c r="A32" s="741" t="s">
        <v>713</v>
      </c>
      <c r="B32" s="740"/>
      <c r="C32" s="740"/>
      <c r="D32" s="740"/>
      <c r="E32" s="740"/>
      <c r="F32" s="740"/>
      <c r="G32" s="740"/>
      <c r="H32" s="740"/>
    </row>
    <row r="33" spans="1:8" x14ac:dyDescent="0.3">
      <c r="A33" s="741" t="s">
        <v>714</v>
      </c>
      <c r="B33" s="740"/>
      <c r="C33" s="740"/>
      <c r="D33" s="740"/>
      <c r="E33" s="740"/>
      <c r="F33" s="740"/>
      <c r="G33" s="740"/>
      <c r="H33" s="740"/>
    </row>
    <row r="34" spans="1:8" x14ac:dyDescent="0.3">
      <c r="A34" s="741" t="s">
        <v>715</v>
      </c>
      <c r="B34" s="740"/>
      <c r="C34" s="740"/>
      <c r="D34" s="740"/>
      <c r="E34" s="740"/>
      <c r="F34" s="740"/>
      <c r="G34" s="740"/>
      <c r="H34" s="740"/>
    </row>
    <row r="35" spans="1:8" x14ac:dyDescent="0.3">
      <c r="A35" s="741" t="s">
        <v>716</v>
      </c>
      <c r="B35" s="740"/>
      <c r="C35" s="740"/>
      <c r="D35" s="740"/>
      <c r="E35" s="740"/>
      <c r="F35" s="740"/>
      <c r="G35" s="740"/>
      <c r="H35" s="740"/>
    </row>
    <row r="36" spans="1:8" x14ac:dyDescent="0.3">
      <c r="A36" s="741" t="s">
        <v>717</v>
      </c>
      <c r="B36" s="740"/>
      <c r="C36" s="740"/>
      <c r="D36" s="740"/>
      <c r="E36" s="740"/>
      <c r="F36" s="740"/>
      <c r="G36" s="740"/>
      <c r="H36" s="740"/>
    </row>
    <row r="37" spans="1:8" x14ac:dyDescent="0.3">
      <c r="A37" s="741" t="s">
        <v>718</v>
      </c>
      <c r="B37" s="740"/>
      <c r="C37" s="740"/>
      <c r="D37" s="740"/>
      <c r="E37" s="740"/>
      <c r="F37" s="740"/>
      <c r="G37" s="740"/>
      <c r="H37" s="740"/>
    </row>
    <row r="38" spans="1:8" x14ac:dyDescent="0.3">
      <c r="A38" s="741" t="s">
        <v>719</v>
      </c>
      <c r="B38" s="740"/>
      <c r="C38" s="740"/>
      <c r="D38" s="740"/>
      <c r="E38" s="740"/>
      <c r="F38" s="740"/>
      <c r="G38" s="740"/>
      <c r="H38" s="740"/>
    </row>
    <row r="39" spans="1:8" x14ac:dyDescent="0.3">
      <c r="A39" s="741" t="s">
        <v>720</v>
      </c>
      <c r="B39" s="740"/>
      <c r="C39" s="740"/>
      <c r="D39" s="740"/>
      <c r="E39" s="740"/>
      <c r="F39" s="740"/>
      <c r="G39" s="740"/>
      <c r="H39" s="740"/>
    </row>
    <row r="40" spans="1:8" x14ac:dyDescent="0.3">
      <c r="A40" s="741" t="s">
        <v>721</v>
      </c>
      <c r="B40" s="740"/>
      <c r="C40" s="740"/>
      <c r="D40" s="740"/>
      <c r="E40" s="740"/>
      <c r="F40" s="740"/>
      <c r="G40" s="740"/>
      <c r="H40" s="740"/>
    </row>
    <row r="41" spans="1:8" x14ac:dyDescent="0.3">
      <c r="A41" s="741" t="s">
        <v>722</v>
      </c>
      <c r="B41" s="740"/>
      <c r="C41" s="740"/>
      <c r="D41" s="740"/>
      <c r="E41" s="740"/>
      <c r="F41" s="740"/>
      <c r="G41" s="740"/>
      <c r="H41" s="740"/>
    </row>
    <row r="42" spans="1:8" x14ac:dyDescent="0.3">
      <c r="A42" s="741" t="s">
        <v>723</v>
      </c>
      <c r="B42" s="740"/>
      <c r="C42" s="740"/>
      <c r="D42" s="740"/>
      <c r="E42" s="740"/>
      <c r="F42" s="740"/>
      <c r="G42" s="740"/>
      <c r="H42" s="740"/>
    </row>
    <row r="43" spans="1:8" x14ac:dyDescent="0.3">
      <c r="A43" s="741" t="s">
        <v>724</v>
      </c>
      <c r="B43" s="740"/>
      <c r="C43" s="740"/>
      <c r="D43" s="740"/>
      <c r="E43" s="740"/>
      <c r="F43" s="740"/>
      <c r="G43" s="740"/>
      <c r="H43" s="740"/>
    </row>
    <row r="44" spans="1:8" x14ac:dyDescent="0.3">
      <c r="A44" s="741" t="s">
        <v>725</v>
      </c>
      <c r="B44" s="740"/>
      <c r="C44" s="740"/>
      <c r="D44" s="740"/>
      <c r="E44" s="740"/>
      <c r="F44" s="740"/>
      <c r="G44" s="740"/>
      <c r="H44" s="740"/>
    </row>
    <row r="45" spans="1:8" x14ac:dyDescent="0.3">
      <c r="A45" s="741" t="s">
        <v>726</v>
      </c>
      <c r="B45" s="740"/>
      <c r="C45" s="740"/>
      <c r="D45" s="740"/>
      <c r="E45" s="740"/>
      <c r="F45" s="740"/>
      <c r="G45" s="740"/>
      <c r="H45" s="740"/>
    </row>
    <row r="46" spans="1:8" x14ac:dyDescent="0.3">
      <c r="A46" s="741" t="s">
        <v>727</v>
      </c>
      <c r="B46" s="740"/>
      <c r="C46" s="740"/>
      <c r="D46" s="740"/>
      <c r="E46" s="740"/>
      <c r="F46" s="740"/>
      <c r="G46" s="740"/>
      <c r="H46" s="740"/>
    </row>
    <row r="47" spans="1:8" x14ac:dyDescent="0.3">
      <c r="A47" s="741" t="s">
        <v>728</v>
      </c>
      <c r="B47" s="740"/>
      <c r="C47" s="740"/>
      <c r="D47" s="740"/>
      <c r="E47" s="740"/>
      <c r="F47" s="740"/>
      <c r="G47" s="740"/>
      <c r="H47" s="740"/>
    </row>
    <row r="48" spans="1:8" x14ac:dyDescent="0.3">
      <c r="A48" s="741" t="s">
        <v>729</v>
      </c>
      <c r="B48" s="740"/>
      <c r="C48" s="740"/>
      <c r="D48" s="740"/>
      <c r="E48" s="740"/>
      <c r="F48" s="740"/>
      <c r="G48" s="740"/>
      <c r="H48" s="740"/>
    </row>
    <row r="49" spans="1:8" x14ac:dyDescent="0.3">
      <c r="A49" s="741" t="s">
        <v>730</v>
      </c>
      <c r="B49" s="740"/>
      <c r="C49" s="740"/>
      <c r="D49" s="740"/>
      <c r="E49" s="740"/>
      <c r="F49" s="740"/>
      <c r="G49" s="740"/>
      <c r="H49" s="740"/>
    </row>
    <row r="50" spans="1:8" x14ac:dyDescent="0.3">
      <c r="A50" s="741" t="s">
        <v>731</v>
      </c>
      <c r="B50" s="740"/>
      <c r="C50" s="740"/>
      <c r="D50" s="740"/>
      <c r="E50" s="740"/>
      <c r="F50" s="740"/>
      <c r="G50" s="740"/>
      <c r="H50" s="740"/>
    </row>
    <row r="51" spans="1:8" x14ac:dyDescent="0.3">
      <c r="A51" s="740"/>
      <c r="B51" s="740"/>
      <c r="C51" s="740"/>
      <c r="D51" s="740"/>
      <c r="E51" s="740"/>
      <c r="F51" s="740"/>
      <c r="G51" s="740"/>
      <c r="H51" s="740"/>
    </row>
    <row r="52" spans="1:8" x14ac:dyDescent="0.3">
      <c r="A52" s="741" t="s">
        <v>732</v>
      </c>
      <c r="B52" s="740"/>
      <c r="C52" s="740"/>
      <c r="D52" s="740"/>
      <c r="E52" s="740"/>
      <c r="F52" s="740"/>
      <c r="G52" s="740"/>
      <c r="H52" s="740"/>
    </row>
    <row r="53" spans="1:8" x14ac:dyDescent="0.3">
      <c r="A53" s="741" t="s">
        <v>733</v>
      </c>
      <c r="B53" s="740"/>
      <c r="C53" s="740"/>
      <c r="D53" s="740"/>
      <c r="E53" s="740"/>
      <c r="F53" s="740"/>
      <c r="G53" s="740"/>
      <c r="H53" s="740"/>
    </row>
    <row r="54" spans="1:8" x14ac:dyDescent="0.3">
      <c r="A54" s="741" t="s">
        <v>734</v>
      </c>
      <c r="B54" s="740"/>
      <c r="C54" s="740"/>
      <c r="D54" s="740"/>
      <c r="E54" s="740"/>
      <c r="F54" s="740"/>
      <c r="G54" s="740"/>
      <c r="H54" s="740"/>
    </row>
    <row r="55" spans="1:8" x14ac:dyDescent="0.3">
      <c r="A55" s="741" t="s">
        <v>735</v>
      </c>
      <c r="B55" s="740"/>
      <c r="C55" s="740"/>
      <c r="D55" s="740"/>
      <c r="E55" s="740"/>
      <c r="F55" s="740"/>
      <c r="G55" s="740"/>
      <c r="H55" s="740"/>
    </row>
    <row r="56" spans="1:8" x14ac:dyDescent="0.3">
      <c r="A56" s="740"/>
      <c r="B56" s="740"/>
      <c r="C56" s="740"/>
      <c r="D56" s="740"/>
      <c r="E56" s="740"/>
      <c r="F56" s="740"/>
      <c r="G56" s="740"/>
      <c r="H56" s="740"/>
    </row>
    <row r="57" spans="1:8" x14ac:dyDescent="0.3">
      <c r="A57" s="741" t="s">
        <v>736</v>
      </c>
      <c r="B57" s="740"/>
      <c r="C57" s="740"/>
      <c r="D57" s="740"/>
      <c r="E57" s="740"/>
      <c r="F57" s="740"/>
      <c r="G57" s="740"/>
      <c r="H57" s="740"/>
    </row>
    <row r="58" spans="1:8" x14ac:dyDescent="0.3">
      <c r="A58" s="741" t="s">
        <v>737</v>
      </c>
      <c r="B58" s="740"/>
      <c r="C58" s="740"/>
      <c r="D58" s="740"/>
      <c r="E58" s="740"/>
      <c r="F58" s="740"/>
      <c r="G58" s="740"/>
      <c r="H58" s="740"/>
    </row>
    <row r="59" spans="1:8" x14ac:dyDescent="0.3">
      <c r="A59" s="741" t="s">
        <v>738</v>
      </c>
      <c r="B59" s="740"/>
      <c r="C59" s="740"/>
      <c r="D59" s="740"/>
      <c r="E59" s="740"/>
      <c r="F59" s="740"/>
      <c r="G59" s="740"/>
      <c r="H59" s="740"/>
    </row>
    <row r="60" spans="1:8" x14ac:dyDescent="0.3">
      <c r="A60" s="741" t="s">
        <v>739</v>
      </c>
      <c r="B60" s="740"/>
      <c r="C60" s="740"/>
      <c r="D60" s="740"/>
      <c r="E60" s="740"/>
      <c r="F60" s="740"/>
      <c r="G60" s="740"/>
      <c r="H60" s="740"/>
    </row>
    <row r="61" spans="1:8" x14ac:dyDescent="0.3">
      <c r="A61" s="741" t="s">
        <v>740</v>
      </c>
      <c r="B61" s="740"/>
      <c r="C61" s="740"/>
      <c r="D61" s="740"/>
      <c r="E61" s="740"/>
      <c r="F61" s="740"/>
      <c r="G61" s="740"/>
      <c r="H61" s="740"/>
    </row>
    <row r="62" spans="1:8" x14ac:dyDescent="0.3">
      <c r="A62" s="741" t="s">
        <v>741</v>
      </c>
      <c r="B62" s="740"/>
      <c r="C62" s="740"/>
      <c r="D62" s="740"/>
      <c r="E62" s="740"/>
      <c r="F62" s="740"/>
      <c r="G62" s="740"/>
      <c r="H62" s="740"/>
    </row>
    <row r="63" spans="1:8" x14ac:dyDescent="0.3">
      <c r="A63" s="740"/>
      <c r="B63" s="740"/>
      <c r="C63" s="740"/>
      <c r="D63" s="740"/>
      <c r="E63" s="740"/>
      <c r="F63" s="740"/>
      <c r="G63" s="740"/>
      <c r="H63" s="740"/>
    </row>
    <row r="64" spans="1:8" ht="15.55" x14ac:dyDescent="0.3">
      <c r="A64" s="742" t="s">
        <v>742</v>
      </c>
      <c r="B64" s="740"/>
      <c r="C64" s="740"/>
      <c r="D64" s="740"/>
      <c r="E64" s="740"/>
      <c r="F64" s="740"/>
      <c r="G64" s="740"/>
      <c r="H64" s="740"/>
    </row>
    <row r="65" spans="1:8" x14ac:dyDescent="0.3">
      <c r="A65" s="740"/>
      <c r="B65" s="740"/>
      <c r="C65" s="740"/>
      <c r="D65" s="740"/>
      <c r="E65" s="740"/>
      <c r="F65" s="740"/>
      <c r="G65" s="740"/>
      <c r="H65" s="740"/>
    </row>
    <row r="66" spans="1:8" x14ac:dyDescent="0.3">
      <c r="A66" s="741" t="s">
        <v>743</v>
      </c>
      <c r="B66" s="740"/>
      <c r="C66" s="740"/>
      <c r="D66" s="740"/>
      <c r="E66" s="740"/>
      <c r="F66" s="740"/>
      <c r="G66" s="740"/>
      <c r="H66" s="740"/>
    </row>
    <row r="67" spans="1:8" x14ac:dyDescent="0.3">
      <c r="A67" s="741" t="s">
        <v>744</v>
      </c>
      <c r="B67" s="740"/>
      <c r="C67" s="740"/>
      <c r="D67" s="740"/>
      <c r="E67" s="740"/>
      <c r="F67" s="740"/>
      <c r="G67" s="740"/>
      <c r="H67" s="740"/>
    </row>
    <row r="68" spans="1:8" x14ac:dyDescent="0.3">
      <c r="A68" s="741" t="s">
        <v>745</v>
      </c>
      <c r="B68" s="740"/>
      <c r="C68" s="740"/>
      <c r="D68" s="740"/>
      <c r="E68" s="740"/>
      <c r="F68" s="740"/>
      <c r="G68" s="740"/>
      <c r="H68" s="740"/>
    </row>
    <row r="69" spans="1:8" x14ac:dyDescent="0.3">
      <c r="A69" s="741" t="s">
        <v>746</v>
      </c>
      <c r="B69" s="740"/>
      <c r="C69" s="740"/>
      <c r="D69" s="740"/>
      <c r="E69" s="740"/>
      <c r="F69" s="740"/>
      <c r="G69" s="740"/>
      <c r="H69" s="740"/>
    </row>
    <row r="70" spans="1:8" x14ac:dyDescent="0.3">
      <c r="A70" s="740"/>
      <c r="B70" s="740"/>
      <c r="C70" s="740"/>
      <c r="D70" s="740"/>
      <c r="E70" s="740"/>
      <c r="F70" s="740"/>
      <c r="G70" s="740"/>
      <c r="H70" s="740"/>
    </row>
    <row r="71" spans="1:8" x14ac:dyDescent="0.3">
      <c r="A71" s="741" t="s">
        <v>636</v>
      </c>
      <c r="B71" s="740"/>
      <c r="C71" s="740"/>
      <c r="D71" s="740"/>
      <c r="E71" s="740"/>
      <c r="F71" s="740"/>
      <c r="G71" s="740"/>
      <c r="H71" s="740"/>
    </row>
    <row r="72" spans="1:8" x14ac:dyDescent="0.3">
      <c r="A72" s="740"/>
      <c r="B72" s="740"/>
      <c r="C72" s="740"/>
      <c r="D72" s="740"/>
      <c r="E72" s="740"/>
      <c r="F72" s="740"/>
      <c r="G72" s="740"/>
      <c r="H72" s="740"/>
    </row>
    <row r="73" spans="1:8" ht="15.55" x14ac:dyDescent="0.3">
      <c r="A73" s="742" t="s">
        <v>747</v>
      </c>
      <c r="B73" s="740"/>
      <c r="C73" s="740"/>
      <c r="D73" s="740"/>
      <c r="E73" s="740"/>
      <c r="F73" s="740"/>
      <c r="G73" s="740"/>
      <c r="H73" s="740"/>
    </row>
    <row r="74" spans="1:8" x14ac:dyDescent="0.3">
      <c r="A74" s="740"/>
      <c r="B74" s="740"/>
      <c r="C74" s="740"/>
      <c r="D74" s="740"/>
      <c r="E74" s="740"/>
      <c r="F74" s="740"/>
      <c r="G74" s="740"/>
      <c r="H74" s="740"/>
    </row>
    <row r="75" spans="1:8" x14ac:dyDescent="0.3">
      <c r="A75" s="741" t="s">
        <v>748</v>
      </c>
      <c r="B75" s="740"/>
      <c r="C75" s="740"/>
      <c r="D75" s="740"/>
      <c r="E75" s="740"/>
      <c r="F75" s="740"/>
      <c r="G75" s="740"/>
      <c r="H75" s="740"/>
    </row>
    <row r="76" spans="1:8" x14ac:dyDescent="0.3">
      <c r="A76" s="741" t="s">
        <v>749</v>
      </c>
      <c r="B76" s="740"/>
      <c r="C76" s="740"/>
      <c r="D76" s="740"/>
      <c r="E76" s="740"/>
      <c r="F76" s="740"/>
      <c r="G76" s="740"/>
      <c r="H76" s="740"/>
    </row>
    <row r="77" spans="1:8" x14ac:dyDescent="0.3">
      <c r="A77" s="741" t="s">
        <v>750</v>
      </c>
      <c r="B77" s="740"/>
      <c r="C77" s="740"/>
      <c r="D77" s="740"/>
      <c r="E77" s="740"/>
      <c r="F77" s="740"/>
      <c r="G77" s="740"/>
      <c r="H77" s="740"/>
    </row>
    <row r="78" spans="1:8" x14ac:dyDescent="0.3">
      <c r="A78" s="740"/>
      <c r="B78" s="740"/>
      <c r="C78" s="740"/>
      <c r="D78" s="740"/>
      <c r="E78" s="740"/>
      <c r="F78" s="740"/>
      <c r="G78" s="740"/>
      <c r="H78" s="740"/>
    </row>
    <row r="79" spans="1:8" ht="15.55" x14ac:dyDescent="0.3">
      <c r="A79" s="742" t="s">
        <v>751</v>
      </c>
      <c r="B79" s="740"/>
      <c r="C79" s="740"/>
      <c r="D79" s="740"/>
      <c r="E79" s="740"/>
      <c r="F79" s="740"/>
      <c r="G79" s="740"/>
      <c r="H79" s="740"/>
    </row>
    <row r="80" spans="1:8" x14ac:dyDescent="0.3">
      <c r="A80" s="740"/>
      <c r="B80" s="740"/>
      <c r="C80" s="740"/>
      <c r="D80" s="740"/>
      <c r="E80" s="740"/>
      <c r="F80" s="740"/>
      <c r="G80" s="740"/>
      <c r="H80" s="740"/>
    </row>
    <row r="81" spans="1:8" x14ac:dyDescent="0.3">
      <c r="A81" s="741" t="s">
        <v>752</v>
      </c>
      <c r="B81" s="740"/>
      <c r="C81" s="740"/>
      <c r="D81" s="740"/>
      <c r="E81" s="740"/>
      <c r="F81" s="740"/>
      <c r="G81" s="740"/>
      <c r="H81" s="740"/>
    </row>
    <row r="82" spans="1:8" x14ac:dyDescent="0.3">
      <c r="A82" s="741" t="s">
        <v>753</v>
      </c>
      <c r="B82" s="740"/>
      <c r="C82" s="740"/>
      <c r="D82" s="740"/>
      <c r="E82" s="740"/>
      <c r="F82" s="740"/>
      <c r="G82" s="740"/>
      <c r="H82" s="740"/>
    </row>
    <row r="83" spans="1:8" x14ac:dyDescent="0.3">
      <c r="A83" s="740"/>
      <c r="B83" s="740"/>
      <c r="C83" s="740"/>
      <c r="D83" s="740"/>
      <c r="E83" s="740"/>
      <c r="F83" s="740"/>
      <c r="G83" s="740"/>
      <c r="H83" s="740"/>
    </row>
    <row r="84" spans="1:8" x14ac:dyDescent="0.3">
      <c r="A84" s="741" t="s">
        <v>754</v>
      </c>
      <c r="B84" s="740"/>
      <c r="C84" s="740"/>
      <c r="D84" s="740"/>
      <c r="E84" s="740"/>
      <c r="F84" s="740"/>
      <c r="G84" s="740"/>
      <c r="H84" s="740"/>
    </row>
    <row r="85" spans="1:8" x14ac:dyDescent="0.3">
      <c r="A85" s="741" t="s">
        <v>755</v>
      </c>
      <c r="B85" s="740"/>
      <c r="C85" s="740"/>
      <c r="D85" s="740"/>
      <c r="E85" s="740"/>
      <c r="F85" s="740"/>
      <c r="G85" s="740"/>
      <c r="H85" s="740"/>
    </row>
    <row r="86" spans="1:8" x14ac:dyDescent="0.3">
      <c r="A86" s="741" t="s">
        <v>756</v>
      </c>
      <c r="B86" s="740"/>
      <c r="C86" s="740"/>
      <c r="D86" s="740"/>
      <c r="E86" s="740"/>
      <c r="F86" s="740"/>
      <c r="G86" s="740"/>
      <c r="H86" s="740"/>
    </row>
    <row r="87" spans="1:8" x14ac:dyDescent="0.3">
      <c r="A87" s="741" t="s">
        <v>757</v>
      </c>
      <c r="B87" s="740"/>
      <c r="C87" s="740"/>
      <c r="D87" s="740"/>
      <c r="E87" s="740"/>
      <c r="F87" s="740"/>
      <c r="G87" s="740"/>
      <c r="H87" s="740"/>
    </row>
    <row r="88" spans="1:8" x14ac:dyDescent="0.3">
      <c r="A88" s="741" t="s">
        <v>758</v>
      </c>
      <c r="B88" s="740"/>
      <c r="C88" s="740"/>
      <c r="D88" s="740"/>
      <c r="E88" s="740"/>
      <c r="F88" s="740"/>
      <c r="G88" s="740"/>
      <c r="H88" s="740"/>
    </row>
    <row r="89" spans="1:8" x14ac:dyDescent="0.3">
      <c r="A89" s="741" t="s">
        <v>759</v>
      </c>
      <c r="B89" s="740"/>
      <c r="C89" s="740"/>
      <c r="D89" s="740"/>
      <c r="E89" s="740"/>
      <c r="F89" s="740"/>
      <c r="G89" s="740"/>
      <c r="H89" s="740"/>
    </row>
    <row r="90" spans="1:8" x14ac:dyDescent="0.3">
      <c r="A90" s="740"/>
      <c r="B90" s="740"/>
      <c r="C90" s="740"/>
      <c r="D90" s="740"/>
      <c r="E90" s="740"/>
      <c r="F90" s="740"/>
      <c r="G90" s="740"/>
      <c r="H90" s="740"/>
    </row>
    <row r="91" spans="1:8" x14ac:dyDescent="0.3">
      <c r="A91" s="741" t="s">
        <v>760</v>
      </c>
      <c r="B91" s="740"/>
      <c r="C91" s="740"/>
      <c r="D91" s="740"/>
      <c r="E91" s="740"/>
      <c r="F91" s="740"/>
      <c r="G91" s="740"/>
      <c r="H91" s="740"/>
    </row>
    <row r="92" spans="1:8" x14ac:dyDescent="0.3">
      <c r="A92" s="741" t="s">
        <v>761</v>
      </c>
      <c r="B92" s="740"/>
      <c r="C92" s="740"/>
      <c r="D92" s="740"/>
      <c r="E92" s="740"/>
      <c r="F92" s="740"/>
      <c r="G92" s="740"/>
      <c r="H92" s="740"/>
    </row>
    <row r="93" spans="1:8" x14ac:dyDescent="0.3">
      <c r="A93" s="741" t="s">
        <v>762</v>
      </c>
      <c r="B93" s="740"/>
      <c r="C93" s="740"/>
      <c r="D93" s="740"/>
      <c r="E93" s="740"/>
      <c r="F93" s="740"/>
      <c r="G93" s="740"/>
      <c r="H93" s="740"/>
    </row>
    <row r="94" spans="1:8" x14ac:dyDescent="0.3">
      <c r="A94" s="741" t="s">
        <v>763</v>
      </c>
      <c r="B94" s="740"/>
      <c r="C94" s="740"/>
      <c r="D94" s="740"/>
      <c r="E94" s="740"/>
      <c r="F94" s="740"/>
      <c r="G94" s="740"/>
      <c r="H94" s="740"/>
    </row>
    <row r="95" spans="1:8" x14ac:dyDescent="0.3">
      <c r="A95" s="741" t="s">
        <v>764</v>
      </c>
      <c r="B95" s="740"/>
      <c r="C95" s="740"/>
      <c r="D95" s="740"/>
      <c r="E95" s="740"/>
      <c r="F95" s="740"/>
      <c r="G95" s="740"/>
      <c r="H95" s="740"/>
    </row>
    <row r="96" spans="1:8" x14ac:dyDescent="0.3">
      <c r="A96" s="741" t="s">
        <v>765</v>
      </c>
      <c r="B96" s="740"/>
      <c r="C96" s="740"/>
      <c r="D96" s="740"/>
      <c r="E96" s="740"/>
      <c r="F96" s="740"/>
      <c r="G96" s="740"/>
      <c r="H96" s="740"/>
    </row>
    <row r="97" spans="1:8" x14ac:dyDescent="0.3">
      <c r="A97" s="741" t="s">
        <v>766</v>
      </c>
      <c r="B97" s="740"/>
      <c r="C97" s="740"/>
      <c r="D97" s="740"/>
      <c r="E97" s="740"/>
      <c r="F97" s="740"/>
      <c r="G97" s="740"/>
      <c r="H97" s="740"/>
    </row>
    <row r="98" spans="1:8" x14ac:dyDescent="0.3">
      <c r="A98" s="740"/>
      <c r="B98" s="740"/>
      <c r="C98" s="740"/>
      <c r="D98" s="740"/>
      <c r="E98" s="740"/>
      <c r="F98" s="740"/>
      <c r="G98" s="740"/>
      <c r="H98" s="740"/>
    </row>
    <row r="99" spans="1:8" x14ac:dyDescent="0.3">
      <c r="A99" s="741" t="s">
        <v>767</v>
      </c>
      <c r="B99" s="740"/>
      <c r="C99" s="740"/>
      <c r="D99" s="740"/>
      <c r="E99" s="740"/>
      <c r="F99" s="740"/>
      <c r="G99" s="740"/>
      <c r="H99" s="740"/>
    </row>
    <row r="100" spans="1:8" x14ac:dyDescent="0.3">
      <c r="A100" s="741" t="s">
        <v>768</v>
      </c>
      <c r="B100" s="740"/>
      <c r="C100" s="740"/>
      <c r="D100" s="740"/>
      <c r="E100" s="740"/>
      <c r="F100" s="740"/>
      <c r="G100" s="740"/>
      <c r="H100" s="740"/>
    </row>
    <row r="101" spans="1:8" x14ac:dyDescent="0.3">
      <c r="A101" s="740"/>
      <c r="B101" s="740"/>
      <c r="C101" s="740"/>
      <c r="D101" s="740"/>
      <c r="E101" s="740"/>
      <c r="F101" s="740"/>
      <c r="G101" s="740"/>
      <c r="H101" s="740"/>
    </row>
    <row r="102" spans="1:8" ht="15.55" x14ac:dyDescent="0.3">
      <c r="A102" s="742" t="s">
        <v>769</v>
      </c>
      <c r="B102" s="740"/>
      <c r="C102" s="740"/>
      <c r="D102" s="740"/>
      <c r="E102" s="740"/>
      <c r="F102" s="740"/>
      <c r="G102" s="740"/>
      <c r="H102" s="740"/>
    </row>
    <row r="103" spans="1:8" x14ac:dyDescent="0.3">
      <c r="A103" s="740"/>
      <c r="B103" s="740"/>
      <c r="C103" s="740"/>
      <c r="D103" s="740"/>
      <c r="E103" s="740"/>
      <c r="F103" s="740"/>
      <c r="G103" s="740"/>
      <c r="H103" s="740"/>
    </row>
    <row r="104" spans="1:8" x14ac:dyDescent="0.3">
      <c r="A104" s="741" t="s">
        <v>770</v>
      </c>
      <c r="B104" s="740"/>
      <c r="C104" s="740"/>
      <c r="D104" s="740"/>
      <c r="E104" s="740"/>
      <c r="F104" s="740"/>
      <c r="G104" s="740"/>
      <c r="H104" s="740"/>
    </row>
    <row r="105" spans="1:8" x14ac:dyDescent="0.3">
      <c r="A105" s="741" t="s">
        <v>771</v>
      </c>
      <c r="B105" s="740"/>
      <c r="C105" s="740"/>
      <c r="D105" s="740"/>
      <c r="E105" s="740"/>
      <c r="F105" s="740"/>
      <c r="G105" s="740"/>
      <c r="H105" s="740"/>
    </row>
    <row r="106" spans="1:8" x14ac:dyDescent="0.3">
      <c r="A106" s="741" t="s">
        <v>772</v>
      </c>
      <c r="B106" s="740"/>
      <c r="C106" s="740"/>
      <c r="D106" s="740"/>
      <c r="E106" s="740"/>
      <c r="F106" s="740"/>
      <c r="G106" s="740"/>
      <c r="H106" s="740"/>
    </row>
    <row r="107" spans="1:8" x14ac:dyDescent="0.3">
      <c r="A107" s="741" t="s">
        <v>773</v>
      </c>
      <c r="B107" s="740"/>
      <c r="C107" s="740"/>
      <c r="D107" s="740"/>
      <c r="E107" s="740"/>
      <c r="F107" s="740"/>
      <c r="G107" s="740"/>
      <c r="H107" s="740"/>
    </row>
    <row r="108" spans="1:8" x14ac:dyDescent="0.3">
      <c r="A108" s="741" t="s">
        <v>774</v>
      </c>
      <c r="B108" s="740"/>
      <c r="C108" s="740"/>
      <c r="D108" s="740"/>
      <c r="E108" s="740"/>
      <c r="F108" s="740"/>
      <c r="G108" s="740"/>
      <c r="H108" s="740"/>
    </row>
    <row r="109" spans="1:8" x14ac:dyDescent="0.3">
      <c r="A109" s="741" t="s">
        <v>775</v>
      </c>
      <c r="B109" s="740"/>
      <c r="C109" s="740"/>
      <c r="D109" s="740"/>
      <c r="E109" s="740"/>
      <c r="F109" s="740"/>
      <c r="G109" s="740"/>
      <c r="H109" s="740"/>
    </row>
    <row r="110" spans="1:8" x14ac:dyDescent="0.3">
      <c r="A110" s="741" t="s">
        <v>776</v>
      </c>
      <c r="B110" s="740"/>
      <c r="C110" s="740"/>
      <c r="D110" s="740"/>
      <c r="E110" s="740"/>
      <c r="F110" s="740"/>
      <c r="G110" s="740"/>
      <c r="H110" s="740"/>
    </row>
    <row r="111" spans="1:8" x14ac:dyDescent="0.3">
      <c r="A111" s="741" t="s">
        <v>777</v>
      </c>
      <c r="B111" s="740"/>
      <c r="C111" s="740"/>
      <c r="D111" s="740"/>
      <c r="E111" s="740"/>
      <c r="F111" s="740"/>
      <c r="G111" s="740"/>
      <c r="H111" s="740"/>
    </row>
    <row r="112" spans="1:8" x14ac:dyDescent="0.3">
      <c r="A112" s="741" t="s">
        <v>778</v>
      </c>
      <c r="B112" s="740"/>
      <c r="C112" s="740"/>
      <c r="D112" s="740"/>
      <c r="E112" s="740"/>
      <c r="F112" s="740"/>
      <c r="G112" s="740"/>
      <c r="H112" s="740"/>
    </row>
    <row r="113" spans="1:8" x14ac:dyDescent="0.3">
      <c r="A113" s="740"/>
      <c r="B113" s="740"/>
      <c r="C113" s="740"/>
      <c r="D113" s="740"/>
      <c r="E113" s="740"/>
      <c r="F113" s="740"/>
      <c r="G113" s="740"/>
      <c r="H113" s="740"/>
    </row>
    <row r="114" spans="1:8" ht="15.55" x14ac:dyDescent="0.3">
      <c r="A114" s="742" t="s">
        <v>779</v>
      </c>
      <c r="B114" s="740"/>
      <c r="C114" s="740"/>
      <c r="D114" s="740"/>
      <c r="E114" s="740"/>
      <c r="F114" s="740"/>
      <c r="G114" s="740"/>
      <c r="H114" s="740"/>
    </row>
    <row r="115" spans="1:8" x14ac:dyDescent="0.3">
      <c r="A115" s="740"/>
      <c r="B115" s="740"/>
      <c r="C115" s="740"/>
      <c r="D115" s="740"/>
      <c r="E115" s="740"/>
      <c r="F115" s="740"/>
      <c r="G115" s="740"/>
      <c r="H115" s="740"/>
    </row>
    <row r="116" spans="1:8" x14ac:dyDescent="0.3">
      <c r="A116" s="741" t="s">
        <v>780</v>
      </c>
      <c r="B116" s="740"/>
      <c r="C116" s="740"/>
      <c r="D116" s="740"/>
      <c r="E116" s="740"/>
      <c r="F116" s="740"/>
      <c r="G116" s="740"/>
      <c r="H116" s="740"/>
    </row>
    <row r="117" spans="1:8" x14ac:dyDescent="0.3">
      <c r="A117" s="740"/>
      <c r="B117" s="740"/>
      <c r="C117" s="740"/>
      <c r="D117" s="740"/>
      <c r="E117" s="740"/>
      <c r="F117" s="740"/>
      <c r="G117" s="740"/>
      <c r="H117" s="740"/>
    </row>
    <row r="118" spans="1:8" x14ac:dyDescent="0.3">
      <c r="A118" s="741" t="s">
        <v>781</v>
      </c>
      <c r="B118" s="740"/>
      <c r="C118" s="740"/>
      <c r="D118" s="740"/>
      <c r="E118" s="740"/>
      <c r="F118" s="740"/>
      <c r="G118" s="740"/>
      <c r="H118" s="740"/>
    </row>
    <row r="119" spans="1:8" x14ac:dyDescent="0.3">
      <c r="A119" s="741" t="s">
        <v>782</v>
      </c>
      <c r="B119" s="740"/>
      <c r="C119" s="740"/>
      <c r="D119" s="740"/>
      <c r="E119" s="740"/>
      <c r="F119" s="740"/>
      <c r="G119" s="740"/>
      <c r="H119" s="740"/>
    </row>
    <row r="120" spans="1:8" x14ac:dyDescent="0.3">
      <c r="A120" s="740"/>
      <c r="B120" s="740"/>
      <c r="C120" s="740"/>
      <c r="D120" s="740"/>
      <c r="E120" s="740"/>
      <c r="F120" s="740"/>
      <c r="G120" s="740"/>
      <c r="H120" s="740"/>
    </row>
    <row r="121" spans="1:8" x14ac:dyDescent="0.3">
      <c r="A121" s="741" t="s">
        <v>783</v>
      </c>
      <c r="B121" s="740"/>
      <c r="C121" s="740"/>
      <c r="D121" s="740"/>
      <c r="E121" s="740"/>
      <c r="F121" s="740"/>
      <c r="G121" s="740"/>
      <c r="H121" s="740"/>
    </row>
    <row r="122" spans="1:8" x14ac:dyDescent="0.3">
      <c r="A122" s="741" t="s">
        <v>784</v>
      </c>
      <c r="B122" s="740"/>
      <c r="C122" s="740"/>
      <c r="D122" s="740"/>
      <c r="E122" s="740"/>
      <c r="F122" s="740"/>
      <c r="G122" s="740"/>
      <c r="H122" s="740"/>
    </row>
    <row r="123" spans="1:8" x14ac:dyDescent="0.3">
      <c r="A123" s="741" t="s">
        <v>785</v>
      </c>
      <c r="B123" s="740"/>
      <c r="C123" s="740"/>
      <c r="D123" s="740"/>
      <c r="E123" s="740"/>
      <c r="F123" s="740"/>
      <c r="G123" s="740"/>
      <c r="H123" s="740"/>
    </row>
    <row r="124" spans="1:8" x14ac:dyDescent="0.3">
      <c r="A124" s="741" t="s">
        <v>786</v>
      </c>
      <c r="B124" s="740"/>
      <c r="C124" s="740"/>
      <c r="D124" s="740"/>
      <c r="E124" s="740"/>
      <c r="F124" s="740"/>
      <c r="G124" s="740"/>
      <c r="H124" s="740"/>
    </row>
    <row r="125" spans="1:8" x14ac:dyDescent="0.3">
      <c r="A125" s="741" t="s">
        <v>787</v>
      </c>
      <c r="B125" s="740"/>
      <c r="C125" s="740"/>
      <c r="D125" s="740"/>
      <c r="E125" s="740"/>
      <c r="F125" s="740"/>
      <c r="G125" s="740"/>
      <c r="H125" s="740"/>
    </row>
    <row r="126" spans="1:8" x14ac:dyDescent="0.3">
      <c r="A126" s="741" t="s">
        <v>788</v>
      </c>
      <c r="B126" s="740"/>
      <c r="C126" s="740"/>
      <c r="D126" s="740"/>
      <c r="E126" s="740"/>
      <c r="F126" s="740"/>
      <c r="G126" s="740"/>
      <c r="H126" s="740"/>
    </row>
    <row r="127" spans="1:8" x14ac:dyDescent="0.3">
      <c r="A127" s="741" t="s">
        <v>789</v>
      </c>
      <c r="B127" s="740"/>
      <c r="C127" s="740"/>
      <c r="D127" s="740"/>
      <c r="E127" s="740"/>
      <c r="F127" s="740"/>
      <c r="G127" s="740"/>
      <c r="H127" s="740"/>
    </row>
    <row r="128" spans="1:8" x14ac:dyDescent="0.3">
      <c r="A128" s="740"/>
      <c r="B128" s="740"/>
      <c r="C128" s="740"/>
      <c r="D128" s="740"/>
      <c r="E128" s="740"/>
      <c r="F128" s="740"/>
      <c r="G128" s="740"/>
      <c r="H128" s="740"/>
    </row>
    <row r="129" spans="1:8" x14ac:dyDescent="0.3">
      <c r="A129" s="743"/>
      <c r="B129" s="746" t="s">
        <v>790</v>
      </c>
      <c r="C129" s="746"/>
      <c r="D129" s="746" t="s">
        <v>791</v>
      </c>
      <c r="E129" s="746"/>
      <c r="F129" s="746"/>
      <c r="G129" s="746" t="s">
        <v>792</v>
      </c>
      <c r="H129" s="746"/>
    </row>
    <row r="130" spans="1:8" x14ac:dyDescent="0.3">
      <c r="A130" s="743" t="s">
        <v>793</v>
      </c>
      <c r="B130" s="743" t="s">
        <v>794</v>
      </c>
      <c r="C130" s="743" t="s">
        <v>795</v>
      </c>
      <c r="D130" s="743" t="s">
        <v>794</v>
      </c>
      <c r="E130" s="743" t="s">
        <v>796</v>
      </c>
      <c r="F130" s="743" t="s">
        <v>797</v>
      </c>
      <c r="G130" s="743" t="s">
        <v>794</v>
      </c>
      <c r="H130" s="743" t="s">
        <v>798</v>
      </c>
    </row>
    <row r="131" spans="1:8" x14ac:dyDescent="0.3">
      <c r="A131" s="743" t="s">
        <v>799</v>
      </c>
      <c r="B131" s="743">
        <v>1520</v>
      </c>
      <c r="C131" s="743">
        <v>0.41</v>
      </c>
      <c r="D131" s="743">
        <v>425</v>
      </c>
      <c r="E131" s="743">
        <v>0.48</v>
      </c>
      <c r="F131" s="743">
        <v>0.28000000000000003</v>
      </c>
      <c r="G131" s="743">
        <v>685</v>
      </c>
      <c r="H131" s="743">
        <v>0.42</v>
      </c>
    </row>
    <row r="132" spans="1:8" x14ac:dyDescent="0.3">
      <c r="A132" s="743" t="s">
        <v>800</v>
      </c>
      <c r="B132" s="743">
        <v>1579</v>
      </c>
      <c r="C132" s="743">
        <v>0.43</v>
      </c>
      <c r="D132" s="743">
        <v>375</v>
      </c>
      <c r="E132" s="743">
        <v>0.42</v>
      </c>
      <c r="F132" s="743">
        <v>0.24</v>
      </c>
      <c r="G132" s="743">
        <v>713</v>
      </c>
      <c r="H132" s="743">
        <v>0.44</v>
      </c>
    </row>
    <row r="133" spans="1:8" x14ac:dyDescent="0.3">
      <c r="A133" s="743" t="s">
        <v>801</v>
      </c>
      <c r="B133" s="743">
        <v>4</v>
      </c>
      <c r="C133" s="743">
        <v>0</v>
      </c>
      <c r="D133" s="743">
        <v>1</v>
      </c>
      <c r="E133" s="743">
        <v>0</v>
      </c>
      <c r="F133" s="743">
        <v>0.25</v>
      </c>
      <c r="G133" s="743">
        <v>1</v>
      </c>
      <c r="H133" s="743">
        <v>0</v>
      </c>
    </row>
    <row r="134" spans="1:8" x14ac:dyDescent="0.3">
      <c r="A134" s="743" t="s">
        <v>802</v>
      </c>
      <c r="B134" s="743">
        <v>592</v>
      </c>
      <c r="C134" s="743">
        <v>0.16</v>
      </c>
      <c r="D134" s="743">
        <v>89</v>
      </c>
      <c r="E134" s="743">
        <v>0.1</v>
      </c>
      <c r="F134" s="743">
        <v>0.15</v>
      </c>
      <c r="G134" s="743">
        <v>232</v>
      </c>
      <c r="H134" s="743">
        <v>0.14000000000000001</v>
      </c>
    </row>
    <row r="135" spans="1:8" x14ac:dyDescent="0.3">
      <c r="A135" s="743" t="s">
        <v>587</v>
      </c>
      <c r="B135" s="743">
        <v>3695</v>
      </c>
      <c r="C135" s="743"/>
      <c r="D135" s="743">
        <v>890</v>
      </c>
      <c r="E135" s="743"/>
      <c r="F135" s="743"/>
      <c r="G135" s="743">
        <v>1631</v>
      </c>
      <c r="H135" s="743"/>
    </row>
    <row r="136" spans="1:8" x14ac:dyDescent="0.3">
      <c r="A136" s="740"/>
      <c r="B136" s="740"/>
      <c r="C136" s="740"/>
      <c r="D136" s="740"/>
      <c r="E136" s="740"/>
      <c r="F136" s="740"/>
      <c r="G136" s="740"/>
      <c r="H136" s="740"/>
    </row>
    <row r="137" spans="1:8" x14ac:dyDescent="0.3">
      <c r="A137" s="741" t="s">
        <v>803</v>
      </c>
      <c r="B137" s="740"/>
      <c r="C137" s="740"/>
      <c r="D137" s="740"/>
      <c r="E137" s="740"/>
      <c r="F137" s="740"/>
      <c r="G137" s="740"/>
      <c r="H137" s="740"/>
    </row>
    <row r="138" spans="1:8" x14ac:dyDescent="0.3">
      <c r="A138" s="741" t="s">
        <v>804</v>
      </c>
      <c r="B138" s="740"/>
      <c r="C138" s="740"/>
      <c r="D138" s="740"/>
      <c r="E138" s="740"/>
      <c r="F138" s="740"/>
      <c r="G138" s="740"/>
      <c r="H138" s="740"/>
    </row>
    <row r="139" spans="1:8" x14ac:dyDescent="0.3">
      <c r="A139" s="741" t="s">
        <v>805</v>
      </c>
      <c r="B139" s="740"/>
      <c r="C139" s="740"/>
      <c r="D139" s="740"/>
      <c r="E139" s="740"/>
      <c r="F139" s="740"/>
      <c r="G139" s="740"/>
      <c r="H139" s="740"/>
    </row>
    <row r="140" spans="1:8" x14ac:dyDescent="0.3">
      <c r="A140" s="741" t="s">
        <v>806</v>
      </c>
      <c r="B140" s="740"/>
      <c r="C140" s="740"/>
      <c r="D140" s="740"/>
      <c r="E140" s="740"/>
      <c r="F140" s="740"/>
      <c r="G140" s="740"/>
      <c r="H140" s="740"/>
    </row>
    <row r="141" spans="1:8" x14ac:dyDescent="0.3">
      <c r="A141" s="740"/>
      <c r="B141" s="740"/>
      <c r="C141" s="740"/>
      <c r="D141" s="740"/>
      <c r="E141" s="740"/>
      <c r="F141" s="740"/>
      <c r="G141" s="740"/>
      <c r="H141" s="740"/>
    </row>
    <row r="142" spans="1:8" ht="15.55" x14ac:dyDescent="0.3">
      <c r="A142" s="742" t="s">
        <v>807</v>
      </c>
      <c r="B142" s="740"/>
      <c r="C142" s="740"/>
      <c r="D142" s="740"/>
      <c r="E142" s="740"/>
      <c r="F142" s="740"/>
      <c r="G142" s="740"/>
      <c r="H142" s="740"/>
    </row>
    <row r="143" spans="1:8" x14ac:dyDescent="0.3">
      <c r="A143" s="740"/>
      <c r="B143" s="740"/>
      <c r="C143" s="740"/>
      <c r="D143" s="740"/>
      <c r="E143" s="740"/>
      <c r="F143" s="740"/>
      <c r="G143" s="740"/>
      <c r="H143" s="740"/>
    </row>
    <row r="144" spans="1:8" x14ac:dyDescent="0.3">
      <c r="A144" s="741" t="s">
        <v>808</v>
      </c>
      <c r="B144" s="740"/>
      <c r="C144" s="740"/>
      <c r="D144" s="740"/>
      <c r="E144" s="740"/>
      <c r="F144" s="740"/>
      <c r="G144" s="740"/>
      <c r="H144" s="740"/>
    </row>
    <row r="145" spans="1:8" x14ac:dyDescent="0.3">
      <c r="A145" s="741" t="s">
        <v>809</v>
      </c>
      <c r="B145" s="740"/>
      <c r="C145" s="740"/>
      <c r="D145" s="740"/>
      <c r="E145" s="740"/>
      <c r="F145" s="740"/>
      <c r="G145" s="740"/>
      <c r="H145" s="740"/>
    </row>
    <row r="146" spans="1:8" x14ac:dyDescent="0.3">
      <c r="A146" s="740"/>
      <c r="B146" s="740"/>
      <c r="C146" s="740"/>
      <c r="D146" s="740"/>
      <c r="E146" s="740"/>
      <c r="F146" s="740"/>
      <c r="G146" s="740"/>
      <c r="H146" s="740"/>
    </row>
    <row r="147" spans="1:8" x14ac:dyDescent="0.3">
      <c r="A147" s="741" t="s">
        <v>810</v>
      </c>
      <c r="B147" s="740"/>
      <c r="C147" s="740"/>
      <c r="D147" s="740"/>
      <c r="E147" s="740"/>
      <c r="F147" s="740"/>
      <c r="G147" s="740"/>
      <c r="H147" s="740"/>
    </row>
    <row r="148" spans="1:8" x14ac:dyDescent="0.3">
      <c r="A148" s="741" t="s">
        <v>811</v>
      </c>
      <c r="B148" s="740"/>
      <c r="C148" s="740"/>
      <c r="D148" s="740"/>
      <c r="E148" s="740"/>
      <c r="F148" s="740"/>
      <c r="G148" s="740"/>
      <c r="H148" s="740"/>
    </row>
    <row r="149" spans="1:8" x14ac:dyDescent="0.3">
      <c r="A149" s="741" t="s">
        <v>812</v>
      </c>
      <c r="B149" s="740"/>
      <c r="C149" s="740"/>
      <c r="D149" s="740"/>
      <c r="E149" s="740"/>
      <c r="F149" s="740"/>
      <c r="G149" s="740"/>
      <c r="H149" s="740"/>
    </row>
    <row r="150" spans="1:8" x14ac:dyDescent="0.3">
      <c r="A150" s="740"/>
      <c r="B150" s="740"/>
      <c r="C150" s="740"/>
      <c r="D150" s="740"/>
      <c r="E150" s="740"/>
      <c r="F150" s="740"/>
      <c r="G150" s="740"/>
      <c r="H150" s="740"/>
    </row>
    <row r="151" spans="1:8" x14ac:dyDescent="0.3">
      <c r="A151" s="741" t="s">
        <v>813</v>
      </c>
      <c r="B151" s="740"/>
      <c r="C151" s="740"/>
      <c r="D151" s="740"/>
      <c r="E151" s="740"/>
      <c r="F151" s="740"/>
      <c r="G151" s="740"/>
      <c r="H151" s="740"/>
    </row>
    <row r="152" spans="1:8" x14ac:dyDescent="0.3">
      <c r="A152" s="741" t="s">
        <v>814</v>
      </c>
      <c r="B152" s="740"/>
      <c r="C152" s="740"/>
      <c r="D152" s="740"/>
      <c r="E152" s="740"/>
      <c r="F152" s="740"/>
      <c r="G152" s="740"/>
      <c r="H152" s="740"/>
    </row>
    <row r="153" spans="1:8" x14ac:dyDescent="0.3">
      <c r="A153" s="741" t="s">
        <v>815</v>
      </c>
      <c r="B153" s="740"/>
      <c r="C153" s="740"/>
      <c r="D153" s="740"/>
      <c r="E153" s="740"/>
      <c r="F153" s="740"/>
      <c r="G153" s="740"/>
      <c r="H153" s="740"/>
    </row>
    <row r="154" spans="1:8" x14ac:dyDescent="0.3">
      <c r="A154" s="740"/>
      <c r="B154" s="740"/>
      <c r="C154" s="740"/>
      <c r="D154" s="740"/>
      <c r="E154" s="740"/>
      <c r="F154" s="740"/>
      <c r="G154" s="740"/>
      <c r="H154" s="740"/>
    </row>
    <row r="155" spans="1:8" x14ac:dyDescent="0.3">
      <c r="A155" s="741" t="s">
        <v>816</v>
      </c>
      <c r="B155" s="740"/>
      <c r="C155" s="740"/>
      <c r="D155" s="740"/>
      <c r="E155" s="740"/>
      <c r="F155" s="740"/>
      <c r="G155" s="740"/>
      <c r="H155" s="740"/>
    </row>
    <row r="156" spans="1:8" x14ac:dyDescent="0.3">
      <c r="A156" s="741" t="s">
        <v>817</v>
      </c>
      <c r="B156" s="740"/>
      <c r="C156" s="740"/>
      <c r="D156" s="740"/>
      <c r="E156" s="740"/>
      <c r="F156" s="740"/>
      <c r="G156" s="740"/>
      <c r="H156" s="740"/>
    </row>
    <row r="157" spans="1:8" x14ac:dyDescent="0.3">
      <c r="A157" s="741" t="s">
        <v>818</v>
      </c>
      <c r="B157" s="740"/>
      <c r="C157" s="740"/>
      <c r="D157" s="740"/>
      <c r="E157" s="740"/>
      <c r="F157" s="740"/>
      <c r="G157" s="740"/>
      <c r="H157" s="740"/>
    </row>
    <row r="158" spans="1:8" x14ac:dyDescent="0.3">
      <c r="A158" s="740"/>
      <c r="B158" s="740"/>
      <c r="C158" s="740"/>
      <c r="D158" s="740"/>
      <c r="E158" s="740"/>
      <c r="F158" s="740"/>
      <c r="G158" s="740"/>
      <c r="H158" s="740"/>
    </row>
    <row r="159" spans="1:8" x14ac:dyDescent="0.3">
      <c r="A159" s="741" t="s">
        <v>819</v>
      </c>
      <c r="B159" s="740"/>
      <c r="C159" s="740"/>
      <c r="D159" s="740"/>
      <c r="E159" s="740"/>
      <c r="F159" s="740"/>
      <c r="G159" s="740"/>
      <c r="H159" s="740"/>
    </row>
    <row r="160" spans="1:8" x14ac:dyDescent="0.3">
      <c r="A160" s="741" t="s">
        <v>820</v>
      </c>
      <c r="B160" s="740"/>
      <c r="C160" s="740"/>
      <c r="D160" s="740"/>
      <c r="E160" s="740"/>
      <c r="F160" s="740"/>
      <c r="G160" s="740"/>
      <c r="H160" s="740"/>
    </row>
    <row r="161" spans="1:8" x14ac:dyDescent="0.3">
      <c r="A161" s="740"/>
      <c r="B161" s="740"/>
      <c r="C161" s="740"/>
      <c r="D161" s="740"/>
      <c r="E161" s="740"/>
      <c r="F161" s="740"/>
      <c r="G161" s="740"/>
      <c r="H161" s="740"/>
    </row>
    <row r="162" spans="1:8" ht="15.55" x14ac:dyDescent="0.3">
      <c r="A162" s="742" t="s">
        <v>821</v>
      </c>
      <c r="B162" s="740"/>
      <c r="C162" s="740"/>
      <c r="D162" s="740"/>
      <c r="E162" s="740"/>
      <c r="F162" s="740"/>
      <c r="G162" s="740"/>
      <c r="H162" s="740"/>
    </row>
    <row r="163" spans="1:8" x14ac:dyDescent="0.3">
      <c r="A163" s="740"/>
      <c r="B163" s="740"/>
      <c r="C163" s="740"/>
      <c r="D163" s="740"/>
      <c r="E163" s="740"/>
      <c r="F163" s="740"/>
      <c r="G163" s="740"/>
      <c r="H163" s="740"/>
    </row>
    <row r="164" spans="1:8" x14ac:dyDescent="0.3">
      <c r="A164" s="741" t="s">
        <v>822</v>
      </c>
      <c r="B164" s="740"/>
      <c r="C164" s="740"/>
      <c r="D164" s="740"/>
      <c r="E164" s="740"/>
      <c r="F164" s="740"/>
      <c r="G164" s="740"/>
      <c r="H164" s="740"/>
    </row>
    <row r="165" spans="1:8" x14ac:dyDescent="0.3">
      <c r="A165" s="741" t="s">
        <v>823</v>
      </c>
      <c r="B165" s="740"/>
      <c r="C165" s="740"/>
      <c r="D165" s="740"/>
      <c r="E165" s="740"/>
      <c r="F165" s="740"/>
      <c r="G165" s="740"/>
      <c r="H165" s="740"/>
    </row>
    <row r="166" spans="1:8" x14ac:dyDescent="0.3">
      <c r="A166" s="740"/>
      <c r="B166" s="740"/>
      <c r="C166" s="740"/>
      <c r="D166" s="740"/>
      <c r="E166" s="740"/>
      <c r="F166" s="740"/>
      <c r="G166" s="740"/>
      <c r="H166" s="740"/>
    </row>
    <row r="167" spans="1:8" x14ac:dyDescent="0.3">
      <c r="A167" s="741" t="s">
        <v>824</v>
      </c>
      <c r="B167" s="740"/>
      <c r="C167" s="740"/>
      <c r="D167" s="740"/>
      <c r="E167" s="740"/>
      <c r="F167" s="740"/>
      <c r="G167" s="740"/>
      <c r="H167" s="740"/>
    </row>
    <row r="168" spans="1:8" x14ac:dyDescent="0.3">
      <c r="A168" s="741" t="s">
        <v>825</v>
      </c>
      <c r="B168" s="740"/>
      <c r="C168" s="740"/>
      <c r="D168" s="740"/>
      <c r="E168" s="740"/>
      <c r="F168" s="740"/>
      <c r="G168" s="740"/>
      <c r="H168" s="740"/>
    </row>
    <row r="169" spans="1:8" x14ac:dyDescent="0.3">
      <c r="A169" s="740"/>
      <c r="B169" s="740"/>
      <c r="C169" s="740"/>
      <c r="D169" s="740"/>
      <c r="E169" s="740"/>
      <c r="F169" s="740"/>
      <c r="G169" s="740"/>
      <c r="H169" s="740"/>
    </row>
    <row r="170" spans="1:8" x14ac:dyDescent="0.3">
      <c r="A170" s="741" t="s">
        <v>826</v>
      </c>
      <c r="B170" s="740"/>
      <c r="C170" s="740"/>
      <c r="D170" s="740"/>
      <c r="E170" s="740"/>
      <c r="F170" s="740"/>
      <c r="G170" s="740"/>
      <c r="H170" s="740"/>
    </row>
    <row r="171" spans="1:8" x14ac:dyDescent="0.3">
      <c r="A171" s="741" t="s">
        <v>827</v>
      </c>
      <c r="B171" s="740"/>
      <c r="C171" s="740"/>
      <c r="D171" s="740"/>
      <c r="E171" s="740"/>
      <c r="F171" s="740"/>
      <c r="G171" s="740"/>
      <c r="H171" s="740"/>
    </row>
    <row r="172" spans="1:8" x14ac:dyDescent="0.3">
      <c r="A172" s="740"/>
      <c r="B172" s="740"/>
      <c r="C172" s="740"/>
      <c r="D172" s="740"/>
      <c r="E172" s="740"/>
      <c r="F172" s="740"/>
      <c r="G172" s="740"/>
      <c r="H172" s="740"/>
    </row>
    <row r="173" spans="1:8" x14ac:dyDescent="0.3">
      <c r="A173" s="741" t="s">
        <v>828</v>
      </c>
      <c r="B173" s="740"/>
      <c r="C173" s="740"/>
      <c r="D173" s="740"/>
      <c r="E173" s="740"/>
      <c r="F173" s="740"/>
      <c r="G173" s="740"/>
      <c r="H173" s="740"/>
    </row>
    <row r="174" spans="1:8" x14ac:dyDescent="0.3">
      <c r="A174" s="741" t="s">
        <v>829</v>
      </c>
      <c r="B174" s="740"/>
      <c r="C174" s="740"/>
      <c r="D174" s="740"/>
      <c r="E174" s="740"/>
      <c r="F174" s="740"/>
      <c r="G174" s="740"/>
      <c r="H174" s="740"/>
    </row>
    <row r="175" spans="1:8" x14ac:dyDescent="0.3">
      <c r="A175" s="741" t="s">
        <v>830</v>
      </c>
      <c r="B175" s="740"/>
      <c r="C175" s="740"/>
      <c r="D175" s="740"/>
      <c r="E175" s="740"/>
      <c r="F175" s="740"/>
      <c r="G175" s="740"/>
      <c r="H175" s="740"/>
    </row>
    <row r="176" spans="1:8" x14ac:dyDescent="0.3">
      <c r="A176" s="740"/>
      <c r="B176" s="740"/>
      <c r="C176" s="740"/>
      <c r="D176" s="740"/>
      <c r="E176" s="740"/>
      <c r="F176" s="740"/>
      <c r="G176" s="740"/>
      <c r="H176" s="740"/>
    </row>
    <row r="177" spans="1:8" x14ac:dyDescent="0.3">
      <c r="A177" s="741" t="s">
        <v>636</v>
      </c>
      <c r="B177" s="740"/>
      <c r="C177" s="740"/>
      <c r="D177" s="740"/>
      <c r="E177" s="740"/>
      <c r="F177" s="740"/>
      <c r="G177" s="740"/>
      <c r="H177" s="740"/>
    </row>
    <row r="178" spans="1:8" x14ac:dyDescent="0.3">
      <c r="A178" s="740"/>
      <c r="B178" s="740"/>
      <c r="C178" s="740"/>
      <c r="D178" s="740"/>
      <c r="E178" s="740"/>
      <c r="F178" s="740"/>
      <c r="G178" s="740"/>
      <c r="H178" s="740"/>
    </row>
    <row r="179" spans="1:8" ht="15.55" x14ac:dyDescent="0.3">
      <c r="A179" s="742" t="s">
        <v>831</v>
      </c>
      <c r="B179" s="740"/>
      <c r="C179" s="740"/>
      <c r="D179" s="740"/>
      <c r="E179" s="740"/>
      <c r="F179" s="740"/>
      <c r="G179" s="740"/>
      <c r="H179" s="740"/>
    </row>
    <row r="180" spans="1:8" x14ac:dyDescent="0.3">
      <c r="A180" s="740"/>
      <c r="B180" s="740"/>
      <c r="C180" s="740"/>
      <c r="D180" s="740"/>
      <c r="E180" s="740"/>
      <c r="F180" s="740"/>
      <c r="G180" s="740"/>
      <c r="H180" s="740"/>
    </row>
    <row r="181" spans="1:8" x14ac:dyDescent="0.3">
      <c r="A181" s="740"/>
      <c r="B181" s="740"/>
      <c r="C181" s="740"/>
      <c r="D181" s="740"/>
      <c r="E181" s="740"/>
      <c r="F181" s="740"/>
      <c r="G181" s="740"/>
      <c r="H181" s="740"/>
    </row>
    <row r="182" spans="1:8" x14ac:dyDescent="0.3">
      <c r="A182" s="740"/>
      <c r="B182" s="740"/>
      <c r="C182" s="740"/>
      <c r="D182" s="740"/>
      <c r="E182" s="740"/>
      <c r="F182" s="740"/>
      <c r="G182" s="740"/>
      <c r="H182" s="740"/>
    </row>
    <row r="183" spans="1:8" x14ac:dyDescent="0.3">
      <c r="A183" s="740"/>
      <c r="B183" s="740"/>
      <c r="C183" s="740"/>
      <c r="D183" s="740"/>
      <c r="E183" s="740"/>
      <c r="F183" s="740"/>
      <c r="G183" s="740"/>
      <c r="H183" s="740"/>
    </row>
    <row r="184" spans="1:8" x14ac:dyDescent="0.3">
      <c r="A184" s="740"/>
      <c r="B184" s="740"/>
      <c r="C184" s="740"/>
      <c r="D184" s="740"/>
      <c r="E184" s="740"/>
      <c r="F184" s="740"/>
      <c r="G184" s="740"/>
      <c r="H184" s="740"/>
    </row>
    <row r="185" spans="1:8" x14ac:dyDescent="0.3">
      <c r="A185" s="740"/>
      <c r="B185" s="740"/>
      <c r="C185" s="740"/>
      <c r="D185" s="740"/>
      <c r="E185" s="740"/>
      <c r="F185" s="740"/>
      <c r="G185" s="740"/>
      <c r="H185" s="740"/>
    </row>
    <row r="186" spans="1:8" x14ac:dyDescent="0.3">
      <c r="A186" s="740"/>
      <c r="B186" s="740"/>
      <c r="C186" s="740"/>
      <c r="D186" s="740"/>
      <c r="E186" s="740"/>
      <c r="F186" s="740"/>
      <c r="G186" s="740"/>
      <c r="H186" s="740"/>
    </row>
    <row r="187" spans="1:8" x14ac:dyDescent="0.3">
      <c r="A187" s="740"/>
      <c r="B187" s="740"/>
      <c r="C187" s="740"/>
      <c r="D187" s="740"/>
      <c r="E187" s="740"/>
      <c r="F187" s="740"/>
      <c r="G187" s="740"/>
      <c r="H187" s="740"/>
    </row>
    <row r="188" spans="1:8" x14ac:dyDescent="0.3">
      <c r="A188" s="740"/>
      <c r="B188" s="740"/>
      <c r="C188" s="740"/>
      <c r="D188" s="740"/>
      <c r="E188" s="740"/>
      <c r="F188" s="740"/>
      <c r="G188" s="740"/>
      <c r="H188" s="740"/>
    </row>
    <row r="189" spans="1:8" x14ac:dyDescent="0.3">
      <c r="A189" s="740"/>
      <c r="B189" s="740"/>
      <c r="C189" s="740"/>
      <c r="D189" s="740"/>
      <c r="E189" s="740"/>
      <c r="F189" s="740"/>
      <c r="G189" s="740"/>
      <c r="H189" s="740"/>
    </row>
    <row r="190" spans="1:8" x14ac:dyDescent="0.3">
      <c r="A190" s="740"/>
      <c r="B190" s="740"/>
      <c r="C190" s="740"/>
      <c r="D190" s="740"/>
      <c r="E190" s="740"/>
      <c r="F190" s="740"/>
      <c r="G190" s="740"/>
      <c r="H190" s="740"/>
    </row>
    <row r="191" spans="1:8" x14ac:dyDescent="0.3">
      <c r="A191" s="740"/>
      <c r="B191" s="740"/>
      <c r="C191" s="740"/>
      <c r="D191" s="740"/>
      <c r="E191" s="740"/>
      <c r="F191" s="740"/>
      <c r="G191" s="740"/>
      <c r="H191" s="740"/>
    </row>
    <row r="192" spans="1:8" x14ac:dyDescent="0.3">
      <c r="A192" s="740"/>
      <c r="B192" s="740"/>
      <c r="C192" s="740"/>
      <c r="D192" s="740"/>
      <c r="E192" s="740"/>
      <c r="F192" s="740"/>
      <c r="G192" s="740"/>
      <c r="H192" s="740"/>
    </row>
    <row r="193" spans="1:8" x14ac:dyDescent="0.3">
      <c r="A193" s="740"/>
      <c r="B193" s="740"/>
      <c r="C193" s="740"/>
      <c r="D193" s="740"/>
      <c r="E193" s="740"/>
      <c r="F193" s="740"/>
      <c r="G193" s="740"/>
      <c r="H193" s="740"/>
    </row>
    <row r="194" spans="1:8" x14ac:dyDescent="0.3">
      <c r="A194" s="740"/>
      <c r="B194" s="740"/>
      <c r="C194" s="740"/>
      <c r="D194" s="740"/>
      <c r="E194" s="740"/>
      <c r="F194" s="740"/>
      <c r="G194" s="740"/>
      <c r="H194" s="740"/>
    </row>
    <row r="195" spans="1:8" x14ac:dyDescent="0.3">
      <c r="A195" s="740"/>
      <c r="B195" s="740"/>
      <c r="C195" s="740"/>
      <c r="D195" s="740"/>
      <c r="E195" s="740"/>
      <c r="F195" s="740"/>
      <c r="G195" s="740"/>
      <c r="H195" s="740"/>
    </row>
    <row r="196" spans="1:8" x14ac:dyDescent="0.3">
      <c r="A196" s="740"/>
      <c r="B196" s="740"/>
      <c r="C196" s="740"/>
      <c r="D196" s="740"/>
      <c r="E196" s="740"/>
      <c r="F196" s="740"/>
      <c r="G196" s="740"/>
      <c r="H196" s="740"/>
    </row>
    <row r="197" spans="1:8" x14ac:dyDescent="0.3">
      <c r="A197" s="740"/>
      <c r="B197" s="740"/>
      <c r="C197" s="740"/>
      <c r="D197" s="740"/>
      <c r="E197" s="740"/>
      <c r="F197" s="740"/>
      <c r="G197" s="740"/>
      <c r="H197" s="740"/>
    </row>
    <row r="198" spans="1:8" x14ac:dyDescent="0.3">
      <c r="A198" s="740"/>
      <c r="B198" s="740"/>
      <c r="C198" s="740"/>
      <c r="D198" s="740"/>
      <c r="E198" s="740"/>
      <c r="F198" s="740"/>
      <c r="G198" s="740"/>
      <c r="H198" s="740"/>
    </row>
    <row r="199" spans="1:8" x14ac:dyDescent="0.3">
      <c r="A199" s="740"/>
      <c r="B199" s="740"/>
      <c r="C199" s="740"/>
      <c r="D199" s="740"/>
      <c r="E199" s="740"/>
      <c r="F199" s="740"/>
      <c r="G199" s="740"/>
      <c r="H199" s="740"/>
    </row>
    <row r="200" spans="1:8" x14ac:dyDescent="0.3">
      <c r="A200" s="740"/>
      <c r="B200" s="740"/>
      <c r="C200" s="740"/>
      <c r="D200" s="740"/>
      <c r="E200" s="740"/>
      <c r="F200" s="740"/>
      <c r="G200" s="740"/>
      <c r="H200" s="740"/>
    </row>
    <row r="201" spans="1:8" x14ac:dyDescent="0.3">
      <c r="A201" s="740"/>
      <c r="B201" s="740"/>
      <c r="C201" s="740"/>
      <c r="D201" s="740"/>
      <c r="E201" s="740"/>
      <c r="F201" s="740"/>
      <c r="G201" s="740"/>
      <c r="H201" s="740"/>
    </row>
    <row r="202" spans="1:8" x14ac:dyDescent="0.3">
      <c r="A202" s="740"/>
      <c r="B202" s="740"/>
      <c r="C202" s="740"/>
      <c r="D202" s="740"/>
      <c r="E202" s="740"/>
      <c r="F202" s="740"/>
      <c r="G202" s="740"/>
      <c r="H202" s="740"/>
    </row>
    <row r="203" spans="1:8" x14ac:dyDescent="0.3">
      <c r="A203" s="740"/>
      <c r="B203" s="740"/>
      <c r="C203" s="740"/>
      <c r="D203" s="740"/>
      <c r="E203" s="740"/>
      <c r="F203" s="740"/>
      <c r="G203" s="740"/>
      <c r="H203" s="740"/>
    </row>
    <row r="204" spans="1:8" ht="15.55" x14ac:dyDescent="0.3">
      <c r="A204" s="742" t="s">
        <v>832</v>
      </c>
      <c r="B204" s="740"/>
      <c r="C204" s="740"/>
      <c r="D204" s="740"/>
      <c r="E204" s="740"/>
      <c r="F204" s="740"/>
      <c r="G204" s="740"/>
      <c r="H204" s="740"/>
    </row>
    <row r="205" spans="1:8" x14ac:dyDescent="0.3">
      <c r="A205" s="740"/>
      <c r="B205" s="740"/>
      <c r="C205" s="740"/>
      <c r="D205" s="740"/>
      <c r="E205" s="740"/>
      <c r="F205" s="740"/>
      <c r="G205" s="740"/>
      <c r="H205" s="740"/>
    </row>
    <row r="206" spans="1:8" x14ac:dyDescent="0.3">
      <c r="A206" s="741" t="s">
        <v>833</v>
      </c>
      <c r="B206" s="740"/>
      <c r="C206" s="740"/>
      <c r="D206" s="740"/>
      <c r="E206" s="740"/>
      <c r="F206" s="740"/>
      <c r="G206" s="740"/>
      <c r="H206" s="740"/>
    </row>
    <row r="207" spans="1:8" x14ac:dyDescent="0.3">
      <c r="A207" s="741" t="s">
        <v>834</v>
      </c>
      <c r="B207" s="740"/>
      <c r="C207" s="740"/>
      <c r="D207" s="740"/>
      <c r="E207" s="740"/>
      <c r="F207" s="740"/>
      <c r="G207" s="740"/>
      <c r="H207" s="740"/>
    </row>
    <row r="208" spans="1:8" x14ac:dyDescent="0.3">
      <c r="A208" s="741" t="s">
        <v>835</v>
      </c>
      <c r="B208" s="740"/>
      <c r="C208" s="740"/>
      <c r="D208" s="740"/>
      <c r="E208" s="740"/>
      <c r="F208" s="740"/>
      <c r="G208" s="740"/>
      <c r="H208" s="740"/>
    </row>
    <row r="209" spans="1:8" x14ac:dyDescent="0.3">
      <c r="A209" s="741" t="s">
        <v>836</v>
      </c>
      <c r="B209" s="740"/>
      <c r="C209" s="740"/>
      <c r="D209" s="740"/>
      <c r="E209" s="740"/>
      <c r="F209" s="740"/>
      <c r="G209" s="740"/>
      <c r="H209" s="740"/>
    </row>
    <row r="210" spans="1:8" x14ac:dyDescent="0.3">
      <c r="A210" s="741" t="s">
        <v>837</v>
      </c>
      <c r="B210" s="740"/>
      <c r="C210" s="740"/>
      <c r="D210" s="740"/>
      <c r="E210" s="740"/>
      <c r="F210" s="740"/>
      <c r="G210" s="740"/>
      <c r="H210" s="740"/>
    </row>
    <row r="211" spans="1:8" x14ac:dyDescent="0.3">
      <c r="A211" s="740"/>
      <c r="B211" s="740"/>
      <c r="C211" s="740"/>
      <c r="D211" s="740"/>
      <c r="E211" s="740"/>
      <c r="F211" s="740"/>
      <c r="G211" s="740"/>
      <c r="H211" s="740"/>
    </row>
    <row r="212" spans="1:8" x14ac:dyDescent="0.3">
      <c r="A212" s="741" t="s">
        <v>838</v>
      </c>
      <c r="B212" s="740"/>
      <c r="C212" s="740"/>
      <c r="D212" s="740"/>
      <c r="E212" s="740"/>
      <c r="F212" s="740"/>
      <c r="G212" s="740"/>
      <c r="H212" s="740"/>
    </row>
    <row r="213" spans="1:8" x14ac:dyDescent="0.3">
      <c r="A213" s="741" t="s">
        <v>839</v>
      </c>
      <c r="B213" s="740"/>
      <c r="C213" s="740"/>
      <c r="D213" s="740"/>
      <c r="E213" s="740"/>
      <c r="F213" s="740"/>
      <c r="G213" s="740"/>
      <c r="H213" s="740"/>
    </row>
    <row r="214" spans="1:8" x14ac:dyDescent="0.3">
      <c r="A214" s="741" t="s">
        <v>840</v>
      </c>
      <c r="B214" s="740"/>
      <c r="C214" s="740"/>
      <c r="D214" s="740"/>
      <c r="E214" s="740"/>
      <c r="F214" s="740"/>
      <c r="G214" s="740"/>
      <c r="H214" s="740"/>
    </row>
    <row r="215" spans="1:8" x14ac:dyDescent="0.3">
      <c r="A215" s="740"/>
      <c r="B215" s="740"/>
      <c r="C215" s="740"/>
      <c r="D215" s="740"/>
      <c r="E215" s="740"/>
      <c r="F215" s="740"/>
      <c r="G215" s="740"/>
      <c r="H215" s="740"/>
    </row>
    <row r="216" spans="1:8" ht="15.55" x14ac:dyDescent="0.3">
      <c r="A216" s="742" t="s">
        <v>841</v>
      </c>
      <c r="B216" s="740"/>
      <c r="C216" s="740"/>
      <c r="D216" s="740"/>
      <c r="E216" s="740"/>
      <c r="F216" s="740"/>
      <c r="G216" s="740"/>
      <c r="H216" s="740"/>
    </row>
    <row r="217" spans="1:8" x14ac:dyDescent="0.3">
      <c r="A217" s="740"/>
      <c r="B217" s="740"/>
      <c r="C217" s="740"/>
      <c r="D217" s="740"/>
      <c r="E217" s="740"/>
      <c r="F217" s="740"/>
      <c r="G217" s="740"/>
      <c r="H217" s="740"/>
    </row>
    <row r="218" spans="1:8" x14ac:dyDescent="0.3">
      <c r="A218" s="741" t="s">
        <v>842</v>
      </c>
      <c r="B218" s="740"/>
      <c r="C218" s="740"/>
      <c r="D218" s="740"/>
      <c r="E218" s="740"/>
      <c r="F218" s="740"/>
      <c r="G218" s="740"/>
      <c r="H218" s="740"/>
    </row>
    <row r="219" spans="1:8" x14ac:dyDescent="0.3">
      <c r="A219" s="741" t="s">
        <v>843</v>
      </c>
      <c r="B219" s="740"/>
      <c r="C219" s="740"/>
      <c r="D219" s="740"/>
      <c r="E219" s="740"/>
      <c r="F219" s="740"/>
      <c r="G219" s="740"/>
      <c r="H219" s="740"/>
    </row>
    <row r="220" spans="1:8" x14ac:dyDescent="0.3">
      <c r="A220" s="741" t="s">
        <v>844</v>
      </c>
      <c r="B220" s="740"/>
      <c r="C220" s="740"/>
      <c r="D220" s="740"/>
      <c r="E220" s="740"/>
      <c r="F220" s="740"/>
      <c r="G220" s="740"/>
      <c r="H220" s="740"/>
    </row>
    <row r="221" spans="1:8" x14ac:dyDescent="0.3">
      <c r="A221" s="741" t="s">
        <v>845</v>
      </c>
      <c r="B221" s="740"/>
      <c r="C221" s="740"/>
      <c r="D221" s="740"/>
      <c r="E221" s="740"/>
      <c r="F221" s="740"/>
      <c r="G221" s="740"/>
      <c r="H221" s="740"/>
    </row>
    <row r="222" spans="1:8" x14ac:dyDescent="0.3">
      <c r="A222" s="741" t="s">
        <v>846</v>
      </c>
      <c r="B222" s="740"/>
      <c r="C222" s="740"/>
      <c r="D222" s="740"/>
      <c r="E222" s="740"/>
      <c r="F222" s="740"/>
      <c r="G222" s="740"/>
      <c r="H222" s="740"/>
    </row>
    <row r="223" spans="1:8" x14ac:dyDescent="0.3">
      <c r="A223" s="741" t="s">
        <v>847</v>
      </c>
      <c r="B223" s="740"/>
      <c r="C223" s="740"/>
      <c r="D223" s="740"/>
      <c r="E223" s="740"/>
      <c r="F223" s="740"/>
      <c r="G223" s="740"/>
      <c r="H223" s="740"/>
    </row>
    <row r="224" spans="1:8" x14ac:dyDescent="0.3">
      <c r="A224" s="741" t="s">
        <v>848</v>
      </c>
      <c r="B224" s="740"/>
      <c r="C224" s="740"/>
      <c r="D224" s="740"/>
      <c r="E224" s="740"/>
      <c r="F224" s="740"/>
      <c r="G224" s="740"/>
      <c r="H224" s="740"/>
    </row>
    <row r="225" spans="1:8" x14ac:dyDescent="0.3">
      <c r="A225" s="740"/>
      <c r="B225" s="740"/>
      <c r="C225" s="740"/>
      <c r="D225" s="740"/>
      <c r="E225" s="740"/>
      <c r="F225" s="740"/>
      <c r="G225" s="740"/>
      <c r="H225" s="740"/>
    </row>
    <row r="226" spans="1:8" x14ac:dyDescent="0.3">
      <c r="A226" s="741" t="s">
        <v>849</v>
      </c>
      <c r="B226" s="740"/>
      <c r="C226" s="740"/>
      <c r="D226" s="740"/>
      <c r="E226" s="740"/>
      <c r="F226" s="740"/>
      <c r="G226" s="740"/>
      <c r="H226" s="740"/>
    </row>
    <row r="227" spans="1:8" x14ac:dyDescent="0.3">
      <c r="A227" s="741" t="s">
        <v>850</v>
      </c>
      <c r="B227" s="740"/>
      <c r="C227" s="740"/>
      <c r="D227" s="740"/>
      <c r="E227" s="740"/>
      <c r="F227" s="740"/>
      <c r="G227" s="740"/>
      <c r="H227" s="740"/>
    </row>
    <row r="228" spans="1:8" x14ac:dyDescent="0.3">
      <c r="A228" s="741" t="s">
        <v>851</v>
      </c>
      <c r="B228" s="740"/>
      <c r="C228" s="740"/>
      <c r="D228" s="740"/>
      <c r="E228" s="740"/>
      <c r="F228" s="740"/>
      <c r="G228" s="740"/>
      <c r="H228" s="740"/>
    </row>
    <row r="229" spans="1:8" x14ac:dyDescent="0.3">
      <c r="A229" s="740"/>
      <c r="B229" s="740"/>
      <c r="C229" s="740"/>
      <c r="D229" s="740"/>
      <c r="E229" s="740"/>
      <c r="F229" s="740"/>
      <c r="G229" s="740"/>
      <c r="H229" s="740"/>
    </row>
    <row r="230" spans="1:8" x14ac:dyDescent="0.3">
      <c r="A230" s="741" t="s">
        <v>852</v>
      </c>
      <c r="B230" s="740"/>
      <c r="C230" s="740"/>
      <c r="D230" s="740"/>
      <c r="E230" s="740"/>
      <c r="F230" s="740"/>
      <c r="G230" s="740"/>
      <c r="H230" s="740"/>
    </row>
    <row r="231" spans="1:8" x14ac:dyDescent="0.3">
      <c r="A231" s="741" t="s">
        <v>853</v>
      </c>
      <c r="B231" s="740"/>
      <c r="C231" s="740"/>
      <c r="D231" s="740"/>
      <c r="E231" s="740"/>
      <c r="F231" s="740"/>
      <c r="G231" s="740"/>
      <c r="H231" s="740"/>
    </row>
    <row r="232" spans="1:8" x14ac:dyDescent="0.3">
      <c r="A232" s="741" t="s">
        <v>854</v>
      </c>
      <c r="B232" s="740"/>
      <c r="C232" s="740"/>
      <c r="D232" s="740"/>
      <c r="E232" s="740"/>
      <c r="F232" s="740"/>
      <c r="G232" s="740"/>
      <c r="H232" s="740"/>
    </row>
    <row r="233" spans="1:8" x14ac:dyDescent="0.3">
      <c r="A233" s="741" t="s">
        <v>855</v>
      </c>
      <c r="B233" s="740"/>
      <c r="C233" s="740"/>
      <c r="D233" s="740"/>
      <c r="E233" s="740"/>
      <c r="F233" s="740"/>
      <c r="G233" s="740"/>
      <c r="H233" s="740"/>
    </row>
    <row r="234" spans="1:8" x14ac:dyDescent="0.3">
      <c r="A234" s="741" t="s">
        <v>856</v>
      </c>
      <c r="B234" s="740"/>
      <c r="C234" s="740"/>
      <c r="D234" s="740"/>
      <c r="E234" s="740"/>
      <c r="F234" s="740"/>
      <c r="G234" s="740"/>
      <c r="H234" s="740"/>
    </row>
    <row r="235" spans="1:8" x14ac:dyDescent="0.3">
      <c r="A235" s="740"/>
      <c r="B235" s="740"/>
      <c r="C235" s="740"/>
      <c r="D235" s="740"/>
      <c r="E235" s="740"/>
      <c r="F235" s="740"/>
      <c r="G235" s="740"/>
      <c r="H235" s="740"/>
    </row>
    <row r="236" spans="1:8" x14ac:dyDescent="0.3">
      <c r="A236" s="741" t="s">
        <v>857</v>
      </c>
      <c r="B236" s="740"/>
      <c r="C236" s="740"/>
      <c r="D236" s="740"/>
      <c r="E236" s="740"/>
      <c r="F236" s="740"/>
      <c r="G236" s="740"/>
      <c r="H236" s="740"/>
    </row>
    <row r="237" spans="1:8" x14ac:dyDescent="0.3">
      <c r="A237" s="741" t="s">
        <v>858</v>
      </c>
      <c r="B237" s="740"/>
      <c r="C237" s="740"/>
      <c r="D237" s="740"/>
      <c r="E237" s="740"/>
      <c r="F237" s="740"/>
      <c r="G237" s="740"/>
      <c r="H237" s="740"/>
    </row>
    <row r="238" spans="1:8" x14ac:dyDescent="0.3">
      <c r="A238" s="741" t="s">
        <v>859</v>
      </c>
      <c r="B238" s="740"/>
      <c r="C238" s="740"/>
      <c r="D238" s="740"/>
      <c r="E238" s="740"/>
      <c r="F238" s="740"/>
      <c r="G238" s="740"/>
      <c r="H238" s="740"/>
    </row>
    <row r="239" spans="1:8" x14ac:dyDescent="0.3">
      <c r="A239" s="741" t="s">
        <v>860</v>
      </c>
      <c r="B239" s="740"/>
      <c r="C239" s="740"/>
      <c r="D239" s="740"/>
      <c r="E239" s="740"/>
      <c r="F239" s="740"/>
      <c r="G239" s="740"/>
      <c r="H239" s="740"/>
    </row>
    <row r="240" spans="1:8" x14ac:dyDescent="0.3">
      <c r="A240" s="741" t="s">
        <v>861</v>
      </c>
      <c r="B240" s="740"/>
      <c r="C240" s="740"/>
      <c r="D240" s="740"/>
      <c r="E240" s="740"/>
      <c r="F240" s="740"/>
      <c r="G240" s="740"/>
      <c r="H240" s="740"/>
    </row>
    <row r="241" spans="1:8" x14ac:dyDescent="0.3">
      <c r="A241" s="741" t="s">
        <v>862</v>
      </c>
      <c r="B241" s="740"/>
      <c r="C241" s="740"/>
      <c r="D241" s="740"/>
      <c r="E241" s="740"/>
      <c r="F241" s="740"/>
      <c r="G241" s="740"/>
      <c r="H241" s="740"/>
    </row>
    <row r="242" spans="1:8" x14ac:dyDescent="0.3">
      <c r="A242" s="740"/>
      <c r="B242" s="740"/>
      <c r="C242" s="740"/>
      <c r="D242" s="740"/>
      <c r="E242" s="740"/>
      <c r="F242" s="740"/>
      <c r="G242" s="740"/>
      <c r="H242" s="740"/>
    </row>
    <row r="243" spans="1:8" x14ac:dyDescent="0.3">
      <c r="A243" s="741" t="s">
        <v>863</v>
      </c>
      <c r="B243" s="740"/>
      <c r="C243" s="740"/>
      <c r="D243" s="740"/>
      <c r="E243" s="740"/>
      <c r="F243" s="740"/>
      <c r="G243" s="740"/>
      <c r="H243" s="740"/>
    </row>
    <row r="244" spans="1:8" x14ac:dyDescent="0.3">
      <c r="A244" s="741" t="s">
        <v>864</v>
      </c>
      <c r="B244" s="740"/>
      <c r="C244" s="740"/>
      <c r="D244" s="740"/>
      <c r="E244" s="740"/>
      <c r="F244" s="740"/>
      <c r="G244" s="740"/>
      <c r="H244" s="740"/>
    </row>
    <row r="245" spans="1:8" x14ac:dyDescent="0.3">
      <c r="A245" s="741" t="s">
        <v>865</v>
      </c>
      <c r="B245" s="740"/>
      <c r="C245" s="740"/>
      <c r="D245" s="740"/>
      <c r="E245" s="740"/>
      <c r="F245" s="740"/>
      <c r="G245" s="740"/>
      <c r="H245" s="740"/>
    </row>
    <row r="246" spans="1:8" x14ac:dyDescent="0.3">
      <c r="A246" s="741" t="s">
        <v>866</v>
      </c>
      <c r="B246" s="740"/>
      <c r="C246" s="740"/>
      <c r="D246" s="740"/>
      <c r="E246" s="740"/>
      <c r="F246" s="740"/>
      <c r="G246" s="740"/>
      <c r="H246" s="740"/>
    </row>
    <row r="247" spans="1:8" x14ac:dyDescent="0.3">
      <c r="A247" s="741" t="s">
        <v>867</v>
      </c>
      <c r="B247" s="740"/>
      <c r="C247" s="740"/>
      <c r="D247" s="740"/>
      <c r="E247" s="740"/>
      <c r="F247" s="740"/>
      <c r="G247" s="740"/>
      <c r="H247" s="740"/>
    </row>
    <row r="248" spans="1:8" x14ac:dyDescent="0.3">
      <c r="A248" s="741" t="s">
        <v>868</v>
      </c>
      <c r="B248" s="740"/>
      <c r="C248" s="740"/>
      <c r="D248" s="740"/>
      <c r="E248" s="740"/>
      <c r="F248" s="740"/>
      <c r="G248" s="740"/>
      <c r="H248" s="740"/>
    </row>
    <row r="249" spans="1:8" x14ac:dyDescent="0.3">
      <c r="A249" s="741" t="s">
        <v>869</v>
      </c>
      <c r="B249" s="740"/>
      <c r="C249" s="740"/>
      <c r="D249" s="740"/>
      <c r="E249" s="740"/>
      <c r="F249" s="740"/>
      <c r="G249" s="740"/>
      <c r="H249" s="740"/>
    </row>
    <row r="250" spans="1:8" x14ac:dyDescent="0.3">
      <c r="A250" s="741" t="s">
        <v>870</v>
      </c>
      <c r="B250" s="740"/>
      <c r="C250" s="740"/>
      <c r="D250" s="740"/>
      <c r="E250" s="740"/>
      <c r="F250" s="740"/>
      <c r="G250" s="740"/>
      <c r="H250" s="740"/>
    </row>
    <row r="251" spans="1:8" x14ac:dyDescent="0.3">
      <c r="A251" s="741" t="s">
        <v>871</v>
      </c>
      <c r="B251" s="740"/>
      <c r="C251" s="740"/>
      <c r="D251" s="740"/>
      <c r="E251" s="740"/>
      <c r="F251" s="740"/>
      <c r="G251" s="740"/>
      <c r="H251" s="740"/>
    </row>
    <row r="252" spans="1:8" x14ac:dyDescent="0.3">
      <c r="A252" s="741" t="s">
        <v>872</v>
      </c>
      <c r="B252" s="740"/>
      <c r="C252" s="740"/>
      <c r="D252" s="740"/>
      <c r="E252" s="740"/>
      <c r="F252" s="740"/>
      <c r="G252" s="740"/>
      <c r="H252" s="740"/>
    </row>
    <row r="253" spans="1:8" x14ac:dyDescent="0.3">
      <c r="A253" s="741" t="s">
        <v>873</v>
      </c>
      <c r="B253" s="740"/>
      <c r="C253" s="740"/>
      <c r="D253" s="740"/>
      <c r="E253" s="740"/>
      <c r="F253" s="740"/>
      <c r="G253" s="740"/>
      <c r="H253" s="740"/>
    </row>
    <row r="254" spans="1:8" x14ac:dyDescent="0.3">
      <c r="A254" s="741" t="s">
        <v>874</v>
      </c>
      <c r="B254" s="740"/>
      <c r="C254" s="740"/>
      <c r="D254" s="740"/>
      <c r="E254" s="740"/>
      <c r="F254" s="740"/>
      <c r="G254" s="740"/>
      <c r="H254" s="740"/>
    </row>
    <row r="255" spans="1:8" x14ac:dyDescent="0.3">
      <c r="A255" s="741" t="s">
        <v>875</v>
      </c>
      <c r="B255" s="740"/>
      <c r="C255" s="740"/>
      <c r="D255" s="740"/>
      <c r="E255" s="740"/>
      <c r="F255" s="740"/>
      <c r="G255" s="740"/>
      <c r="H255" s="740"/>
    </row>
    <row r="256" spans="1:8" x14ac:dyDescent="0.3">
      <c r="A256" s="741" t="s">
        <v>876</v>
      </c>
      <c r="B256" s="740"/>
      <c r="C256" s="740"/>
      <c r="D256" s="740"/>
      <c r="E256" s="740"/>
      <c r="F256" s="740"/>
      <c r="G256" s="740"/>
      <c r="H256" s="740"/>
    </row>
    <row r="257" spans="1:8" x14ac:dyDescent="0.3">
      <c r="A257" s="740"/>
      <c r="B257" s="740"/>
      <c r="C257" s="740"/>
      <c r="D257" s="740"/>
      <c r="E257" s="740"/>
      <c r="F257" s="740"/>
      <c r="G257" s="740"/>
      <c r="H257" s="740"/>
    </row>
    <row r="258" spans="1:8" x14ac:dyDescent="0.3">
      <c r="A258" s="741" t="s">
        <v>877</v>
      </c>
      <c r="B258" s="740"/>
      <c r="C258" s="740"/>
      <c r="D258" s="740"/>
      <c r="E258" s="740"/>
      <c r="F258" s="740"/>
      <c r="G258" s="740"/>
      <c r="H258" s="740"/>
    </row>
    <row r="259" spans="1:8" x14ac:dyDescent="0.3">
      <c r="A259" s="741" t="s">
        <v>878</v>
      </c>
      <c r="B259" s="740"/>
      <c r="C259" s="740"/>
      <c r="D259" s="740"/>
      <c r="E259" s="740"/>
      <c r="F259" s="740"/>
      <c r="G259" s="740"/>
      <c r="H259" s="740"/>
    </row>
    <row r="260" spans="1:8" x14ac:dyDescent="0.3">
      <c r="A260" s="740"/>
      <c r="B260" s="740"/>
      <c r="C260" s="740"/>
      <c r="D260" s="740"/>
      <c r="E260" s="740"/>
      <c r="F260" s="740"/>
      <c r="G260" s="740"/>
      <c r="H260" s="740"/>
    </row>
    <row r="261" spans="1:8" x14ac:dyDescent="0.3">
      <c r="A261" s="741" t="s">
        <v>879</v>
      </c>
      <c r="B261" s="740"/>
      <c r="C261" s="740"/>
      <c r="D261" s="740"/>
      <c r="E261" s="740"/>
      <c r="F261" s="740"/>
      <c r="G261" s="740"/>
      <c r="H261" s="740"/>
    </row>
    <row r="262" spans="1:8" x14ac:dyDescent="0.3">
      <c r="A262" s="741" t="s">
        <v>880</v>
      </c>
      <c r="B262" s="740"/>
      <c r="C262" s="740"/>
      <c r="D262" s="740"/>
      <c r="E262" s="740"/>
      <c r="F262" s="740"/>
      <c r="G262" s="740"/>
      <c r="H262" s="740"/>
    </row>
    <row r="263" spans="1:8" x14ac:dyDescent="0.3">
      <c r="A263" s="741" t="s">
        <v>881</v>
      </c>
      <c r="B263" s="740"/>
      <c r="C263" s="740"/>
      <c r="D263" s="740"/>
      <c r="E263" s="740"/>
      <c r="F263" s="740"/>
      <c r="G263" s="740"/>
      <c r="H263" s="740"/>
    </row>
    <row r="264" spans="1:8" x14ac:dyDescent="0.3">
      <c r="A264" s="741" t="s">
        <v>882</v>
      </c>
      <c r="B264" s="740"/>
      <c r="C264" s="740"/>
      <c r="D264" s="740"/>
      <c r="E264" s="740"/>
      <c r="F264" s="740"/>
      <c r="G264" s="740"/>
      <c r="H264" s="740"/>
    </row>
    <row r="265" spans="1:8" x14ac:dyDescent="0.3">
      <c r="A265" s="741" t="s">
        <v>883</v>
      </c>
      <c r="B265" s="740"/>
      <c r="C265" s="740"/>
      <c r="D265" s="740"/>
      <c r="E265" s="740"/>
      <c r="F265" s="740"/>
      <c r="G265" s="740"/>
      <c r="H265" s="740"/>
    </row>
    <row r="266" spans="1:8" x14ac:dyDescent="0.3">
      <c r="A266" s="741" t="s">
        <v>884</v>
      </c>
      <c r="B266" s="740"/>
      <c r="C266" s="740"/>
      <c r="D266" s="740"/>
      <c r="E266" s="740"/>
      <c r="F266" s="740"/>
      <c r="G266" s="740"/>
      <c r="H266" s="740"/>
    </row>
    <row r="267" spans="1:8" x14ac:dyDescent="0.3">
      <c r="A267" s="741" t="s">
        <v>885</v>
      </c>
      <c r="B267" s="740"/>
      <c r="C267" s="740"/>
      <c r="D267" s="740"/>
      <c r="E267" s="740"/>
      <c r="F267" s="740"/>
      <c r="G267" s="740"/>
      <c r="H267" s="740"/>
    </row>
    <row r="268" spans="1:8" x14ac:dyDescent="0.3">
      <c r="A268" s="741" t="s">
        <v>886</v>
      </c>
      <c r="B268" s="740"/>
      <c r="C268" s="740"/>
      <c r="D268" s="740"/>
      <c r="E268" s="740"/>
      <c r="F268" s="740"/>
      <c r="G268" s="740"/>
      <c r="H268" s="740"/>
    </row>
    <row r="269" spans="1:8" x14ac:dyDescent="0.3">
      <c r="A269" s="741" t="s">
        <v>887</v>
      </c>
      <c r="B269" s="740"/>
      <c r="C269" s="740"/>
      <c r="D269" s="740"/>
      <c r="E269" s="740"/>
      <c r="F269" s="740"/>
      <c r="G269" s="740"/>
      <c r="H269" s="740"/>
    </row>
    <row r="270" spans="1:8" x14ac:dyDescent="0.3">
      <c r="A270" s="741" t="s">
        <v>888</v>
      </c>
      <c r="B270" s="740"/>
      <c r="C270" s="740"/>
      <c r="D270" s="740"/>
      <c r="E270" s="740"/>
      <c r="F270" s="740"/>
      <c r="G270" s="740"/>
      <c r="H270" s="740"/>
    </row>
    <row r="271" spans="1:8" x14ac:dyDescent="0.3">
      <c r="A271" s="741" t="s">
        <v>889</v>
      </c>
      <c r="B271" s="740"/>
      <c r="C271" s="740"/>
      <c r="D271" s="740"/>
      <c r="E271" s="740"/>
      <c r="F271" s="740"/>
      <c r="G271" s="740"/>
      <c r="H271" s="740"/>
    </row>
    <row r="272" spans="1:8" x14ac:dyDescent="0.3">
      <c r="A272" s="741" t="s">
        <v>890</v>
      </c>
      <c r="B272" s="740"/>
      <c r="C272" s="740"/>
      <c r="D272" s="740"/>
      <c r="E272" s="740"/>
      <c r="F272" s="740"/>
      <c r="G272" s="740"/>
      <c r="H272" s="740"/>
    </row>
    <row r="273" spans="1:8" x14ac:dyDescent="0.3">
      <c r="A273" s="741" t="s">
        <v>891</v>
      </c>
      <c r="B273" s="740"/>
      <c r="C273" s="740"/>
      <c r="D273" s="740"/>
      <c r="E273" s="740"/>
      <c r="F273" s="740"/>
      <c r="G273" s="740"/>
      <c r="H273" s="740"/>
    </row>
    <row r="274" spans="1:8" x14ac:dyDescent="0.3">
      <c r="A274" s="741" t="s">
        <v>892</v>
      </c>
      <c r="B274" s="740"/>
      <c r="C274" s="740"/>
      <c r="D274" s="740"/>
      <c r="E274" s="740"/>
      <c r="F274" s="740"/>
      <c r="G274" s="740"/>
      <c r="H274" s="740"/>
    </row>
    <row r="275" spans="1:8" x14ac:dyDescent="0.3">
      <c r="A275" s="741" t="s">
        <v>893</v>
      </c>
      <c r="B275" s="740"/>
      <c r="C275" s="740"/>
      <c r="D275" s="740"/>
      <c r="E275" s="740"/>
      <c r="F275" s="740"/>
      <c r="G275" s="740"/>
      <c r="H275" s="740"/>
    </row>
    <row r="276" spans="1:8" x14ac:dyDescent="0.3">
      <c r="A276" s="741" t="s">
        <v>894</v>
      </c>
      <c r="B276" s="740"/>
      <c r="C276" s="740"/>
      <c r="D276" s="740"/>
      <c r="E276" s="740"/>
      <c r="F276" s="740"/>
      <c r="G276" s="740"/>
      <c r="H276" s="740"/>
    </row>
    <row r="277" spans="1:8" x14ac:dyDescent="0.3">
      <c r="A277" s="740"/>
      <c r="B277" s="740"/>
      <c r="C277" s="740"/>
      <c r="D277" s="740"/>
      <c r="E277" s="740"/>
      <c r="F277" s="740"/>
      <c r="G277" s="740"/>
      <c r="H277" s="740"/>
    </row>
    <row r="278" spans="1:8" x14ac:dyDescent="0.3">
      <c r="A278" s="741" t="s">
        <v>895</v>
      </c>
      <c r="B278" s="740"/>
      <c r="C278" s="740"/>
      <c r="D278" s="740"/>
      <c r="E278" s="740"/>
      <c r="F278" s="740"/>
      <c r="G278" s="740"/>
      <c r="H278" s="740"/>
    </row>
    <row r="279" spans="1:8" x14ac:dyDescent="0.3">
      <c r="A279" s="741" t="s">
        <v>896</v>
      </c>
      <c r="B279" s="740"/>
      <c r="C279" s="740"/>
      <c r="D279" s="740"/>
      <c r="E279" s="740"/>
      <c r="F279" s="740"/>
      <c r="G279" s="740"/>
      <c r="H279" s="740"/>
    </row>
    <row r="280" spans="1:8" x14ac:dyDescent="0.3">
      <c r="A280" s="741" t="s">
        <v>897</v>
      </c>
      <c r="B280" s="740"/>
      <c r="C280" s="740"/>
      <c r="D280" s="740"/>
      <c r="E280" s="740"/>
      <c r="F280" s="740"/>
      <c r="G280" s="740"/>
      <c r="H280" s="740"/>
    </row>
    <row r="281" spans="1:8" x14ac:dyDescent="0.3">
      <c r="A281" s="741" t="s">
        <v>898</v>
      </c>
      <c r="B281" s="740"/>
      <c r="C281" s="740"/>
      <c r="D281" s="740"/>
      <c r="E281" s="740"/>
      <c r="F281" s="740"/>
      <c r="G281" s="740"/>
      <c r="H281" s="740"/>
    </row>
    <row r="282" spans="1:8" x14ac:dyDescent="0.3">
      <c r="A282" s="741" t="s">
        <v>899</v>
      </c>
      <c r="B282" s="740"/>
      <c r="C282" s="740"/>
      <c r="D282" s="740"/>
      <c r="E282" s="740"/>
      <c r="F282" s="740"/>
      <c r="G282" s="740"/>
      <c r="H282" s="740"/>
    </row>
    <row r="283" spans="1:8" x14ac:dyDescent="0.3">
      <c r="A283" s="741" t="s">
        <v>900</v>
      </c>
      <c r="B283" s="740"/>
      <c r="C283" s="740"/>
      <c r="D283" s="740"/>
      <c r="E283" s="740"/>
      <c r="F283" s="740"/>
      <c r="G283" s="740"/>
      <c r="H283" s="740"/>
    </row>
    <row r="284" spans="1:8" x14ac:dyDescent="0.3">
      <c r="A284" s="741" t="s">
        <v>759</v>
      </c>
      <c r="B284" s="740"/>
      <c r="C284" s="740"/>
      <c r="D284" s="740"/>
      <c r="E284" s="740"/>
      <c r="F284" s="740"/>
      <c r="G284" s="740"/>
      <c r="H284" s="740"/>
    </row>
    <row r="285" spans="1:8" x14ac:dyDescent="0.3">
      <c r="A285" s="740"/>
      <c r="B285" s="740"/>
      <c r="C285" s="740"/>
      <c r="D285" s="740"/>
      <c r="E285" s="740"/>
      <c r="F285" s="740"/>
      <c r="G285" s="740"/>
      <c r="H285" s="740"/>
    </row>
    <row r="286" spans="1:8" x14ac:dyDescent="0.3">
      <c r="A286" s="741" t="s">
        <v>901</v>
      </c>
      <c r="B286" s="740"/>
      <c r="C286" s="740"/>
      <c r="D286" s="740"/>
      <c r="E286" s="740"/>
      <c r="F286" s="740"/>
      <c r="G286" s="740"/>
      <c r="H286" s="740"/>
    </row>
    <row r="287" spans="1:8" x14ac:dyDescent="0.3">
      <c r="A287" s="741" t="s">
        <v>902</v>
      </c>
      <c r="B287" s="740"/>
      <c r="C287" s="740"/>
      <c r="D287" s="740"/>
      <c r="E287" s="740"/>
      <c r="F287" s="740"/>
      <c r="G287" s="740"/>
      <c r="H287" s="740"/>
    </row>
    <row r="288" spans="1:8" x14ac:dyDescent="0.3">
      <c r="A288" s="741" t="s">
        <v>903</v>
      </c>
      <c r="B288" s="740"/>
      <c r="C288" s="740"/>
      <c r="D288" s="740"/>
      <c r="E288" s="740"/>
      <c r="F288" s="740"/>
      <c r="G288" s="740"/>
      <c r="H288" s="740"/>
    </row>
    <row r="289" spans="1:8" x14ac:dyDescent="0.3">
      <c r="A289" s="741" t="s">
        <v>904</v>
      </c>
      <c r="B289" s="740"/>
      <c r="C289" s="740"/>
      <c r="D289" s="740"/>
      <c r="E289" s="740"/>
      <c r="F289" s="740"/>
      <c r="G289" s="740"/>
      <c r="H289" s="740"/>
    </row>
    <row r="290" spans="1:8" x14ac:dyDescent="0.3">
      <c r="A290" s="741" t="s">
        <v>905</v>
      </c>
      <c r="B290" s="740"/>
      <c r="C290" s="740"/>
      <c r="D290" s="740"/>
      <c r="E290" s="740"/>
      <c r="F290" s="740"/>
      <c r="G290" s="740"/>
      <c r="H290" s="740"/>
    </row>
    <row r="291" spans="1:8" x14ac:dyDescent="0.3">
      <c r="A291" s="741" t="s">
        <v>906</v>
      </c>
      <c r="B291" s="740"/>
      <c r="C291" s="740"/>
      <c r="D291" s="740"/>
      <c r="E291" s="740"/>
      <c r="F291" s="740"/>
      <c r="G291" s="740"/>
      <c r="H291" s="740"/>
    </row>
    <row r="292" spans="1:8" x14ac:dyDescent="0.3">
      <c r="A292" s="741" t="s">
        <v>907</v>
      </c>
      <c r="B292" s="740"/>
      <c r="C292" s="740"/>
      <c r="D292" s="740"/>
      <c r="E292" s="740"/>
      <c r="F292" s="740"/>
      <c r="G292" s="740"/>
      <c r="H292" s="740"/>
    </row>
    <row r="293" spans="1:8" x14ac:dyDescent="0.3">
      <c r="A293" s="741" t="s">
        <v>908</v>
      </c>
      <c r="B293" s="740"/>
      <c r="C293" s="740"/>
      <c r="D293" s="740"/>
      <c r="E293" s="740"/>
      <c r="F293" s="740"/>
      <c r="G293" s="740"/>
      <c r="H293" s="740"/>
    </row>
    <row r="294" spans="1:8" x14ac:dyDescent="0.3">
      <c r="A294" s="741" t="s">
        <v>909</v>
      </c>
      <c r="B294" s="740"/>
      <c r="C294" s="740"/>
      <c r="D294" s="740"/>
      <c r="E294" s="740"/>
      <c r="F294" s="740"/>
      <c r="G294" s="740"/>
      <c r="H294" s="740"/>
    </row>
    <row r="295" spans="1:8" x14ac:dyDescent="0.3">
      <c r="A295" s="740"/>
      <c r="B295" s="740"/>
      <c r="C295" s="740"/>
      <c r="D295" s="740"/>
      <c r="E295" s="740"/>
      <c r="F295" s="740"/>
      <c r="G295" s="740"/>
      <c r="H295" s="740"/>
    </row>
    <row r="296" spans="1:8" x14ac:dyDescent="0.3">
      <c r="A296" s="741" t="s">
        <v>910</v>
      </c>
      <c r="B296" s="740"/>
      <c r="C296" s="740"/>
      <c r="D296" s="740"/>
      <c r="E296" s="740"/>
      <c r="F296" s="740"/>
      <c r="G296" s="740"/>
      <c r="H296" s="740"/>
    </row>
    <row r="297" spans="1:8" x14ac:dyDescent="0.3">
      <c r="A297" s="741" t="s">
        <v>911</v>
      </c>
      <c r="B297" s="740"/>
      <c r="C297" s="740"/>
      <c r="D297" s="740"/>
      <c r="E297" s="740"/>
      <c r="F297" s="740"/>
      <c r="G297" s="740"/>
      <c r="H297" s="740"/>
    </row>
    <row r="298" spans="1:8" x14ac:dyDescent="0.3">
      <c r="A298" s="741" t="s">
        <v>912</v>
      </c>
      <c r="B298" s="740"/>
      <c r="C298" s="740"/>
      <c r="D298" s="740"/>
      <c r="E298" s="740"/>
      <c r="F298" s="740"/>
      <c r="G298" s="740"/>
      <c r="H298" s="740"/>
    </row>
    <row r="299" spans="1:8" x14ac:dyDescent="0.3">
      <c r="A299" s="741" t="s">
        <v>913</v>
      </c>
      <c r="B299" s="740"/>
      <c r="C299" s="740"/>
      <c r="D299" s="740"/>
      <c r="E299" s="740"/>
      <c r="F299" s="740"/>
      <c r="G299" s="740"/>
      <c r="H299" s="740"/>
    </row>
    <row r="300" spans="1:8" x14ac:dyDescent="0.3">
      <c r="A300" s="741" t="s">
        <v>914</v>
      </c>
      <c r="B300" s="740"/>
      <c r="C300" s="740"/>
      <c r="D300" s="740"/>
      <c r="E300" s="740"/>
      <c r="F300" s="740"/>
      <c r="G300" s="740"/>
      <c r="H300" s="740"/>
    </row>
    <row r="301" spans="1:8" x14ac:dyDescent="0.3">
      <c r="A301" s="741" t="s">
        <v>915</v>
      </c>
      <c r="B301" s="740"/>
      <c r="C301" s="740"/>
      <c r="D301" s="740"/>
      <c r="E301" s="740"/>
      <c r="F301" s="740"/>
      <c r="G301" s="740"/>
      <c r="H301" s="740"/>
    </row>
    <row r="302" spans="1:8" x14ac:dyDescent="0.3">
      <c r="A302" s="741" t="s">
        <v>916</v>
      </c>
      <c r="B302" s="740"/>
      <c r="C302" s="740"/>
      <c r="D302" s="740"/>
      <c r="E302" s="740"/>
      <c r="F302" s="740"/>
      <c r="G302" s="740"/>
      <c r="H302" s="740"/>
    </row>
    <row r="303" spans="1:8" x14ac:dyDescent="0.3">
      <c r="A303" s="740"/>
      <c r="B303" s="740"/>
      <c r="C303" s="740"/>
      <c r="D303" s="740"/>
      <c r="E303" s="740"/>
      <c r="F303" s="740"/>
      <c r="G303" s="740"/>
      <c r="H303" s="740"/>
    </row>
    <row r="304" spans="1:8" x14ac:dyDescent="0.3">
      <c r="A304" s="741" t="s">
        <v>917</v>
      </c>
      <c r="B304" s="740"/>
      <c r="C304" s="740"/>
      <c r="D304" s="740"/>
      <c r="E304" s="740"/>
      <c r="F304" s="740"/>
      <c r="G304" s="740"/>
      <c r="H304" s="740"/>
    </row>
    <row r="305" spans="1:8" x14ac:dyDescent="0.3">
      <c r="A305" s="741" t="s">
        <v>918</v>
      </c>
      <c r="B305" s="740"/>
      <c r="C305" s="740"/>
      <c r="D305" s="740"/>
      <c r="E305" s="740"/>
      <c r="F305" s="740"/>
      <c r="G305" s="740"/>
      <c r="H305" s="740"/>
    </row>
    <row r="306" spans="1:8" x14ac:dyDescent="0.3">
      <c r="A306" s="741" t="s">
        <v>919</v>
      </c>
      <c r="B306" s="740"/>
      <c r="C306" s="740"/>
      <c r="D306" s="740"/>
      <c r="E306" s="740"/>
      <c r="F306" s="740"/>
      <c r="G306" s="740"/>
      <c r="H306" s="740"/>
    </row>
    <row r="307" spans="1:8" x14ac:dyDescent="0.3">
      <c r="A307" s="740"/>
      <c r="B307" s="740"/>
      <c r="C307" s="740"/>
      <c r="D307" s="740"/>
      <c r="E307" s="740"/>
      <c r="F307" s="740"/>
      <c r="G307" s="740"/>
      <c r="H307" s="740"/>
    </row>
    <row r="308" spans="1:8" x14ac:dyDescent="0.3">
      <c r="A308" s="741" t="s">
        <v>920</v>
      </c>
      <c r="B308" s="740"/>
      <c r="C308" s="740"/>
      <c r="D308" s="740"/>
      <c r="E308" s="740"/>
      <c r="F308" s="740"/>
      <c r="G308" s="740"/>
      <c r="H308" s="740"/>
    </row>
    <row r="309" spans="1:8" x14ac:dyDescent="0.3">
      <c r="A309" s="741" t="s">
        <v>921</v>
      </c>
      <c r="B309" s="740"/>
      <c r="C309" s="740"/>
      <c r="D309" s="740"/>
      <c r="E309" s="740"/>
      <c r="F309" s="740"/>
      <c r="G309" s="740"/>
      <c r="H309" s="740"/>
    </row>
    <row r="310" spans="1:8" x14ac:dyDescent="0.3">
      <c r="A310" s="740"/>
      <c r="B310" s="740"/>
      <c r="C310" s="740"/>
      <c r="D310" s="740"/>
      <c r="E310" s="740"/>
      <c r="F310" s="740"/>
      <c r="G310" s="740"/>
      <c r="H310" s="740"/>
    </row>
    <row r="311" spans="1:8" x14ac:dyDescent="0.3">
      <c r="A311" s="741" t="s">
        <v>922</v>
      </c>
      <c r="B311" s="740"/>
      <c r="C311" s="740"/>
      <c r="D311" s="740"/>
      <c r="E311" s="740"/>
      <c r="F311" s="740"/>
      <c r="G311" s="740"/>
      <c r="H311" s="740"/>
    </row>
    <row r="312" spans="1:8" x14ac:dyDescent="0.3">
      <c r="A312" s="741" t="s">
        <v>923</v>
      </c>
      <c r="B312" s="740"/>
      <c r="C312" s="740"/>
      <c r="D312" s="740"/>
      <c r="E312" s="740"/>
      <c r="F312" s="740"/>
      <c r="G312" s="740"/>
      <c r="H312" s="740"/>
    </row>
    <row r="313" spans="1:8" x14ac:dyDescent="0.3">
      <c r="A313" s="741" t="s">
        <v>924</v>
      </c>
      <c r="B313" s="740"/>
      <c r="C313" s="740"/>
      <c r="D313" s="740"/>
      <c r="E313" s="740"/>
      <c r="F313" s="740"/>
      <c r="G313" s="740"/>
      <c r="H313" s="740"/>
    </row>
    <row r="314" spans="1:8" x14ac:dyDescent="0.3">
      <c r="A314" s="741" t="s">
        <v>925</v>
      </c>
      <c r="B314" s="740"/>
      <c r="C314" s="740"/>
      <c r="D314" s="740"/>
      <c r="E314" s="740"/>
      <c r="F314" s="740"/>
      <c r="G314" s="740"/>
      <c r="H314" s="740"/>
    </row>
    <row r="315" spans="1:8" x14ac:dyDescent="0.3">
      <c r="A315" s="741" t="s">
        <v>926</v>
      </c>
      <c r="B315" s="740"/>
      <c r="C315" s="740"/>
      <c r="D315" s="740"/>
      <c r="E315" s="740"/>
      <c r="F315" s="740"/>
      <c r="G315" s="740"/>
      <c r="H315" s="740"/>
    </row>
    <row r="316" spans="1:8" x14ac:dyDescent="0.3">
      <c r="A316" s="741" t="s">
        <v>927</v>
      </c>
      <c r="B316" s="740"/>
      <c r="C316" s="740"/>
      <c r="D316" s="740"/>
      <c r="E316" s="740"/>
      <c r="F316" s="740"/>
      <c r="G316" s="740"/>
      <c r="H316" s="740"/>
    </row>
    <row r="317" spans="1:8" x14ac:dyDescent="0.3">
      <c r="A317" s="741" t="s">
        <v>928</v>
      </c>
      <c r="B317" s="740"/>
      <c r="C317" s="740"/>
      <c r="D317" s="740"/>
      <c r="E317" s="740"/>
      <c r="F317" s="740"/>
      <c r="G317" s="740"/>
      <c r="H317" s="740"/>
    </row>
    <row r="318" spans="1:8" x14ac:dyDescent="0.3">
      <c r="A318" s="741" t="s">
        <v>929</v>
      </c>
      <c r="B318" s="740"/>
      <c r="C318" s="740"/>
      <c r="D318" s="740"/>
      <c r="E318" s="740"/>
      <c r="F318" s="740"/>
      <c r="G318" s="740"/>
      <c r="H318" s="740"/>
    </row>
    <row r="319" spans="1:8" x14ac:dyDescent="0.3">
      <c r="A319" s="741" t="s">
        <v>930</v>
      </c>
      <c r="B319" s="740"/>
      <c r="C319" s="740"/>
      <c r="D319" s="740"/>
      <c r="E319" s="740"/>
      <c r="F319" s="740"/>
      <c r="G319" s="740"/>
      <c r="H319" s="740"/>
    </row>
    <row r="320" spans="1:8" x14ac:dyDescent="0.3">
      <c r="A320" s="741" t="s">
        <v>931</v>
      </c>
      <c r="B320" s="740"/>
      <c r="C320" s="740"/>
      <c r="D320" s="740"/>
      <c r="E320" s="740"/>
      <c r="F320" s="740"/>
      <c r="G320" s="740"/>
      <c r="H320" s="740"/>
    </row>
    <row r="321" spans="1:8" x14ac:dyDescent="0.3">
      <c r="A321" s="741" t="s">
        <v>932</v>
      </c>
      <c r="B321" s="740"/>
      <c r="C321" s="740"/>
      <c r="D321" s="740"/>
      <c r="E321" s="740"/>
      <c r="F321" s="740"/>
      <c r="G321" s="740"/>
      <c r="H321" s="740"/>
    </row>
    <row r="322" spans="1:8" x14ac:dyDescent="0.3">
      <c r="A322" s="741" t="s">
        <v>933</v>
      </c>
      <c r="B322" s="740"/>
      <c r="C322" s="740"/>
      <c r="D322" s="740"/>
      <c r="E322" s="740"/>
      <c r="F322" s="740"/>
      <c r="G322" s="740"/>
      <c r="H322" s="740"/>
    </row>
    <row r="323" spans="1:8" x14ac:dyDescent="0.3">
      <c r="A323" s="741" t="s">
        <v>934</v>
      </c>
      <c r="B323" s="740"/>
      <c r="C323" s="740"/>
      <c r="D323" s="740"/>
      <c r="E323" s="740"/>
      <c r="F323" s="740"/>
      <c r="G323" s="740"/>
      <c r="H323" s="740"/>
    </row>
    <row r="324" spans="1:8" x14ac:dyDescent="0.3">
      <c r="A324" s="740"/>
      <c r="B324" s="740"/>
      <c r="C324" s="740"/>
      <c r="D324" s="740"/>
      <c r="E324" s="740"/>
      <c r="F324" s="740"/>
      <c r="G324" s="740"/>
      <c r="H324" s="740"/>
    </row>
    <row r="325" spans="1:8" x14ac:dyDescent="0.3">
      <c r="A325" s="741" t="s">
        <v>935</v>
      </c>
      <c r="B325" s="740"/>
      <c r="C325" s="740"/>
      <c r="D325" s="740"/>
      <c r="E325" s="740"/>
      <c r="F325" s="740"/>
      <c r="G325" s="740"/>
      <c r="H325" s="740"/>
    </row>
    <row r="326" spans="1:8" x14ac:dyDescent="0.3">
      <c r="A326" s="741" t="s">
        <v>936</v>
      </c>
      <c r="B326" s="740"/>
      <c r="C326" s="740"/>
      <c r="D326" s="740"/>
      <c r="E326" s="740"/>
      <c r="F326" s="740"/>
      <c r="G326" s="740"/>
      <c r="H326" s="740"/>
    </row>
    <row r="327" spans="1:8" x14ac:dyDescent="0.3">
      <c r="A327" s="740"/>
      <c r="B327" s="740"/>
      <c r="C327" s="740"/>
      <c r="D327" s="740"/>
      <c r="E327" s="740"/>
      <c r="F327" s="740"/>
      <c r="G327" s="740"/>
      <c r="H327" s="740"/>
    </row>
    <row r="328" spans="1:8" x14ac:dyDescent="0.3">
      <c r="A328" s="741" t="s">
        <v>937</v>
      </c>
      <c r="B328" s="740"/>
      <c r="C328" s="740"/>
      <c r="D328" s="740"/>
      <c r="E328" s="740"/>
      <c r="F328" s="740"/>
      <c r="G328" s="740"/>
      <c r="H328" s="740"/>
    </row>
    <row r="329" spans="1:8" x14ac:dyDescent="0.3">
      <c r="A329" s="741" t="s">
        <v>938</v>
      </c>
      <c r="B329" s="740"/>
      <c r="C329" s="740"/>
      <c r="D329" s="740"/>
      <c r="E329" s="740"/>
      <c r="F329" s="740"/>
      <c r="G329" s="740"/>
      <c r="H329" s="740"/>
    </row>
    <row r="330" spans="1:8" x14ac:dyDescent="0.3">
      <c r="A330" s="741" t="s">
        <v>939</v>
      </c>
      <c r="B330" s="740"/>
      <c r="C330" s="740"/>
      <c r="D330" s="740"/>
      <c r="E330" s="740"/>
      <c r="F330" s="740"/>
      <c r="G330" s="740"/>
      <c r="H330" s="740"/>
    </row>
    <row r="331" spans="1:8" x14ac:dyDescent="0.3">
      <c r="A331" s="741" t="s">
        <v>940</v>
      </c>
      <c r="B331" s="740"/>
      <c r="C331" s="740"/>
      <c r="D331" s="740"/>
      <c r="E331" s="740"/>
      <c r="F331" s="740"/>
      <c r="G331" s="740"/>
      <c r="H331" s="740"/>
    </row>
    <row r="332" spans="1:8" x14ac:dyDescent="0.3">
      <c r="A332" s="741" t="s">
        <v>941</v>
      </c>
      <c r="B332" s="740"/>
      <c r="C332" s="740"/>
      <c r="D332" s="740"/>
      <c r="E332" s="740"/>
      <c r="F332" s="740"/>
      <c r="G332" s="740"/>
      <c r="H332" s="740"/>
    </row>
    <row r="333" spans="1:8" x14ac:dyDescent="0.3">
      <c r="A333" s="741" t="s">
        <v>942</v>
      </c>
      <c r="B333" s="740"/>
      <c r="C333" s="740"/>
      <c r="D333" s="740"/>
      <c r="E333" s="740"/>
      <c r="F333" s="740"/>
      <c r="G333" s="740"/>
      <c r="H333" s="740"/>
    </row>
    <row r="334" spans="1:8" x14ac:dyDescent="0.3">
      <c r="A334" s="741" t="s">
        <v>943</v>
      </c>
      <c r="B334" s="740"/>
      <c r="C334" s="740"/>
      <c r="D334" s="740"/>
      <c r="E334" s="740"/>
      <c r="F334" s="740"/>
      <c r="G334" s="740"/>
      <c r="H334" s="740"/>
    </row>
    <row r="335" spans="1:8" x14ac:dyDescent="0.3">
      <c r="A335" s="741" t="s">
        <v>944</v>
      </c>
      <c r="B335" s="740"/>
      <c r="C335" s="740"/>
      <c r="D335" s="740"/>
      <c r="E335" s="740"/>
      <c r="F335" s="740"/>
      <c r="G335" s="740"/>
      <c r="H335" s="740"/>
    </row>
    <row r="336" spans="1:8" x14ac:dyDescent="0.3">
      <c r="A336" s="740"/>
      <c r="B336" s="740"/>
      <c r="C336" s="740"/>
      <c r="D336" s="740"/>
      <c r="E336" s="740"/>
      <c r="F336" s="740"/>
      <c r="G336" s="740"/>
      <c r="H336" s="740"/>
    </row>
    <row r="337" spans="1:8" x14ac:dyDescent="0.3">
      <c r="A337" s="741" t="s">
        <v>945</v>
      </c>
      <c r="B337" s="740"/>
      <c r="C337" s="740"/>
      <c r="D337" s="740"/>
      <c r="E337" s="740"/>
      <c r="F337" s="740"/>
      <c r="G337" s="740"/>
      <c r="H337" s="740"/>
    </row>
    <row r="338" spans="1:8" x14ac:dyDescent="0.3">
      <c r="A338" s="741" t="s">
        <v>946</v>
      </c>
      <c r="B338" s="740"/>
      <c r="C338" s="740"/>
      <c r="D338" s="740"/>
      <c r="E338" s="740"/>
      <c r="F338" s="740"/>
      <c r="G338" s="740"/>
      <c r="H338" s="740"/>
    </row>
    <row r="339" spans="1:8" x14ac:dyDescent="0.3">
      <c r="A339" s="741" t="s">
        <v>947</v>
      </c>
      <c r="B339" s="740"/>
      <c r="C339" s="740"/>
      <c r="D339" s="740"/>
      <c r="E339" s="740"/>
      <c r="F339" s="740"/>
      <c r="G339" s="740"/>
      <c r="H339" s="740"/>
    </row>
    <row r="340" spans="1:8" x14ac:dyDescent="0.3">
      <c r="A340" s="741" t="s">
        <v>948</v>
      </c>
      <c r="B340" s="740"/>
      <c r="C340" s="740"/>
      <c r="D340" s="740"/>
      <c r="E340" s="740"/>
      <c r="F340" s="740"/>
      <c r="G340" s="740"/>
      <c r="H340" s="740"/>
    </row>
    <row r="341" spans="1:8" x14ac:dyDescent="0.3">
      <c r="A341" s="741" t="s">
        <v>949</v>
      </c>
      <c r="B341" s="740"/>
      <c r="C341" s="740"/>
      <c r="D341" s="740"/>
      <c r="E341" s="740"/>
      <c r="F341" s="740"/>
      <c r="G341" s="740"/>
      <c r="H341" s="740"/>
    </row>
    <row r="342" spans="1:8" x14ac:dyDescent="0.3">
      <c r="A342" s="741" t="s">
        <v>950</v>
      </c>
      <c r="B342" s="740"/>
      <c r="C342" s="740"/>
      <c r="D342" s="740"/>
      <c r="E342" s="740"/>
      <c r="F342" s="740"/>
      <c r="G342" s="740"/>
      <c r="H342" s="740"/>
    </row>
    <row r="343" spans="1:8" x14ac:dyDescent="0.3">
      <c r="A343" s="741" t="s">
        <v>951</v>
      </c>
      <c r="B343" s="740"/>
      <c r="C343" s="740"/>
      <c r="D343" s="740"/>
      <c r="E343" s="740"/>
      <c r="F343" s="740"/>
      <c r="G343" s="740"/>
      <c r="H343" s="740"/>
    </row>
    <row r="344" spans="1:8" x14ac:dyDescent="0.3">
      <c r="A344" s="741" t="s">
        <v>952</v>
      </c>
      <c r="B344" s="740"/>
      <c r="C344" s="740"/>
      <c r="D344" s="740"/>
      <c r="E344" s="740"/>
      <c r="F344" s="740"/>
      <c r="G344" s="740"/>
      <c r="H344" s="740"/>
    </row>
    <row r="345" spans="1:8" x14ac:dyDescent="0.3">
      <c r="A345" s="741" t="s">
        <v>953</v>
      </c>
      <c r="B345" s="740"/>
      <c r="C345" s="740"/>
      <c r="D345" s="740"/>
      <c r="E345" s="740"/>
      <c r="F345" s="740"/>
      <c r="G345" s="740"/>
      <c r="H345" s="740"/>
    </row>
    <row r="346" spans="1:8" x14ac:dyDescent="0.3">
      <c r="A346" s="741" t="s">
        <v>954</v>
      </c>
      <c r="B346" s="740"/>
      <c r="C346" s="740"/>
      <c r="D346" s="740"/>
      <c r="E346" s="740"/>
      <c r="F346" s="740"/>
      <c r="G346" s="740"/>
      <c r="H346" s="740"/>
    </row>
    <row r="347" spans="1:8" x14ac:dyDescent="0.3">
      <c r="A347" s="741" t="s">
        <v>955</v>
      </c>
      <c r="B347" s="740"/>
      <c r="C347" s="740"/>
      <c r="D347" s="740"/>
      <c r="E347" s="740"/>
      <c r="F347" s="740"/>
      <c r="G347" s="740"/>
      <c r="H347" s="740"/>
    </row>
    <row r="348" spans="1:8" x14ac:dyDescent="0.3">
      <c r="A348" s="741" t="s">
        <v>956</v>
      </c>
      <c r="B348" s="740"/>
      <c r="C348" s="740"/>
      <c r="D348" s="740"/>
      <c r="E348" s="740"/>
      <c r="F348" s="740"/>
      <c r="G348" s="740"/>
      <c r="H348" s="740"/>
    </row>
    <row r="349" spans="1:8" x14ac:dyDescent="0.3">
      <c r="A349" s="741" t="s">
        <v>957</v>
      </c>
      <c r="B349" s="740"/>
      <c r="C349" s="740"/>
      <c r="D349" s="740"/>
      <c r="E349" s="740"/>
      <c r="F349" s="740"/>
      <c r="G349" s="740"/>
      <c r="H349" s="740"/>
    </row>
    <row r="350" spans="1:8" x14ac:dyDescent="0.3">
      <c r="A350" s="741" t="s">
        <v>958</v>
      </c>
      <c r="B350" s="740"/>
      <c r="C350" s="740"/>
      <c r="D350" s="740"/>
      <c r="E350" s="740"/>
      <c r="F350" s="740"/>
      <c r="G350" s="740"/>
      <c r="H350" s="740"/>
    </row>
    <row r="351" spans="1:8" x14ac:dyDescent="0.3">
      <c r="A351" s="741" t="s">
        <v>959</v>
      </c>
      <c r="B351" s="740"/>
      <c r="C351" s="740"/>
      <c r="D351" s="740"/>
      <c r="E351" s="740"/>
      <c r="F351" s="740"/>
      <c r="G351" s="740"/>
      <c r="H351" s="740"/>
    </row>
    <row r="352" spans="1:8" x14ac:dyDescent="0.3">
      <c r="A352" s="741" t="s">
        <v>960</v>
      </c>
      <c r="B352" s="740"/>
      <c r="C352" s="740"/>
      <c r="D352" s="740"/>
      <c r="E352" s="740"/>
      <c r="F352" s="740"/>
      <c r="G352" s="740"/>
      <c r="H352" s="740"/>
    </row>
    <row r="353" spans="1:8" x14ac:dyDescent="0.3">
      <c r="A353" s="741" t="s">
        <v>961</v>
      </c>
      <c r="B353" s="740"/>
      <c r="C353" s="740"/>
      <c r="D353" s="740"/>
      <c r="E353" s="740"/>
      <c r="F353" s="740"/>
      <c r="G353" s="740"/>
      <c r="H353" s="740"/>
    </row>
    <row r="354" spans="1:8" x14ac:dyDescent="0.3">
      <c r="A354" s="741" t="s">
        <v>962</v>
      </c>
      <c r="B354" s="740"/>
      <c r="C354" s="740"/>
      <c r="D354" s="740"/>
      <c r="E354" s="740"/>
      <c r="F354" s="740"/>
      <c r="G354" s="740"/>
      <c r="H354" s="740"/>
    </row>
    <row r="355" spans="1:8" x14ac:dyDescent="0.3">
      <c r="A355" s="741" t="s">
        <v>963</v>
      </c>
      <c r="B355" s="740"/>
      <c r="C355" s="740"/>
      <c r="D355" s="740"/>
      <c r="E355" s="740"/>
      <c r="F355" s="740"/>
      <c r="G355" s="740"/>
      <c r="H355" s="740"/>
    </row>
    <row r="356" spans="1:8" x14ac:dyDescent="0.3">
      <c r="A356" s="741" t="s">
        <v>964</v>
      </c>
      <c r="B356" s="740"/>
      <c r="C356" s="740"/>
      <c r="D356" s="740"/>
      <c r="E356" s="740"/>
      <c r="F356" s="740"/>
      <c r="G356" s="740"/>
      <c r="H356" s="740"/>
    </row>
    <row r="357" spans="1:8" x14ac:dyDescent="0.3">
      <c r="A357" s="741" t="s">
        <v>965</v>
      </c>
      <c r="B357" s="740"/>
      <c r="C357" s="740"/>
      <c r="D357" s="740"/>
      <c r="E357" s="740"/>
      <c r="F357" s="740"/>
      <c r="G357" s="740"/>
      <c r="H357" s="740"/>
    </row>
    <row r="358" spans="1:8" x14ac:dyDescent="0.3">
      <c r="A358" s="741" t="s">
        <v>966</v>
      </c>
      <c r="B358" s="740"/>
      <c r="C358" s="740"/>
      <c r="D358" s="740"/>
      <c r="E358" s="740"/>
      <c r="F358" s="740"/>
      <c r="G358" s="740"/>
      <c r="H358" s="740"/>
    </row>
    <row r="359" spans="1:8" x14ac:dyDescent="0.3">
      <c r="A359" s="741" t="s">
        <v>967</v>
      </c>
      <c r="B359" s="740"/>
      <c r="C359" s="740"/>
      <c r="D359" s="740"/>
      <c r="E359" s="740"/>
      <c r="F359" s="740"/>
      <c r="G359" s="740"/>
      <c r="H359" s="740"/>
    </row>
    <row r="360" spans="1:8" x14ac:dyDescent="0.3">
      <c r="A360" s="741" t="s">
        <v>968</v>
      </c>
      <c r="B360" s="740"/>
      <c r="C360" s="740"/>
      <c r="D360" s="740"/>
      <c r="E360" s="740"/>
      <c r="F360" s="740"/>
      <c r="G360" s="740"/>
      <c r="H360" s="740"/>
    </row>
    <row r="361" spans="1:8" x14ac:dyDescent="0.3">
      <c r="A361" s="741" t="s">
        <v>969</v>
      </c>
      <c r="B361" s="740"/>
      <c r="C361" s="740"/>
      <c r="D361" s="740"/>
      <c r="E361" s="740"/>
      <c r="F361" s="740"/>
      <c r="G361" s="740"/>
      <c r="H361" s="740"/>
    </row>
    <row r="362" spans="1:8" x14ac:dyDescent="0.3">
      <c r="A362" s="741" t="s">
        <v>970</v>
      </c>
      <c r="B362" s="740"/>
      <c r="C362" s="740"/>
      <c r="D362" s="740"/>
      <c r="E362" s="740"/>
      <c r="F362" s="740"/>
      <c r="G362" s="740"/>
      <c r="H362" s="740"/>
    </row>
    <row r="363" spans="1:8" x14ac:dyDescent="0.3">
      <c r="A363" s="741" t="s">
        <v>971</v>
      </c>
      <c r="B363" s="740"/>
      <c r="C363" s="740"/>
      <c r="D363" s="740"/>
      <c r="E363" s="740"/>
      <c r="F363" s="740"/>
      <c r="G363" s="740"/>
      <c r="H363" s="740"/>
    </row>
    <row r="364" spans="1:8" x14ac:dyDescent="0.3">
      <c r="A364" s="741" t="s">
        <v>972</v>
      </c>
      <c r="B364" s="740"/>
      <c r="C364" s="740"/>
      <c r="D364" s="740"/>
      <c r="E364" s="740"/>
      <c r="F364" s="740"/>
      <c r="G364" s="740"/>
      <c r="H364" s="740"/>
    </row>
    <row r="365" spans="1:8" x14ac:dyDescent="0.3">
      <c r="A365" s="741" t="s">
        <v>973</v>
      </c>
      <c r="B365" s="740"/>
      <c r="C365" s="740"/>
      <c r="D365" s="740"/>
      <c r="E365" s="740"/>
      <c r="F365" s="740"/>
      <c r="G365" s="740"/>
      <c r="H365" s="740"/>
    </row>
    <row r="366" spans="1:8" x14ac:dyDescent="0.3">
      <c r="A366" s="741" t="s">
        <v>974</v>
      </c>
      <c r="B366" s="740"/>
      <c r="C366" s="740"/>
      <c r="D366" s="740"/>
      <c r="E366" s="740"/>
      <c r="F366" s="740"/>
      <c r="G366" s="740"/>
      <c r="H366" s="740"/>
    </row>
    <row r="367" spans="1:8" x14ac:dyDescent="0.3">
      <c r="A367" s="741" t="s">
        <v>975</v>
      </c>
      <c r="B367" s="740"/>
      <c r="C367" s="740"/>
      <c r="D367" s="740"/>
      <c r="E367" s="740"/>
      <c r="F367" s="740"/>
      <c r="G367" s="740"/>
      <c r="H367" s="740"/>
    </row>
    <row r="368" spans="1:8" x14ac:dyDescent="0.3">
      <c r="A368" s="741" t="s">
        <v>976</v>
      </c>
      <c r="B368" s="740"/>
      <c r="C368" s="740"/>
      <c r="D368" s="740"/>
      <c r="E368" s="740"/>
      <c r="F368" s="740"/>
      <c r="G368" s="740"/>
      <c r="H368" s="740"/>
    </row>
    <row r="369" spans="1:8" x14ac:dyDescent="0.3">
      <c r="A369" s="741" t="s">
        <v>977</v>
      </c>
      <c r="B369" s="740"/>
      <c r="C369" s="740"/>
      <c r="D369" s="740"/>
      <c r="E369" s="740"/>
      <c r="F369" s="740"/>
      <c r="G369" s="740"/>
      <c r="H369" s="740"/>
    </row>
    <row r="370" spans="1:8" x14ac:dyDescent="0.3">
      <c r="A370" s="741" t="s">
        <v>978</v>
      </c>
      <c r="B370" s="740"/>
      <c r="C370" s="740"/>
      <c r="D370" s="740"/>
      <c r="E370" s="740"/>
      <c r="F370" s="740"/>
      <c r="G370" s="740"/>
      <c r="H370" s="740"/>
    </row>
    <row r="371" spans="1:8" x14ac:dyDescent="0.3">
      <c r="A371" s="741" t="s">
        <v>979</v>
      </c>
      <c r="B371" s="740"/>
      <c r="C371" s="740"/>
      <c r="D371" s="740"/>
      <c r="E371" s="740"/>
      <c r="F371" s="740"/>
      <c r="G371" s="740"/>
      <c r="H371" s="740"/>
    </row>
    <row r="372" spans="1:8" x14ac:dyDescent="0.3">
      <c r="A372" s="741" t="s">
        <v>980</v>
      </c>
      <c r="B372" s="740"/>
      <c r="C372" s="740"/>
      <c r="D372" s="740"/>
      <c r="E372" s="740"/>
      <c r="F372" s="740"/>
      <c r="G372" s="740"/>
      <c r="H372" s="740"/>
    </row>
    <row r="373" spans="1:8" x14ac:dyDescent="0.3">
      <c r="A373" s="741" t="s">
        <v>981</v>
      </c>
      <c r="B373" s="740"/>
      <c r="C373" s="740"/>
      <c r="D373" s="740"/>
      <c r="E373" s="740"/>
      <c r="F373" s="740"/>
      <c r="G373" s="740"/>
      <c r="H373" s="740"/>
    </row>
    <row r="374" spans="1:8" x14ac:dyDescent="0.3">
      <c r="A374" s="741" t="s">
        <v>982</v>
      </c>
      <c r="B374" s="740"/>
      <c r="C374" s="740"/>
      <c r="D374" s="740"/>
      <c r="E374" s="740"/>
      <c r="F374" s="740"/>
      <c r="G374" s="740"/>
      <c r="H374" s="740"/>
    </row>
    <row r="375" spans="1:8" x14ac:dyDescent="0.3">
      <c r="A375" s="741" t="s">
        <v>983</v>
      </c>
      <c r="B375" s="740"/>
      <c r="C375" s="740"/>
      <c r="D375" s="740"/>
      <c r="E375" s="740"/>
      <c r="F375" s="740"/>
      <c r="G375" s="740"/>
      <c r="H375" s="740"/>
    </row>
    <row r="376" spans="1:8" x14ac:dyDescent="0.3">
      <c r="A376" s="741" t="s">
        <v>984</v>
      </c>
      <c r="B376" s="740"/>
      <c r="C376" s="740"/>
      <c r="D376" s="740"/>
      <c r="E376" s="740"/>
      <c r="F376" s="740"/>
      <c r="G376" s="740"/>
      <c r="H376" s="740"/>
    </row>
    <row r="377" spans="1:8" x14ac:dyDescent="0.3">
      <c r="A377" s="741" t="s">
        <v>985</v>
      </c>
      <c r="B377" s="740"/>
      <c r="C377" s="740"/>
      <c r="D377" s="740"/>
      <c r="E377" s="740"/>
      <c r="F377" s="740"/>
      <c r="G377" s="740"/>
      <c r="H377" s="740"/>
    </row>
    <row r="378" spans="1:8" x14ac:dyDescent="0.3">
      <c r="A378" s="741" t="s">
        <v>986</v>
      </c>
      <c r="B378" s="740"/>
      <c r="C378" s="740"/>
      <c r="D378" s="740"/>
      <c r="E378" s="740"/>
      <c r="F378" s="740"/>
      <c r="G378" s="740"/>
      <c r="H378" s="740"/>
    </row>
    <row r="379" spans="1:8" x14ac:dyDescent="0.3">
      <c r="A379" s="741" t="s">
        <v>987</v>
      </c>
      <c r="B379" s="740"/>
      <c r="C379" s="740"/>
      <c r="D379" s="740"/>
      <c r="E379" s="740"/>
      <c r="F379" s="740"/>
      <c r="G379" s="740"/>
      <c r="H379" s="740"/>
    </row>
    <row r="380" spans="1:8" x14ac:dyDescent="0.3">
      <c r="A380" s="741" t="s">
        <v>988</v>
      </c>
      <c r="B380" s="740"/>
      <c r="C380" s="740"/>
      <c r="D380" s="740"/>
      <c r="E380" s="740"/>
      <c r="F380" s="740"/>
      <c r="G380" s="740"/>
      <c r="H380" s="740"/>
    </row>
    <row r="381" spans="1:8" x14ac:dyDescent="0.3">
      <c r="A381" s="741" t="s">
        <v>989</v>
      </c>
      <c r="B381" s="740"/>
      <c r="C381" s="740"/>
      <c r="D381" s="740"/>
      <c r="E381" s="740"/>
      <c r="F381" s="740"/>
      <c r="G381" s="740"/>
      <c r="H381" s="740"/>
    </row>
    <row r="382" spans="1:8" x14ac:dyDescent="0.3">
      <c r="A382" s="741" t="s">
        <v>990</v>
      </c>
      <c r="B382" s="740"/>
      <c r="C382" s="740"/>
      <c r="D382" s="740"/>
      <c r="E382" s="740"/>
      <c r="F382" s="740"/>
      <c r="G382" s="740"/>
      <c r="H382" s="740"/>
    </row>
    <row r="383" spans="1:8" x14ac:dyDescent="0.3">
      <c r="A383" s="740"/>
      <c r="B383" s="740"/>
      <c r="C383" s="740"/>
      <c r="D383" s="740"/>
      <c r="E383" s="740"/>
      <c r="F383" s="740"/>
      <c r="G383" s="740"/>
      <c r="H383" s="740"/>
    </row>
    <row r="384" spans="1:8" x14ac:dyDescent="0.3">
      <c r="A384" s="741" t="s">
        <v>991</v>
      </c>
      <c r="B384" s="740"/>
      <c r="C384" s="740"/>
      <c r="D384" s="740"/>
      <c r="E384" s="740"/>
      <c r="F384" s="740"/>
      <c r="G384" s="740"/>
      <c r="H384" s="740"/>
    </row>
    <row r="385" spans="1:8" x14ac:dyDescent="0.3">
      <c r="A385" s="741" t="s">
        <v>992</v>
      </c>
      <c r="B385" s="740"/>
      <c r="C385" s="740"/>
      <c r="D385" s="740"/>
      <c r="E385" s="740"/>
      <c r="F385" s="740"/>
      <c r="G385" s="740"/>
      <c r="H385" s="740"/>
    </row>
    <row r="386" spans="1:8" x14ac:dyDescent="0.3">
      <c r="A386" s="741" t="s">
        <v>993</v>
      </c>
      <c r="B386" s="740"/>
      <c r="C386" s="740"/>
      <c r="D386" s="740"/>
      <c r="E386" s="740"/>
      <c r="F386" s="740"/>
      <c r="G386" s="740"/>
      <c r="H386" s="740"/>
    </row>
    <row r="387" spans="1:8" x14ac:dyDescent="0.3">
      <c r="A387" s="741" t="s">
        <v>994</v>
      </c>
      <c r="B387" s="740"/>
      <c r="C387" s="740"/>
      <c r="D387" s="740"/>
      <c r="E387" s="740"/>
      <c r="F387" s="740"/>
      <c r="G387" s="740"/>
      <c r="H387" s="740"/>
    </row>
    <row r="388" spans="1:8" x14ac:dyDescent="0.3">
      <c r="A388" s="741" t="s">
        <v>995</v>
      </c>
      <c r="B388" s="740"/>
      <c r="C388" s="740"/>
      <c r="D388" s="740"/>
      <c r="E388" s="740"/>
      <c r="F388" s="740"/>
      <c r="G388" s="740"/>
      <c r="H388" s="740"/>
    </row>
    <row r="389" spans="1:8" x14ac:dyDescent="0.3">
      <c r="A389" s="741" t="s">
        <v>996</v>
      </c>
      <c r="B389" s="740"/>
      <c r="C389" s="740"/>
      <c r="D389" s="740"/>
      <c r="E389" s="740"/>
      <c r="F389" s="740"/>
      <c r="G389" s="740"/>
      <c r="H389" s="740"/>
    </row>
    <row r="390" spans="1:8" x14ac:dyDescent="0.3">
      <c r="A390" s="741" t="s">
        <v>997</v>
      </c>
      <c r="B390" s="740"/>
      <c r="C390" s="740"/>
      <c r="D390" s="740"/>
      <c r="E390" s="740"/>
      <c r="F390" s="740"/>
      <c r="G390" s="740"/>
      <c r="H390" s="740"/>
    </row>
    <row r="391" spans="1:8" x14ac:dyDescent="0.3">
      <c r="A391" s="741" t="s">
        <v>998</v>
      </c>
      <c r="B391" s="740"/>
      <c r="C391" s="740"/>
      <c r="D391" s="740"/>
      <c r="E391" s="740"/>
      <c r="F391" s="740"/>
      <c r="G391" s="740"/>
      <c r="H391" s="740"/>
    </row>
    <row r="392" spans="1:8" x14ac:dyDescent="0.3">
      <c r="A392" s="740"/>
      <c r="B392" s="740"/>
      <c r="C392" s="740"/>
      <c r="D392" s="740"/>
      <c r="E392" s="740"/>
      <c r="F392" s="740"/>
      <c r="G392" s="740"/>
      <c r="H392" s="740"/>
    </row>
    <row r="393" spans="1:8" x14ac:dyDescent="0.3">
      <c r="A393" s="741" t="s">
        <v>991</v>
      </c>
      <c r="B393" s="740"/>
      <c r="C393" s="740"/>
      <c r="D393" s="740"/>
      <c r="E393" s="740"/>
      <c r="F393" s="740"/>
      <c r="G393" s="740"/>
      <c r="H393" s="740"/>
    </row>
    <row r="394" spans="1:8" x14ac:dyDescent="0.3">
      <c r="A394" s="741" t="s">
        <v>999</v>
      </c>
      <c r="B394" s="740"/>
      <c r="C394" s="740"/>
      <c r="D394" s="740"/>
      <c r="E394" s="740"/>
      <c r="F394" s="740"/>
      <c r="G394" s="740"/>
      <c r="H394" s="740"/>
    </row>
    <row r="395" spans="1:8" x14ac:dyDescent="0.3">
      <c r="A395" s="741" t="s">
        <v>1000</v>
      </c>
      <c r="B395" s="740"/>
      <c r="C395" s="740"/>
      <c r="D395" s="740"/>
      <c r="E395" s="740"/>
      <c r="F395" s="740"/>
      <c r="G395" s="740"/>
      <c r="H395" s="740"/>
    </row>
    <row r="396" spans="1:8" x14ac:dyDescent="0.3">
      <c r="A396" s="741" t="s">
        <v>1001</v>
      </c>
      <c r="B396" s="740"/>
      <c r="C396" s="740"/>
      <c r="D396" s="740"/>
      <c r="E396" s="740"/>
      <c r="F396" s="740"/>
      <c r="G396" s="740"/>
      <c r="H396" s="740"/>
    </row>
    <row r="397" spans="1:8" x14ac:dyDescent="0.3">
      <c r="A397" s="740"/>
      <c r="B397" s="740"/>
      <c r="C397" s="740"/>
      <c r="D397" s="740"/>
      <c r="E397" s="740"/>
      <c r="F397" s="740"/>
      <c r="G397" s="740"/>
      <c r="H397" s="740"/>
    </row>
    <row r="398" spans="1:8" x14ac:dyDescent="0.3">
      <c r="A398" s="741" t="s">
        <v>1002</v>
      </c>
      <c r="B398" s="740"/>
      <c r="C398" s="740"/>
      <c r="D398" s="740"/>
      <c r="E398" s="740"/>
      <c r="F398" s="740"/>
      <c r="G398" s="740"/>
      <c r="H398" s="740"/>
    </row>
    <row r="399" spans="1:8" x14ac:dyDescent="0.3">
      <c r="A399" s="741" t="s">
        <v>1003</v>
      </c>
      <c r="B399" s="740"/>
      <c r="C399" s="740"/>
      <c r="D399" s="740"/>
      <c r="E399" s="740"/>
      <c r="F399" s="740"/>
      <c r="G399" s="740"/>
      <c r="H399" s="740"/>
    </row>
    <row r="400" spans="1:8" x14ac:dyDescent="0.3">
      <c r="A400" s="741" t="s">
        <v>1004</v>
      </c>
      <c r="B400" s="740"/>
      <c r="C400" s="740"/>
      <c r="D400" s="740"/>
      <c r="E400" s="740"/>
      <c r="F400" s="740"/>
      <c r="G400" s="740"/>
      <c r="H400" s="740"/>
    </row>
    <row r="401" spans="1:8" x14ac:dyDescent="0.3">
      <c r="A401" s="741" t="s">
        <v>1005</v>
      </c>
      <c r="B401" s="740"/>
      <c r="C401" s="740"/>
      <c r="D401" s="740"/>
      <c r="E401" s="740"/>
      <c r="F401" s="740"/>
      <c r="G401" s="740"/>
      <c r="H401" s="740"/>
    </row>
    <row r="402" spans="1:8" x14ac:dyDescent="0.3">
      <c r="A402" s="741" t="s">
        <v>1006</v>
      </c>
      <c r="B402" s="740"/>
      <c r="C402" s="740"/>
      <c r="D402" s="740"/>
      <c r="E402" s="740"/>
      <c r="F402" s="740"/>
      <c r="G402" s="740"/>
      <c r="H402" s="740"/>
    </row>
    <row r="403" spans="1:8" x14ac:dyDescent="0.3">
      <c r="A403" s="741" t="s">
        <v>1007</v>
      </c>
      <c r="B403" s="740"/>
      <c r="C403" s="740"/>
      <c r="D403" s="740"/>
      <c r="E403" s="740"/>
      <c r="F403" s="740"/>
      <c r="G403" s="740"/>
      <c r="H403" s="740"/>
    </row>
    <row r="404" spans="1:8" x14ac:dyDescent="0.3">
      <c r="A404" s="740"/>
      <c r="B404" s="740"/>
      <c r="C404" s="740"/>
      <c r="D404" s="740"/>
      <c r="E404" s="740"/>
      <c r="F404" s="740"/>
      <c r="G404" s="740"/>
      <c r="H404" s="740"/>
    </row>
    <row r="405" spans="1:8" x14ac:dyDescent="0.3">
      <c r="A405" s="741" t="s">
        <v>1008</v>
      </c>
      <c r="B405" s="740"/>
      <c r="C405" s="740"/>
      <c r="D405" s="740"/>
      <c r="E405" s="740"/>
      <c r="F405" s="740"/>
      <c r="G405" s="740"/>
      <c r="H405" s="740"/>
    </row>
    <row r="406" spans="1:8" x14ac:dyDescent="0.3">
      <c r="A406" s="741" t="s">
        <v>1009</v>
      </c>
      <c r="B406" s="740"/>
      <c r="C406" s="740"/>
      <c r="D406" s="740"/>
      <c r="E406" s="740"/>
      <c r="F406" s="740"/>
      <c r="G406" s="740"/>
      <c r="H406" s="740"/>
    </row>
    <row r="407" spans="1:8" x14ac:dyDescent="0.3">
      <c r="A407" s="741" t="s">
        <v>1010</v>
      </c>
      <c r="B407" s="740"/>
      <c r="C407" s="740"/>
      <c r="D407" s="740"/>
      <c r="E407" s="740"/>
      <c r="F407" s="740"/>
      <c r="G407" s="740"/>
      <c r="H407" s="740"/>
    </row>
    <row r="408" spans="1:8" x14ac:dyDescent="0.3">
      <c r="A408" s="741" t="s">
        <v>1011</v>
      </c>
      <c r="B408" s="740"/>
      <c r="C408" s="740"/>
      <c r="D408" s="740"/>
      <c r="E408" s="740"/>
      <c r="F408" s="740"/>
      <c r="G408" s="740"/>
      <c r="H408" s="740"/>
    </row>
    <row r="409" spans="1:8" x14ac:dyDescent="0.3">
      <c r="A409" s="741" t="s">
        <v>1012</v>
      </c>
      <c r="B409" s="740"/>
      <c r="C409" s="740"/>
      <c r="D409" s="740"/>
      <c r="E409" s="740"/>
      <c r="F409" s="740"/>
      <c r="G409" s="740"/>
      <c r="H409" s="740"/>
    </row>
    <row r="410" spans="1:8" x14ac:dyDescent="0.3">
      <c r="A410" s="740"/>
      <c r="B410" s="740"/>
      <c r="C410" s="740"/>
      <c r="D410" s="740"/>
      <c r="E410" s="740"/>
      <c r="F410" s="740"/>
      <c r="G410" s="740"/>
      <c r="H410" s="740"/>
    </row>
    <row r="411" spans="1:8" x14ac:dyDescent="0.3">
      <c r="A411" s="741" t="s">
        <v>1013</v>
      </c>
      <c r="B411" s="740"/>
      <c r="C411" s="740"/>
      <c r="D411" s="740"/>
      <c r="E411" s="740"/>
      <c r="F411" s="740"/>
      <c r="G411" s="740"/>
      <c r="H411" s="740"/>
    </row>
    <row r="412" spans="1:8" x14ac:dyDescent="0.3">
      <c r="A412" s="741" t="s">
        <v>1014</v>
      </c>
      <c r="B412" s="740"/>
      <c r="C412" s="740"/>
      <c r="D412" s="740"/>
      <c r="E412" s="740"/>
      <c r="F412" s="740"/>
      <c r="G412" s="740"/>
      <c r="H412" s="740"/>
    </row>
    <row r="413" spans="1:8" x14ac:dyDescent="0.3">
      <c r="A413" s="740"/>
      <c r="B413" s="740"/>
      <c r="C413" s="740"/>
      <c r="D413" s="740"/>
      <c r="E413" s="740"/>
      <c r="F413" s="740"/>
      <c r="G413" s="740"/>
      <c r="H413" s="740"/>
    </row>
    <row r="414" spans="1:8" x14ac:dyDescent="0.3">
      <c r="A414" s="741" t="s">
        <v>1015</v>
      </c>
      <c r="B414" s="740"/>
      <c r="C414" s="740"/>
      <c r="D414" s="740"/>
      <c r="E414" s="740"/>
      <c r="F414" s="740"/>
      <c r="G414" s="740"/>
      <c r="H414" s="740"/>
    </row>
    <row r="415" spans="1:8" x14ac:dyDescent="0.3">
      <c r="A415" s="741" t="s">
        <v>1016</v>
      </c>
      <c r="B415" s="740"/>
      <c r="C415" s="740"/>
      <c r="D415" s="740"/>
      <c r="E415" s="740"/>
      <c r="F415" s="740"/>
      <c r="G415" s="740"/>
      <c r="H415" s="740"/>
    </row>
    <row r="416" spans="1:8" x14ac:dyDescent="0.3">
      <c r="A416" s="740"/>
      <c r="B416" s="740"/>
      <c r="C416" s="740"/>
      <c r="D416" s="740"/>
      <c r="E416" s="740"/>
      <c r="F416" s="740"/>
      <c r="G416" s="740"/>
      <c r="H416" s="740"/>
    </row>
    <row r="417" spans="1:8" x14ac:dyDescent="0.3">
      <c r="A417" s="741" t="s">
        <v>1017</v>
      </c>
      <c r="B417" s="740"/>
      <c r="C417" s="740"/>
      <c r="D417" s="740"/>
      <c r="E417" s="740"/>
      <c r="F417" s="740"/>
      <c r="G417" s="740"/>
      <c r="H417" s="740"/>
    </row>
    <row r="418" spans="1:8" x14ac:dyDescent="0.3">
      <c r="A418" s="741" t="s">
        <v>1018</v>
      </c>
      <c r="B418" s="740"/>
      <c r="C418" s="740"/>
      <c r="D418" s="740"/>
      <c r="E418" s="740"/>
      <c r="F418" s="740"/>
      <c r="G418" s="740"/>
      <c r="H418" s="740"/>
    </row>
    <row r="419" spans="1:8" x14ac:dyDescent="0.3">
      <c r="A419" s="741" t="s">
        <v>1019</v>
      </c>
      <c r="B419" s="740"/>
      <c r="C419" s="740"/>
      <c r="D419" s="740"/>
      <c r="E419" s="740"/>
      <c r="F419" s="740"/>
      <c r="G419" s="740"/>
      <c r="H419" s="740"/>
    </row>
    <row r="420" spans="1:8" x14ac:dyDescent="0.3">
      <c r="A420" s="741" t="s">
        <v>1020</v>
      </c>
      <c r="B420" s="740"/>
      <c r="C420" s="740"/>
      <c r="D420" s="740"/>
      <c r="E420" s="740"/>
      <c r="F420" s="740"/>
      <c r="G420" s="740"/>
      <c r="H420" s="740"/>
    </row>
    <row r="421" spans="1:8" x14ac:dyDescent="0.3">
      <c r="A421" s="740"/>
      <c r="B421" s="740"/>
      <c r="C421" s="740"/>
      <c r="D421" s="740"/>
      <c r="E421" s="740"/>
      <c r="F421" s="740"/>
      <c r="G421" s="740"/>
      <c r="H421" s="740"/>
    </row>
    <row r="422" spans="1:8" x14ac:dyDescent="0.3">
      <c r="A422" s="741" t="s">
        <v>1021</v>
      </c>
      <c r="B422" s="740"/>
      <c r="C422" s="740"/>
      <c r="D422" s="740"/>
      <c r="E422" s="740"/>
      <c r="F422" s="740"/>
      <c r="G422" s="740"/>
      <c r="H422" s="740"/>
    </row>
    <row r="423" spans="1:8" x14ac:dyDescent="0.3">
      <c r="A423" s="741" t="s">
        <v>1022</v>
      </c>
      <c r="B423" s="740"/>
      <c r="C423" s="740"/>
      <c r="D423" s="740"/>
      <c r="E423" s="740"/>
      <c r="F423" s="740"/>
      <c r="G423" s="740"/>
      <c r="H423" s="740"/>
    </row>
    <row r="424" spans="1:8" x14ac:dyDescent="0.3">
      <c r="A424" s="740"/>
      <c r="B424" s="740"/>
      <c r="C424" s="740"/>
      <c r="D424" s="740"/>
      <c r="E424" s="740"/>
      <c r="F424" s="740"/>
      <c r="G424" s="740"/>
      <c r="H424" s="740"/>
    </row>
    <row r="425" spans="1:8" x14ac:dyDescent="0.3">
      <c r="A425" s="741" t="s">
        <v>1023</v>
      </c>
      <c r="B425" s="740"/>
      <c r="C425" s="740"/>
      <c r="D425" s="740"/>
      <c r="E425" s="740"/>
      <c r="F425" s="740"/>
      <c r="G425" s="740"/>
      <c r="H425" s="740"/>
    </row>
    <row r="426" spans="1:8" x14ac:dyDescent="0.3">
      <c r="A426" s="741" t="s">
        <v>1024</v>
      </c>
      <c r="B426" s="740"/>
      <c r="C426" s="740"/>
      <c r="D426" s="740"/>
      <c r="E426" s="740"/>
      <c r="F426" s="740"/>
      <c r="G426" s="740"/>
      <c r="H426" s="740"/>
    </row>
    <row r="427" spans="1:8" x14ac:dyDescent="0.3">
      <c r="A427" s="741" t="s">
        <v>1025</v>
      </c>
      <c r="B427" s="740"/>
      <c r="C427" s="740"/>
      <c r="D427" s="740"/>
      <c r="E427" s="740"/>
      <c r="F427" s="740"/>
      <c r="G427" s="740"/>
      <c r="H427" s="740"/>
    </row>
    <row r="428" spans="1:8" x14ac:dyDescent="0.3">
      <c r="A428" s="741" t="s">
        <v>1026</v>
      </c>
      <c r="B428" s="740"/>
      <c r="C428" s="740"/>
      <c r="D428" s="740"/>
      <c r="E428" s="740"/>
      <c r="F428" s="740"/>
      <c r="G428" s="740"/>
      <c r="H428" s="740"/>
    </row>
    <row r="430" spans="1:8" x14ac:dyDescent="0.3">
      <c r="A430" s="744" t="s">
        <v>1027</v>
      </c>
    </row>
  </sheetData>
  <mergeCells count="3">
    <mergeCell ref="B129:C129"/>
    <mergeCell ref="D129:F129"/>
    <mergeCell ref="G129:H12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D466-D017-4AD7-B91F-5C136959D6E6}">
  <sheetPr codeName="Sheet2">
    <pageSetUpPr fitToPage="1"/>
  </sheetPr>
  <dimension ref="B2:BP275"/>
  <sheetViews>
    <sheetView showGridLines="0" tabSelected="1" topLeftCell="B46" zoomScale="115" zoomScaleNormal="115" workbookViewId="0">
      <selection activeCell="M19" sqref="M19:AA19"/>
    </sheetView>
  </sheetViews>
  <sheetFormatPr defaultColWidth="9.09765625" defaultRowHeight="10" outlineLevelCol="1" x14ac:dyDescent="0.2"/>
  <cols>
    <col min="1" max="1" width="2.3984375" style="1" customWidth="1"/>
    <col min="2" max="2" width="23.8984375" style="1" customWidth="1"/>
    <col min="3" max="3" width="11.69921875" style="1" hidden="1" customWidth="1"/>
    <col min="4" max="4" width="8.09765625" style="1" hidden="1" customWidth="1" outlineLevel="1"/>
    <col min="5" max="5" width="8.09765625" style="1" hidden="1" customWidth="1" collapsed="1"/>
    <col min="6" max="10" width="7.09765625" style="1" hidden="1" customWidth="1"/>
    <col min="11" max="13" width="7.09765625" style="1" customWidth="1"/>
    <col min="14" max="19" width="7.09765625" style="1" hidden="1" customWidth="1"/>
    <col min="20" max="20" width="7.09765625" style="1" customWidth="1"/>
    <col min="21" max="26" width="7.09765625" style="1" hidden="1" customWidth="1"/>
    <col min="27" max="27" width="7.09765625" style="1" customWidth="1"/>
    <col min="28" max="28" width="3" style="1" customWidth="1"/>
    <col min="29" max="29" width="24.8984375" style="1" customWidth="1"/>
    <col min="30" max="30" width="8.59765625" style="1" hidden="1" customWidth="1"/>
    <col min="31" max="31" width="9" style="1" hidden="1" customWidth="1"/>
    <col min="32" max="32" width="8.09765625" style="1" hidden="1" customWidth="1"/>
    <col min="33" max="37" width="7.3984375" style="1" hidden="1" customWidth="1"/>
    <col min="38" max="40" width="7.3984375" style="1" customWidth="1"/>
    <col min="41" max="46" width="7.3984375" style="1" hidden="1" customWidth="1"/>
    <col min="47" max="47" width="7.3984375" style="1" customWidth="1"/>
    <col min="48" max="53" width="7.3984375" style="1" hidden="1" customWidth="1"/>
    <col min="54" max="54" width="7.8984375" style="1" customWidth="1"/>
    <col min="55" max="55" width="2.69921875" style="1" customWidth="1"/>
    <col min="56" max="56" width="11.09765625" style="1" customWidth="1"/>
    <col min="57" max="57" width="10.296875" style="1" customWidth="1"/>
    <col min="58" max="61" width="7.69921875" style="1" customWidth="1"/>
    <col min="62" max="16384" width="9.09765625" style="1"/>
  </cols>
  <sheetData>
    <row r="2" spans="2:61" x14ac:dyDescent="0.2">
      <c r="B2" s="2"/>
      <c r="AB2" s="3"/>
    </row>
    <row r="3" spans="2:61" x14ac:dyDescent="0.2">
      <c r="B3" s="2"/>
      <c r="AB3" s="3"/>
      <c r="AF3" s="4"/>
    </row>
    <row r="5" spans="2:61" ht="11.25" customHeight="1" x14ac:dyDescent="0.2">
      <c r="B5" s="5" t="str">
        <f ca="1">+"James Hardie - Financial Summary" &amp; "  (" &amp; TEXT("PT",3) &amp; ":" &amp; TEXT(BB8,"$0.00") &amp; ")"</f>
        <v>James Hardie - Financial Summary  (PT:$44.00)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4" t="s">
        <v>2</v>
      </c>
      <c r="BE5" s="8">
        <f ca="1">NOW()</f>
        <v>46065.375610300929</v>
      </c>
      <c r="BH5" s="9"/>
    </row>
    <row r="6" spans="2:61" ht="11.25" customHeight="1" x14ac:dyDescent="0.2">
      <c r="B6" s="10" t="s">
        <v>3</v>
      </c>
      <c r="C6" s="11" t="s">
        <v>4</v>
      </c>
      <c r="D6" s="11" t="s">
        <v>5</v>
      </c>
      <c r="E6" s="11" t="s">
        <v>6</v>
      </c>
      <c r="F6" s="11" t="s">
        <v>7</v>
      </c>
      <c r="G6" s="11" t="s">
        <v>8</v>
      </c>
      <c r="H6" s="11" t="s">
        <v>9</v>
      </c>
      <c r="I6" s="11" t="s">
        <v>10</v>
      </c>
      <c r="J6" s="11" t="s">
        <v>647</v>
      </c>
      <c r="K6" s="11" t="s">
        <v>674</v>
      </c>
      <c r="L6" s="11" t="s">
        <v>680</v>
      </c>
      <c r="M6" s="11" t="str">
        <f>'BS,CF and P&amp;L'!ET6</f>
        <v>FY26E</v>
      </c>
      <c r="N6" s="11" t="str">
        <f>'BS,CF and P&amp;L'!EU6</f>
        <v>1Q27E</v>
      </c>
      <c r="O6" s="11" t="str">
        <f>'BS,CF and P&amp;L'!EV6</f>
        <v>2Q27E</v>
      </c>
      <c r="P6" s="11" t="str">
        <f>'BS,CF and P&amp;L'!EW6</f>
        <v>1H27E</v>
      </c>
      <c r="Q6" s="11" t="str">
        <f>'BS,CF and P&amp;L'!EX6</f>
        <v>3Q27E</v>
      </c>
      <c r="R6" s="11" t="str">
        <f>'BS,CF and P&amp;L'!EY6</f>
        <v>4Q27E</v>
      </c>
      <c r="S6" s="11" t="str">
        <f>'BS,CF and P&amp;L'!EZ6</f>
        <v>2H27E</v>
      </c>
      <c r="T6" s="11" t="str">
        <f>'BS,CF and P&amp;L'!FA6</f>
        <v>FY27E</v>
      </c>
      <c r="U6" s="11" t="str">
        <f>'BS,CF and P&amp;L'!FB6</f>
        <v>1Q28E</v>
      </c>
      <c r="V6" s="11" t="str">
        <f>'BS,CF and P&amp;L'!FC6</f>
        <v>2Q28E</v>
      </c>
      <c r="W6" s="11" t="str">
        <f>'BS,CF and P&amp;L'!FD6</f>
        <v>1H28E</v>
      </c>
      <c r="X6" s="11" t="str">
        <f>'BS,CF and P&amp;L'!FE6</f>
        <v>3Q28E</v>
      </c>
      <c r="Y6" s="11" t="str">
        <f>'BS,CF and P&amp;L'!FF6</f>
        <v>4Q28E</v>
      </c>
      <c r="Z6" s="11" t="str">
        <f>'BS,CF and P&amp;L'!FG6</f>
        <v>2H28E</v>
      </c>
      <c r="AA6" s="11" t="str">
        <f>'BS,CF and P&amp;L'!FH6</f>
        <v>FY28E</v>
      </c>
      <c r="AB6" s="12"/>
      <c r="AC6" s="10" t="s">
        <v>11</v>
      </c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BB6" s="11" t="s">
        <v>12</v>
      </c>
      <c r="BC6" s="13"/>
      <c r="BD6" s="1" t="s">
        <v>13</v>
      </c>
      <c r="BE6" s="4">
        <f>BB7</f>
        <v>36.869999999999997</v>
      </c>
      <c r="BH6" s="9"/>
    </row>
    <row r="7" spans="2:61" ht="11.25" customHeight="1" x14ac:dyDescent="0.2">
      <c r="B7" s="1" t="s">
        <v>14</v>
      </c>
      <c r="C7" s="14">
        <f>'BS,CF and P&amp;L'!CB17</f>
        <v>1730.3999999999999</v>
      </c>
      <c r="D7" s="14">
        <f>'BS,CF and P&amp;L'!CI17</f>
        <v>1922.8999999999999</v>
      </c>
      <c r="E7" s="14">
        <f>'BS,CF and P&amp;L'!CP17</f>
        <v>2480.5999999999995</v>
      </c>
      <c r="F7" s="15">
        <f>'BS,CF and P&amp;L'!CW17</f>
        <v>2506.6999999999998</v>
      </c>
      <c r="G7" s="15">
        <f>'BS,CF and P&amp;L'!DD17</f>
        <v>2606.8000000000002</v>
      </c>
      <c r="H7" s="15">
        <f>'BS,CF and P&amp;L'!DK17</f>
        <v>2908.7000000000003</v>
      </c>
      <c r="I7" s="15">
        <f>'BS,CF and P&amp;L'!DR17</f>
        <v>3614.7000000000003</v>
      </c>
      <c r="J7" s="15">
        <f>'BS,CF and P&amp;L'!DY17</f>
        <v>3777.1000000000004</v>
      </c>
      <c r="K7" s="15">
        <f>'BS,CF and P&amp;L'!EF17</f>
        <v>3936.2999999999997</v>
      </c>
      <c r="L7" s="15">
        <f>'BS,CF and P&amp;L'!EM17</f>
        <v>3877.5000000000005</v>
      </c>
      <c r="M7" s="15">
        <f>'BS,CF and P&amp;L'!ET17</f>
        <v>4847.2936568579789</v>
      </c>
      <c r="N7" s="15">
        <f>'BS,CF and P&amp;L'!EU17</f>
        <v>1397.8333916245156</v>
      </c>
      <c r="O7" s="15">
        <f>'BS,CF and P&amp;L'!EV17</f>
        <v>1458.8557637776998</v>
      </c>
      <c r="P7" s="15">
        <f>'BS,CF and P&amp;L'!EW17</f>
        <v>2856.6891554022154</v>
      </c>
      <c r="Q7" s="15">
        <f>'BS,CF and P&amp;L'!EX17</f>
        <v>1398.0519900707795</v>
      </c>
      <c r="R7" s="15">
        <f>'BS,CF and P&amp;L'!EY17</f>
        <v>1535.2988775880476</v>
      </c>
      <c r="S7" s="15">
        <f>'BS,CF and P&amp;L'!EZ17</f>
        <v>2933.3508676588272</v>
      </c>
      <c r="T7" s="15">
        <f>'BS,CF and P&amp;L'!FA17</f>
        <v>5790.040023061043</v>
      </c>
      <c r="U7" s="15">
        <f>'BS,CF and P&amp;L'!FB17</f>
        <v>1527.0154285878132</v>
      </c>
      <c r="V7" s="15">
        <f>'BS,CF and P&amp;L'!FC17</f>
        <v>1614.1034051648662</v>
      </c>
      <c r="W7" s="15">
        <f>'BS,CF and P&amp;L'!FD17</f>
        <v>3141.1188337526792</v>
      </c>
      <c r="X7" s="15">
        <f>'BS,CF and P&amp;L'!FE17</f>
        <v>1546.4480428789916</v>
      </c>
      <c r="Y7" s="15">
        <f>'BS,CF and P&amp;L'!FF17</f>
        <v>1686.4841746470747</v>
      </c>
      <c r="Z7" s="15">
        <f>'BS,CF and P&amp;L'!FG17</f>
        <v>3232.9322175260659</v>
      </c>
      <c r="AA7" s="15">
        <f>'BS,CF and P&amp;L'!FH17</f>
        <v>6374.0510512787459</v>
      </c>
      <c r="AB7" s="4"/>
      <c r="AC7" s="1" t="s">
        <v>657</v>
      </c>
      <c r="AO7" s="4"/>
      <c r="AP7" s="4"/>
      <c r="AQ7" s="4"/>
      <c r="AR7" s="4"/>
      <c r="AS7" s="4"/>
      <c r="AT7" s="4"/>
      <c r="BB7" s="4">
        <v>36.869999999999997</v>
      </c>
      <c r="BC7" s="4"/>
      <c r="BD7" s="16" t="s">
        <v>15</v>
      </c>
      <c r="BE7" s="17">
        <f ca="1">+Valuation!D11</f>
        <v>44</v>
      </c>
      <c r="BF7" s="18"/>
      <c r="BG7" s="3"/>
      <c r="BH7" s="16"/>
    </row>
    <row r="8" spans="2:61" ht="11.25" customHeight="1" x14ac:dyDescent="0.2">
      <c r="B8" s="26" t="s">
        <v>16</v>
      </c>
      <c r="C8" s="28">
        <f>'BS,CF and P&amp;L'!CB36</f>
        <v>432.60000000000008</v>
      </c>
      <c r="D8" s="28">
        <f>'BS,CF and P&amp;L'!CI36</f>
        <v>437.4</v>
      </c>
      <c r="E8" s="28">
        <f>'BS,CF and P&amp;L'!CP36</f>
        <v>484.49999999999994</v>
      </c>
      <c r="F8" s="29">
        <f>'BS,CF and P&amp;L'!CW36</f>
        <v>523.19999999999993</v>
      </c>
      <c r="G8" s="29">
        <f>'BS,CF and P&amp;L'!DD36</f>
        <v>612.6</v>
      </c>
      <c r="H8" s="29">
        <f>'BS,CF and P&amp;L'!DK36</f>
        <v>764.00000000000011</v>
      </c>
      <c r="I8" s="29">
        <f>'BS,CF and P&amp;L'!DR36</f>
        <v>977.40000000000009</v>
      </c>
      <c r="J8" s="29">
        <f>'BS,CF and P&amp;L'!DY36</f>
        <v>952.4</v>
      </c>
      <c r="K8" s="29">
        <f>'BS,CF and P&amp;L'!EF36</f>
        <v>1125.1000000000001</v>
      </c>
      <c r="L8" s="29">
        <f>'BS,CF and P&amp;L'!EM36</f>
        <v>1079.4000000000001</v>
      </c>
      <c r="M8" s="29">
        <f>'BS,CF and P&amp;L'!ET36</f>
        <v>1250.8687629531146</v>
      </c>
      <c r="N8" s="29">
        <f>'BS,CF and P&amp;L'!EU36</f>
        <v>373.10772129152883</v>
      </c>
      <c r="O8" s="29">
        <f>'BS,CF and P&amp;L'!EV36</f>
        <v>383.69209154078334</v>
      </c>
      <c r="P8" s="29">
        <f>'BS,CF and P&amp;L'!EW36</f>
        <v>756.79981283231223</v>
      </c>
      <c r="Q8" s="29">
        <f>'BS,CF and P&amp;L'!EX36</f>
        <v>388.63701778133333</v>
      </c>
      <c r="R8" s="29">
        <f>'BS,CF and P&amp;L'!EY36</f>
        <v>425.71934491714796</v>
      </c>
      <c r="S8" s="29">
        <f>'BS,CF and P&amp;L'!EZ36</f>
        <v>814.35636269848135</v>
      </c>
      <c r="T8" s="29">
        <f>'BS,CF and P&amp;L'!FA36</f>
        <v>1571.1561755307937</v>
      </c>
      <c r="U8" s="29">
        <f>'BS,CF and P&amp;L'!FB36</f>
        <v>414.71341924513638</v>
      </c>
      <c r="V8" s="29">
        <f>'BS,CF and P&amp;L'!FC36</f>
        <v>432.39860256477471</v>
      </c>
      <c r="W8" s="29">
        <f>'BS,CF and P&amp;L'!FD36</f>
        <v>847.11202180991108</v>
      </c>
      <c r="X8" s="29">
        <f>'BS,CF and P&amp;L'!FE36</f>
        <v>447.57613264892609</v>
      </c>
      <c r="Y8" s="29">
        <f>'BS,CF and P&amp;L'!FF36</f>
        <v>473.46125263132717</v>
      </c>
      <c r="Z8" s="29">
        <f>'BS,CF and P&amp;L'!FG36</f>
        <v>921.03738528025337</v>
      </c>
      <c r="AA8" s="29">
        <f>'BS,CF and P&amp;L'!FH36</f>
        <v>1768.1494070901642</v>
      </c>
      <c r="AB8" s="21"/>
      <c r="AC8" s="22" t="s">
        <v>17</v>
      </c>
      <c r="AO8" s="4"/>
      <c r="AP8" s="4"/>
      <c r="AQ8" s="4"/>
      <c r="AR8" s="4"/>
      <c r="AS8" s="4"/>
      <c r="AT8" s="4"/>
      <c r="BB8" s="4">
        <f ca="1">BE7</f>
        <v>44</v>
      </c>
      <c r="BC8" s="4"/>
      <c r="BD8" s="1" t="s">
        <v>18</v>
      </c>
      <c r="BE8" s="23">
        <f>+Valuation!D113</f>
        <v>0.68</v>
      </c>
      <c r="BF8" s="24"/>
      <c r="BG8" s="9"/>
      <c r="BH8" s="9"/>
    </row>
    <row r="9" spans="2:61" ht="11.25" customHeight="1" x14ac:dyDescent="0.2">
      <c r="B9" s="1" t="s">
        <v>19</v>
      </c>
      <c r="C9" s="19">
        <f>'BS,CF and P&amp;L'!CB30</f>
        <v>82</v>
      </c>
      <c r="D9" s="19">
        <f>'BS,CF and P&amp;L'!CI30</f>
        <v>83.1</v>
      </c>
      <c r="E9" s="19">
        <f>'BS,CF and P&amp;L'!CP30</f>
        <v>92</v>
      </c>
      <c r="F9" s="20">
        <f>'BS,CF and P&amp;L'!CW30</f>
        <v>118.6</v>
      </c>
      <c r="G9" s="20">
        <f>'BS,CF and P&amp;L'!DD30</f>
        <v>125.80000000000001</v>
      </c>
      <c r="H9" s="20">
        <f>'BS,CF and P&amp;L'!DK30</f>
        <v>135</v>
      </c>
      <c r="I9" s="20">
        <f>'BS,CF and P&amp;L'!DR30</f>
        <v>161.80000000000001</v>
      </c>
      <c r="J9" s="20">
        <f>'BS,CF and P&amp;L'!DY30</f>
        <v>172.6</v>
      </c>
      <c r="K9" s="20">
        <f>'BS,CF and P&amp;L'!EF30</f>
        <v>184.3</v>
      </c>
      <c r="L9" s="20">
        <f>'BS,CF and P&amp;L'!EM30</f>
        <v>216.20000000000005</v>
      </c>
      <c r="M9" s="20">
        <f>'BS,CF and P&amp;L'!ET30</f>
        <v>319.46799999999996</v>
      </c>
      <c r="N9" s="20">
        <f>'BS,CF and P&amp;L'!EU30</f>
        <v>83.578679999999991</v>
      </c>
      <c r="O9" s="20">
        <f>'BS,CF and P&amp;L'!EV30</f>
        <v>99.78877039999999</v>
      </c>
      <c r="P9" s="20">
        <f>'BS,CF and P&amp;L'!EW30</f>
        <v>183.3674504</v>
      </c>
      <c r="Q9" s="20">
        <f>'BS,CF and P&amp;L'!EX30</f>
        <v>92.563958511999999</v>
      </c>
      <c r="R9" s="20">
        <f>'BS,CF and P&amp;L'!EY30</f>
        <v>90.363902267360004</v>
      </c>
      <c r="S9" s="20">
        <f>'BS,CF and P&amp;L'!EZ30</f>
        <v>182.92786077936</v>
      </c>
      <c r="T9" s="20">
        <f>'BS,CF and P&amp;L'!FA30</f>
        <v>366.29531117936</v>
      </c>
      <c r="U9" s="20">
        <f>'BS,CF and P&amp;L'!FB30</f>
        <v>85.332330399999989</v>
      </c>
      <c r="V9" s="20">
        <f>'BS,CF and P&amp;L'!FC30</f>
        <v>101.805446012</v>
      </c>
      <c r="W9" s="20">
        <f>'BS,CF and P&amp;L'!FD30</f>
        <v>187.13777641199997</v>
      </c>
      <c r="X9" s="20">
        <f>'BS,CF and P&amp;L'!FE30</f>
        <v>94.992764767359972</v>
      </c>
      <c r="Y9" s="20">
        <f>'BS,CF and P&amp;L'!FF30</f>
        <v>92.741879585380815</v>
      </c>
      <c r="Z9" s="20">
        <f>'BS,CF and P&amp;L'!FG30</f>
        <v>187.73464435274079</v>
      </c>
      <c r="AA9" s="20">
        <f>'BS,CF and P&amp;L'!FH30</f>
        <v>374.87242076474081</v>
      </c>
      <c r="AB9" s="25"/>
      <c r="AC9" s="26" t="s">
        <v>20</v>
      </c>
      <c r="AO9" s="27"/>
      <c r="AP9" s="27"/>
      <c r="AQ9" s="27"/>
      <c r="AR9" s="27"/>
      <c r="AS9" s="27"/>
      <c r="AT9" s="27"/>
      <c r="BB9" s="27">
        <f ca="1">BB8/BB7-1</f>
        <v>0.19338215351234078</v>
      </c>
      <c r="BC9" s="25"/>
      <c r="BD9" s="747" t="s">
        <v>21</v>
      </c>
      <c r="BE9" s="747"/>
      <c r="BF9" s="9"/>
      <c r="BG9" s="9"/>
      <c r="BH9" s="9"/>
    </row>
    <row r="10" spans="2:61" ht="11.25" customHeight="1" x14ac:dyDescent="0.2">
      <c r="B10" s="26" t="s">
        <v>22</v>
      </c>
      <c r="C10" s="28">
        <f>'BS,CF and P&amp;L'!CB48</f>
        <v>350.60000000000008</v>
      </c>
      <c r="D10" s="28">
        <f>'BS,CF and P&amp;L'!CI48</f>
        <v>354.3</v>
      </c>
      <c r="E10" s="28">
        <f>'BS,CF and P&amp;L'!CP48</f>
        <v>392.49999999999994</v>
      </c>
      <c r="F10" s="29">
        <f>'BS,CF and P&amp;L'!CW48</f>
        <v>404.59999999999997</v>
      </c>
      <c r="G10" s="29">
        <f>'BS,CF and P&amp;L'!DD48</f>
        <v>486.8</v>
      </c>
      <c r="H10" s="29">
        <f>'BS,CF and P&amp;L'!DK48</f>
        <v>629.00000000000011</v>
      </c>
      <c r="I10" s="29">
        <f>'BS,CF and P&amp;L'!DR48</f>
        <v>815.6</v>
      </c>
      <c r="J10" s="29">
        <f>'BS,CF and P&amp;L'!DY48</f>
        <v>779.8</v>
      </c>
      <c r="K10" s="29">
        <f>'BS,CF and P&amp;L'!EF48</f>
        <v>940.80000000000007</v>
      </c>
      <c r="L10" s="29">
        <f>'BS,CF and P&amp;L'!EM48</f>
        <v>863.2</v>
      </c>
      <c r="M10" s="29">
        <f>'BS,CF and P&amp;L'!ET48</f>
        <v>931.40076295311474</v>
      </c>
      <c r="N10" s="29">
        <f>'BS,CF and P&amp;L'!EU48</f>
        <v>289.52904129152881</v>
      </c>
      <c r="O10" s="29">
        <f>'BS,CF and P&amp;L'!EV48</f>
        <v>283.90332114078336</v>
      </c>
      <c r="P10" s="29">
        <f>'BS,CF and P&amp;L'!EW48</f>
        <v>573.43236243231217</v>
      </c>
      <c r="Q10" s="29">
        <f>'BS,CF and P&amp;L'!EX48</f>
        <v>296.07305926933333</v>
      </c>
      <c r="R10" s="29">
        <f>'BS,CF and P&amp;L'!EY48</f>
        <v>335.35544264978796</v>
      </c>
      <c r="S10" s="29">
        <f>'BS,CF and P&amp;L'!EZ48</f>
        <v>631.42850191912135</v>
      </c>
      <c r="T10" s="29">
        <f>'BS,CF and P&amp;L'!FA48</f>
        <v>1204.8608643514337</v>
      </c>
      <c r="U10" s="29">
        <f>'BS,CF and P&amp;L'!FB48</f>
        <v>329.38108884513639</v>
      </c>
      <c r="V10" s="29">
        <f>'BS,CF and P&amp;L'!FC48</f>
        <v>330.5931565527747</v>
      </c>
      <c r="W10" s="29">
        <f>'BS,CF and P&amp;L'!FD48</f>
        <v>659.97424539791109</v>
      </c>
      <c r="X10" s="29">
        <f>'BS,CF and P&amp;L'!FE48</f>
        <v>352.58336788156612</v>
      </c>
      <c r="Y10" s="29">
        <f>'BS,CF and P&amp;L'!FF48</f>
        <v>380.71937304594638</v>
      </c>
      <c r="Z10" s="29">
        <f>'BS,CF and P&amp;L'!FG48</f>
        <v>733.30274092751256</v>
      </c>
      <c r="AA10" s="29">
        <f>'BS,CF and P&amp;L'!FH48</f>
        <v>1393.2769863254234</v>
      </c>
      <c r="AB10" s="30"/>
      <c r="AC10" s="1" t="s">
        <v>658</v>
      </c>
      <c r="AO10" s="16"/>
      <c r="AP10" s="16"/>
      <c r="AQ10" s="16"/>
      <c r="AR10" s="16"/>
      <c r="AS10" s="16"/>
      <c r="AT10" s="16"/>
      <c r="BB10" s="16">
        <f ca="1">BB9+AN33</f>
        <v>0.19338215351234078</v>
      </c>
      <c r="BC10" s="31"/>
      <c r="BD10" s="748" t="str">
        <f>'BS,CF and P&amp;L'!C1</f>
        <v>&lt;-- Run cash balancer</v>
      </c>
      <c r="BE10" s="749"/>
      <c r="BF10" s="9"/>
      <c r="BG10" s="9"/>
      <c r="BH10" s="9"/>
    </row>
    <row r="11" spans="2:61" ht="11.25" customHeight="1" x14ac:dyDescent="0.2">
      <c r="B11" s="1" t="s">
        <v>23</v>
      </c>
      <c r="C11" s="19">
        <f>'BS,CF and P&amp;L'!CB65</f>
        <v>-25</v>
      </c>
      <c r="D11" s="19">
        <f>'BS,CF and P&amp;L'!CI65</f>
        <v>-27.200000000000003</v>
      </c>
      <c r="E11" s="19">
        <f>'BS,CF and P&amp;L'!CP65</f>
        <v>-31.400000000000002</v>
      </c>
      <c r="F11" s="20">
        <f>'BS,CF and P&amp;L'!CW65</f>
        <v>-52.099999999999994</v>
      </c>
      <c r="G11" s="20">
        <f>'BS,CF and P&amp;L'!DD65</f>
        <v>-55.199999999999996</v>
      </c>
      <c r="H11" s="20">
        <f>'BS,CF and P&amp;L'!DK65</f>
        <v>-60.8</v>
      </c>
      <c r="I11" s="20">
        <f>'BS,CF and P&amp;L'!DR65</f>
        <v>-40.200000000000003</v>
      </c>
      <c r="J11" s="20">
        <f>'BS,CF and P&amp;L'!DY65</f>
        <v>-34.9</v>
      </c>
      <c r="K11" s="20">
        <f>'BS,CF and P&amp;L'!EF65</f>
        <v>-15.299999999999997</v>
      </c>
      <c r="L11" s="20">
        <f>'BS,CF and P&amp;L'!EM65</f>
        <v>-9.5000000000000071</v>
      </c>
      <c r="M11" s="20">
        <f>'BS,CF and P&amp;L'!ET65</f>
        <v>-203.57682500000004</v>
      </c>
      <c r="N11" s="20">
        <f>'BS,CF and P&amp;L'!EU65</f>
        <v>-60.176408535583903</v>
      </c>
      <c r="O11" s="20">
        <f>'BS,CF and P&amp;L'!EV65</f>
        <v>-56.661587512133195</v>
      </c>
      <c r="P11" s="20">
        <f>'BS,CF and P&amp;L'!EW65</f>
        <v>-116.8379960477171</v>
      </c>
      <c r="Q11" s="20">
        <f>'BS,CF and P&amp;L'!EX65</f>
        <v>-55.458566477918765</v>
      </c>
      <c r="R11" s="20">
        <f>'BS,CF and P&amp;L'!EY65</f>
        <v>-53.058769131685246</v>
      </c>
      <c r="S11" s="20">
        <f>'BS,CF and P&amp;L'!EZ65</f>
        <v>-108.517335609604</v>
      </c>
      <c r="T11" s="20">
        <f>'BS,CF and P&amp;L'!FA65</f>
        <v>-225.3553316573211</v>
      </c>
      <c r="U11" s="20">
        <f>'BS,CF and P&amp;L'!FB65</f>
        <v>-52.114351492846232</v>
      </c>
      <c r="V11" s="20">
        <f>'BS,CF and P&amp;L'!FC65</f>
        <v>-47.895912479247521</v>
      </c>
      <c r="W11" s="20">
        <f>'BS,CF and P&amp;L'!FD65</f>
        <v>-100.01026397209375</v>
      </c>
      <c r="X11" s="20">
        <f>'BS,CF and P&amp;L'!FE65</f>
        <v>-46.14676584348247</v>
      </c>
      <c r="Y11" s="20">
        <f>'BS,CF and P&amp;L'!FF65</f>
        <v>-42.902868074111247</v>
      </c>
      <c r="Z11" s="20">
        <f>'BS,CF and P&amp;L'!FG65</f>
        <v>-89.049633917593724</v>
      </c>
      <c r="AA11" s="20">
        <f>'BS,CF and P&amp;L'!FH65</f>
        <v>-189.05989788968748</v>
      </c>
      <c r="AC11" s="1" t="s">
        <v>24</v>
      </c>
      <c r="AO11" s="9"/>
      <c r="AP11" s="9"/>
      <c r="AQ11" s="9"/>
      <c r="AR11" s="9"/>
      <c r="AS11" s="9"/>
      <c r="AT11" s="9"/>
      <c r="BB11" s="9">
        <f>Valuation!D114</f>
        <v>579.88325399999997</v>
      </c>
      <c r="BC11" s="9"/>
      <c r="BD11" s="748" t="str">
        <f>'BS,CF and P&amp;L'!C2</f>
        <v>Balancing error</v>
      </c>
      <c r="BE11" s="749"/>
      <c r="BF11" s="9"/>
      <c r="BG11" s="9"/>
      <c r="BH11" s="9"/>
      <c r="BI11" s="1">
        <f ca="1">BE7/BE6-1</f>
        <v>0.19338215351234078</v>
      </c>
    </row>
    <row r="12" spans="2:61" ht="11.25" customHeight="1" x14ac:dyDescent="0.2">
      <c r="B12" s="1" t="s">
        <v>25</v>
      </c>
      <c r="C12" s="19">
        <f>'BS,CF and P&amp;L'!CB67</f>
        <v>325.60000000000008</v>
      </c>
      <c r="D12" s="19">
        <f>'BS,CF and P&amp;L'!CI67</f>
        <v>329.6</v>
      </c>
      <c r="E12" s="19">
        <f>'BS,CF and P&amp;L'!CP67</f>
        <v>361.79999999999995</v>
      </c>
      <c r="F12" s="20">
        <f>'BS,CF and P&amp;L'!CW67</f>
        <v>352.6</v>
      </c>
      <c r="G12" s="20">
        <f>'BS,CF and P&amp;L'!DD67</f>
        <v>431.1</v>
      </c>
      <c r="H12" s="20">
        <f>'BS,CF and P&amp;L'!DK67</f>
        <v>567.70000000000016</v>
      </c>
      <c r="I12" s="20">
        <f>'BS,CF and P&amp;L'!DR67</f>
        <v>775.19999999999993</v>
      </c>
      <c r="J12" s="20">
        <f>'BS,CF and P&amp;L'!DY67</f>
        <v>757.69999999999993</v>
      </c>
      <c r="K12" s="20">
        <f>'BS,CF and P&amp;L'!EF67</f>
        <v>919.20000000000016</v>
      </c>
      <c r="L12" s="20">
        <f>'BS,CF and P&amp;L'!EM67</f>
        <v>842.6</v>
      </c>
      <c r="M12" s="20">
        <f>'BS,CF and P&amp;L'!ET67</f>
        <v>723.52393795311468</v>
      </c>
      <c r="N12" s="20">
        <f>'BS,CF and P&amp;L'!EU67</f>
        <v>231.35263275594491</v>
      </c>
      <c r="O12" s="20">
        <f>'BS,CF and P&amp;L'!EV67</f>
        <v>229.24173362865017</v>
      </c>
      <c r="P12" s="20">
        <f>'BS,CF and P&amp;L'!EW67</f>
        <v>460.59436638459511</v>
      </c>
      <c r="Q12" s="20">
        <f>'BS,CF and P&amp;L'!EX67</f>
        <v>242.61449279141456</v>
      </c>
      <c r="R12" s="20">
        <f>'BS,CF and P&amp;L'!EY67</f>
        <v>284.29667351810269</v>
      </c>
      <c r="S12" s="20">
        <f>'BS,CF and P&amp;L'!EZ67</f>
        <v>526.91116630951728</v>
      </c>
      <c r="T12" s="20">
        <f>'BS,CF and P&amp;L'!FA67</f>
        <v>987.50553269411262</v>
      </c>
      <c r="U12" s="20">
        <f>'BS,CF and P&amp;L'!FB67</f>
        <v>279.26673735229014</v>
      </c>
      <c r="V12" s="20">
        <f>'BS,CF and P&amp;L'!FC67</f>
        <v>284.6972440735272</v>
      </c>
      <c r="W12" s="20">
        <f>'BS,CF and P&amp;L'!FD67</f>
        <v>563.96398142581734</v>
      </c>
      <c r="X12" s="20">
        <f>'BS,CF and P&amp;L'!FE67</f>
        <v>308.43660203808366</v>
      </c>
      <c r="Y12" s="20">
        <f>'BS,CF and P&amp;L'!FF67</f>
        <v>339.81650497183512</v>
      </c>
      <c r="Z12" s="20">
        <f>'BS,CF and P&amp;L'!FG67</f>
        <v>648.25310700991884</v>
      </c>
      <c r="AA12" s="20">
        <f>'BS,CF and P&amp;L'!FH67</f>
        <v>1212.2170884357361</v>
      </c>
      <c r="AC12" s="1" t="s">
        <v>26</v>
      </c>
      <c r="AO12" s="20"/>
      <c r="AP12" s="20"/>
      <c r="AQ12" s="20"/>
      <c r="AR12" s="20"/>
      <c r="AS12" s="20"/>
      <c r="AT12" s="20"/>
      <c r="BB12" s="20">
        <f>BB11*BB7</f>
        <v>21380.295574979998</v>
      </c>
      <c r="BC12" s="20"/>
      <c r="BE12" s="9"/>
      <c r="BF12" s="16"/>
      <c r="BG12" s="9"/>
      <c r="BH12" s="9"/>
    </row>
    <row r="13" spans="2:61" ht="11.25" customHeight="1" x14ac:dyDescent="0.2">
      <c r="B13" s="1" t="s">
        <v>27</v>
      </c>
      <c r="C13" s="19">
        <f>'BS,CF and P&amp;L'!CB70</f>
        <v>-84.6</v>
      </c>
      <c r="D13" s="19">
        <f>'BS,CF and P&amp;L'!CI70</f>
        <v>-80.599999999999994</v>
      </c>
      <c r="E13" s="19">
        <f>'BS,CF and P&amp;L'!CP70</f>
        <v>-75.5</v>
      </c>
      <c r="F13" s="20">
        <f>'BS,CF and P&amp;L'!CW70</f>
        <v>-52.1</v>
      </c>
      <c r="G13" s="20">
        <f>'BS,CF and P&amp;L'!DD70</f>
        <v>-78.100000000000009</v>
      </c>
      <c r="H13" s="20">
        <f>'BS,CF and P&amp;L'!DK70</f>
        <v>-109.69999999999999</v>
      </c>
      <c r="I13" s="20">
        <f>'BS,CF and P&amp;L'!DR70</f>
        <v>-154.5</v>
      </c>
      <c r="J13" s="20">
        <f>'BS,CF and P&amp;L'!DY70</f>
        <v>-152.19999999999999</v>
      </c>
      <c r="K13" s="20">
        <f>'BS,CF and P&amp;L'!EF70</f>
        <v>-211.7</v>
      </c>
      <c r="L13" s="20">
        <f>'BS,CF and P&amp;L'!EM70</f>
        <v>-198.3</v>
      </c>
      <c r="M13" s="20">
        <f>'BS,CF and P&amp;L'!ET70</f>
        <v>-137.72412499912122</v>
      </c>
      <c r="N13" s="20">
        <f>'BS,CF and P&amp;L'!EU70</f>
        <v>-50.956301296634209</v>
      </c>
      <c r="O13" s="20">
        <f>'BS,CF and P&amp;L'!EV70</f>
        <v>-50.491043362614292</v>
      </c>
      <c r="P13" s="20">
        <f>'BS,CF and P&amp;L'!EW70</f>
        <v>-101.4473446592485</v>
      </c>
      <c r="Q13" s="20">
        <f>'BS,CF and P&amp;L'!EX70</f>
        <v>-53.436345040988549</v>
      </c>
      <c r="R13" s="20">
        <f>'BS,CF and P&amp;L'!EY70</f>
        <v>-62.606271446536866</v>
      </c>
      <c r="S13" s="20">
        <f>'BS,CF and P&amp;L'!EZ70</f>
        <v>-116.04261648752541</v>
      </c>
      <c r="T13" s="20">
        <f>'BS,CF and P&amp;L'!FA70</f>
        <v>-217.48996114677391</v>
      </c>
      <c r="U13" s="20">
        <f>'BS,CF and P&amp;L'!FB70</f>
        <v>-58.703047547391151</v>
      </c>
      <c r="V13" s="20">
        <f>'BS,CF and P&amp;L'!FC70</f>
        <v>-59.842677692449662</v>
      </c>
      <c r="W13" s="20">
        <f>'BS,CF and P&amp;L'!FD70</f>
        <v>-118.54572523984081</v>
      </c>
      <c r="X13" s="20">
        <f>'BS,CF and P&amp;L'!FE70</f>
        <v>-64.83246505440475</v>
      </c>
      <c r="Y13" s="20">
        <f>'BS,CF and P&amp;L'!FF70</f>
        <v>-71.420421155877861</v>
      </c>
      <c r="Z13" s="20">
        <f>'BS,CF and P&amp;L'!FG70</f>
        <v>-136.25288621028261</v>
      </c>
      <c r="AA13" s="20">
        <f>'BS,CF and P&amp;L'!FH70</f>
        <v>-254.79861145012342</v>
      </c>
      <c r="AB13" s="9"/>
      <c r="BD13" s="32"/>
      <c r="BE13" s="33"/>
      <c r="BF13" s="9"/>
      <c r="BG13" s="9"/>
      <c r="BH13" s="9"/>
    </row>
    <row r="14" spans="2:61" ht="11.25" customHeight="1" x14ac:dyDescent="0.2">
      <c r="B14" s="1" t="s">
        <v>28</v>
      </c>
      <c r="C14" s="19">
        <f>'BS,CF and P&amp;L'!CB71</f>
        <v>0</v>
      </c>
      <c r="D14" s="19">
        <f>'BS,CF and P&amp;L'!CI71</f>
        <v>0</v>
      </c>
      <c r="E14" s="19">
        <f>'BS,CF and P&amp;L'!CP71</f>
        <v>0</v>
      </c>
      <c r="F14" s="20">
        <f>'BS,CF and P&amp;L'!CW71</f>
        <v>0</v>
      </c>
      <c r="G14" s="20">
        <f>'BS,CF and P&amp;L'!DD71</f>
        <v>0</v>
      </c>
      <c r="H14" s="20">
        <f>'BS,CF and P&amp;L'!DK71</f>
        <v>0</v>
      </c>
      <c r="I14" s="20">
        <f>'BS,CF and P&amp;L'!DR71</f>
        <v>0</v>
      </c>
      <c r="J14" s="20">
        <f>'BS,CF and P&amp;L'!DY71</f>
        <v>0</v>
      </c>
      <c r="K14" s="20">
        <f>'BS,CF and P&amp;L'!EF71</f>
        <v>0</v>
      </c>
      <c r="L14" s="20">
        <f>'BS,CF and P&amp;L'!EM71</f>
        <v>0</v>
      </c>
      <c r="M14" s="20">
        <f>'BS,CF and P&amp;L'!ET71</f>
        <v>0</v>
      </c>
      <c r="N14" s="20">
        <f>'BS,CF and P&amp;L'!EU71</f>
        <v>0</v>
      </c>
      <c r="O14" s="20">
        <f>'BS,CF and P&amp;L'!EV71</f>
        <v>0</v>
      </c>
      <c r="P14" s="20">
        <f>'BS,CF and P&amp;L'!EW71</f>
        <v>0</v>
      </c>
      <c r="Q14" s="20">
        <f>'BS,CF and P&amp;L'!EX71</f>
        <v>0</v>
      </c>
      <c r="R14" s="20">
        <f>'BS,CF and P&amp;L'!EY71</f>
        <v>0</v>
      </c>
      <c r="S14" s="20">
        <f>'BS,CF and P&amp;L'!EZ71</f>
        <v>0</v>
      </c>
      <c r="T14" s="20">
        <f>'BS,CF and P&amp;L'!FA71</f>
        <v>0</v>
      </c>
      <c r="U14" s="20">
        <f>'BS,CF and P&amp;L'!FB71</f>
        <v>0</v>
      </c>
      <c r="V14" s="20">
        <f>'BS,CF and P&amp;L'!FC71</f>
        <v>0</v>
      </c>
      <c r="W14" s="20">
        <f>'BS,CF and P&amp;L'!FD71</f>
        <v>0</v>
      </c>
      <c r="X14" s="20">
        <f>'BS,CF and P&amp;L'!FE71</f>
        <v>0</v>
      </c>
      <c r="Y14" s="20">
        <f>'BS,CF and P&amp;L'!FF71</f>
        <v>0</v>
      </c>
      <c r="Z14" s="20">
        <f>'BS,CF and P&amp;L'!FG71</f>
        <v>0</v>
      </c>
      <c r="AA14" s="20">
        <f>'BS,CF and P&amp;L'!FH71</f>
        <v>0</v>
      </c>
      <c r="AB14" s="9"/>
      <c r="AC14" s="1" t="s">
        <v>29</v>
      </c>
      <c r="AO14" s="34"/>
      <c r="AP14" s="34"/>
      <c r="AQ14" s="34"/>
      <c r="AR14" s="34"/>
      <c r="AS14" s="34"/>
      <c r="AT14" s="34"/>
      <c r="BB14" s="34">
        <f>BE8</f>
        <v>0.68</v>
      </c>
      <c r="BC14" s="34"/>
      <c r="BD14" s="35"/>
      <c r="BE14" s="9"/>
      <c r="BF14" s="9"/>
      <c r="BG14" s="9"/>
      <c r="BH14" s="9"/>
    </row>
    <row r="15" spans="2:61" ht="11.25" customHeight="1" x14ac:dyDescent="0.2">
      <c r="B15" s="26" t="s">
        <v>30</v>
      </c>
      <c r="C15" s="28">
        <f>'BS,CF and P&amp;L'!CB72</f>
        <v>241.00000000000009</v>
      </c>
      <c r="D15" s="28">
        <f>'BS,CF and P&amp;L'!CI72</f>
        <v>249.00000000000003</v>
      </c>
      <c r="E15" s="28">
        <f>'BS,CF and P&amp;L'!CP72</f>
        <v>286.29999999999995</v>
      </c>
      <c r="F15" s="29">
        <f>'BS,CF and P&amp;L'!CW72</f>
        <v>300.5</v>
      </c>
      <c r="G15" s="29">
        <f>'BS,CF and P&amp;L'!DD72</f>
        <v>353</v>
      </c>
      <c r="H15" s="29">
        <f>'BS,CF and P&amp;L'!DK72</f>
        <v>458.00000000000017</v>
      </c>
      <c r="I15" s="29">
        <f>'BS,CF and P&amp;L'!DR72</f>
        <v>620.69999999999993</v>
      </c>
      <c r="J15" s="29">
        <f>'BS,CF and P&amp;L'!DY72</f>
        <v>605.5</v>
      </c>
      <c r="K15" s="29">
        <f>'BS,CF and P&amp;L'!EF72</f>
        <v>707.50000000000023</v>
      </c>
      <c r="L15" s="29">
        <f>'BS,CF and P&amp;L'!EM72</f>
        <v>644.29999999999995</v>
      </c>
      <c r="M15" s="29">
        <f>'BS,CF and P&amp;L'!ET72</f>
        <v>585.79981295399352</v>
      </c>
      <c r="N15" s="29">
        <f>'BS,CF and P&amp;L'!EU72</f>
        <v>180.39633145931072</v>
      </c>
      <c r="O15" s="29">
        <f>'BS,CF and P&amp;L'!EV72</f>
        <v>178.75069026603586</v>
      </c>
      <c r="P15" s="29">
        <f>'BS,CF and P&amp;L'!EW72</f>
        <v>359.14702172534658</v>
      </c>
      <c r="Q15" s="29">
        <f>'BS,CF and P&amp;L'!EX72</f>
        <v>189.17814775042601</v>
      </c>
      <c r="R15" s="29">
        <f>'BS,CF and P&amp;L'!EY72</f>
        <v>221.69040207156581</v>
      </c>
      <c r="S15" s="29">
        <f>'BS,CF and P&amp;L'!EZ72</f>
        <v>410.86854982199191</v>
      </c>
      <c r="T15" s="29">
        <f>'BS,CF and P&amp;L'!FA72</f>
        <v>770.01557154733871</v>
      </c>
      <c r="U15" s="29">
        <f>'BS,CF and P&amp;L'!FB72</f>
        <v>220.56368980489898</v>
      </c>
      <c r="V15" s="29">
        <f>'BS,CF and P&amp;L'!FC72</f>
        <v>224.85456638107755</v>
      </c>
      <c r="W15" s="29">
        <f>'BS,CF and P&amp;L'!FD72</f>
        <v>445.41825618597653</v>
      </c>
      <c r="X15" s="29">
        <f>'BS,CF and P&amp;L'!FE72</f>
        <v>243.60413698367893</v>
      </c>
      <c r="Y15" s="29">
        <f>'BS,CF and P&amp;L'!FF72</f>
        <v>268.39608381595724</v>
      </c>
      <c r="Z15" s="29">
        <f>'BS,CF and P&amp;L'!FG72</f>
        <v>512.00022079963628</v>
      </c>
      <c r="AA15" s="29">
        <f>'BS,CF and P&amp;L'!FH72</f>
        <v>957.41847698561264</v>
      </c>
      <c r="AM15" s="35"/>
      <c r="AO15" s="35"/>
      <c r="AP15" s="35"/>
      <c r="AQ15" s="35"/>
      <c r="AR15" s="35"/>
      <c r="AS15" s="35"/>
      <c r="AT15" s="35"/>
      <c r="BB15" s="35"/>
      <c r="BC15" s="32"/>
      <c r="BD15" s="35"/>
    </row>
    <row r="16" spans="2:61" ht="11.25" customHeight="1" x14ac:dyDescent="0.2">
      <c r="B16" s="26" t="s">
        <v>31</v>
      </c>
      <c r="C16" s="36">
        <f>'BS,CF and P&amp;L'!CB261</f>
        <v>54.285392499155328</v>
      </c>
      <c r="D16" s="36">
        <f>'BS,CF and P&amp;L'!CI261</f>
        <v>56.093714800630778</v>
      </c>
      <c r="E16" s="36">
        <f>'BS,CF and P&amp;L'!CP261</f>
        <v>64.729821388198033</v>
      </c>
      <c r="F16" s="29">
        <f>'BS,CF and P&amp;L'!CW261</f>
        <v>67.832957110609485</v>
      </c>
      <c r="G16" s="29">
        <f>'BS,CF and P&amp;L'!DD261</f>
        <v>79.486602116640398</v>
      </c>
      <c r="H16" s="29">
        <f>'BS,CF and P&amp;L'!DK261</f>
        <v>102.82891782667269</v>
      </c>
      <c r="I16" s="29">
        <f>'BS,CF and P&amp;L'!DR261</f>
        <v>139.20161471181876</v>
      </c>
      <c r="J16" s="29">
        <f>'BS,CF and P&amp;L'!DY261</f>
        <v>135.88420107719926</v>
      </c>
      <c r="K16" s="29">
        <f>'BS,CF and P&amp;L'!EF261</f>
        <v>160.94176524112834</v>
      </c>
      <c r="L16" s="29">
        <f>'BS,CF and P&amp;L'!EM261</f>
        <v>149.109002545707</v>
      </c>
      <c r="M16" s="29">
        <f>'BS,CF and P&amp;L'!ET261</f>
        <v>107.55904950599265</v>
      </c>
      <c r="N16" s="29">
        <f>'BS,CF and P&amp;L'!EU261</f>
        <v>31.155107309186608</v>
      </c>
      <c r="O16" s="29">
        <f>'BS,CF and P&amp;L'!EV261</f>
        <v>30.870644730624242</v>
      </c>
      <c r="P16" s="29">
        <f>'BS,CF and P&amp;L'!EW261</f>
        <v>61.980052234494906</v>
      </c>
      <c r="Q16" s="29">
        <f>'BS,CF and P&amp;L'!EX261</f>
        <v>32.671426724464496</v>
      </c>
      <c r="R16" s="29">
        <f>'BS,CF and P&amp;L'!EY261</f>
        <v>38.277996155771945</v>
      </c>
      <c r="S16" s="29">
        <f>'BS,CF and P&amp;L'!EZ261</f>
        <v>70.901542131749878</v>
      </c>
      <c r="T16" s="29">
        <f>'BS,CF and P&amp;L'!FA261</f>
        <v>132.83482859879851</v>
      </c>
      <c r="U16" s="29">
        <f>'BS,CF and P&amp;L'!FB261</f>
        <v>38.082712784606883</v>
      </c>
      <c r="V16" s="29">
        <f>'BS,CF and P&amp;L'!FC261</f>
        <v>38.822030576581938</v>
      </c>
      <c r="W16" s="29">
        <f>'BS,CF and P&amp;L'!FD261</f>
        <v>76.858218946171021</v>
      </c>
      <c r="X16" s="29">
        <f>'BS,CF and P&amp;L'!FE261</f>
        <v>42.059079535721402</v>
      </c>
      <c r="Y16" s="29">
        <f>'BS,CF and P&amp;L'!FF261</f>
        <v>46.332916253439613</v>
      </c>
      <c r="Z16" s="29">
        <f>'BS,CF and P&amp;L'!FG261</f>
        <v>88.342801681532578</v>
      </c>
      <c r="AA16" s="29">
        <f>'BS,CF and P&amp;L'!FH261</f>
        <v>165.15322152195796</v>
      </c>
      <c r="AC16" s="10" t="s">
        <v>32</v>
      </c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BB16" s="11" t="s">
        <v>12</v>
      </c>
      <c r="BC16" s="13"/>
      <c r="BD16" s="37"/>
      <c r="BG16" s="38"/>
      <c r="BH16" s="38"/>
    </row>
    <row r="17" spans="2:61" ht="11.25" customHeight="1" thickBot="1" x14ac:dyDescent="0.25">
      <c r="B17" s="1" t="s">
        <v>33</v>
      </c>
      <c r="C17" s="19">
        <f>'BS,CF and P&amp;L'!CB77+'BS,CF and P&amp;L'!CB78</f>
        <v>1.6000000000000185</v>
      </c>
      <c r="D17" s="19">
        <f>'BS,CF and P&amp;L'!CI77+'BS,CF and P&amp;L'!CI78</f>
        <v>26.400000000000006</v>
      </c>
      <c r="E17" s="19">
        <f>'BS,CF and P&amp;L'!CP77+'BS,CF and P&amp;L'!CP78</f>
        <v>-142.20000000000002</v>
      </c>
      <c r="F17" s="20">
        <f>'BS,CF and P&amp;L'!CW77+'BS,CF and P&amp;L'!CW78</f>
        <v>1.3000000000000043</v>
      </c>
      <c r="G17" s="20">
        <f>'BS,CF and P&amp;L'!DD77+'BS,CF and P&amp;L'!DD78</f>
        <v>-84.100000000000009</v>
      </c>
      <c r="H17" s="20">
        <f>'BS,CF and P&amp;L'!DK77+'BS,CF and P&amp;L'!DK78</f>
        <v>-195.2</v>
      </c>
      <c r="I17" s="20">
        <f>'BS,CF and P&amp;L'!DR77+'BS,CF and P&amp;L'!DR78</f>
        <v>-161.6</v>
      </c>
      <c r="J17" s="20">
        <f>'BS,CF and P&amp;L'!DY77+'BS,CF and P&amp;L'!DY78</f>
        <v>-93.399999999999991</v>
      </c>
      <c r="K17" s="20">
        <f>'BS,CF and P&amp;L'!EF77+'BS,CF and P&amp;L'!EF78</f>
        <v>-197.29999999999998</v>
      </c>
      <c r="L17" s="20">
        <f>'BS,CF and P&amp;L'!EM77+'BS,CF and P&amp;L'!EM78</f>
        <v>-219.5</v>
      </c>
      <c r="M17" s="20">
        <f>'BS,CF and P&amp;L'!ET77+'BS,CF and P&amp;L'!ET78</f>
        <v>-309.60000000000002</v>
      </c>
      <c r="N17" s="20">
        <f>'BS,CF and P&amp;L'!EU77+'BS,CF and P&amp;L'!EU78</f>
        <v>0</v>
      </c>
      <c r="O17" s="20">
        <f>'BS,CF and P&amp;L'!EV77+'BS,CF and P&amp;L'!EV78</f>
        <v>0</v>
      </c>
      <c r="P17" s="20">
        <f>'BS,CF and P&amp;L'!EW77+'BS,CF and P&amp;L'!EW78</f>
        <v>0</v>
      </c>
      <c r="Q17" s="20">
        <f>'BS,CF and P&amp;L'!EX77+'BS,CF and P&amp;L'!EX78</f>
        <v>0</v>
      </c>
      <c r="R17" s="20">
        <f>'BS,CF and P&amp;L'!EY77+'BS,CF and P&amp;L'!EY78</f>
        <v>0</v>
      </c>
      <c r="S17" s="20">
        <f>'BS,CF and P&amp;L'!EZ77+'BS,CF and P&amp;L'!EZ78</f>
        <v>0</v>
      </c>
      <c r="T17" s="20">
        <f>'BS,CF and P&amp;L'!FA77+'BS,CF and P&amp;L'!FA78</f>
        <v>0</v>
      </c>
      <c r="U17" s="20">
        <f>'BS,CF and P&amp;L'!FB77+'BS,CF and P&amp;L'!FB78</f>
        <v>0</v>
      </c>
      <c r="V17" s="20">
        <f>'BS,CF and P&amp;L'!FC77+'BS,CF and P&amp;L'!FC78</f>
        <v>0</v>
      </c>
      <c r="W17" s="20">
        <f>'BS,CF and P&amp;L'!FD77+'BS,CF and P&amp;L'!FD78</f>
        <v>0</v>
      </c>
      <c r="X17" s="20">
        <f>'BS,CF and P&amp;L'!FE77+'BS,CF and P&amp;L'!FE78</f>
        <v>0</v>
      </c>
      <c r="Y17" s="20">
        <f>'BS,CF and P&amp;L'!FF77+'BS,CF and P&amp;L'!FF78</f>
        <v>0</v>
      </c>
      <c r="Z17" s="20">
        <f>'BS,CF and P&amp;L'!FG77+'BS,CF and P&amp;L'!FG78</f>
        <v>0</v>
      </c>
      <c r="AA17" s="20">
        <f>'BS,CF and P&amp;L'!FH77+'BS,CF and P&amp;L'!FH78</f>
        <v>0</v>
      </c>
      <c r="AC17" s="1" t="s">
        <v>34</v>
      </c>
      <c r="AO17" s="21"/>
      <c r="AP17" s="21"/>
      <c r="AQ17" s="21"/>
      <c r="AR17" s="21"/>
      <c r="AS17" s="21"/>
      <c r="AT17" s="21"/>
      <c r="BB17" s="21">
        <f ca="1">+Valuation!D7</f>
        <v>51.392293376999667</v>
      </c>
      <c r="BC17" s="21"/>
      <c r="BD17" s="750" t="s">
        <v>0</v>
      </c>
      <c r="BE17" s="750"/>
      <c r="BF17" s="750"/>
      <c r="BG17" s="750"/>
      <c r="BH17" s="9"/>
    </row>
    <row r="18" spans="2:61" ht="11.25" customHeight="1" x14ac:dyDescent="0.2">
      <c r="B18" s="1" t="s">
        <v>35</v>
      </c>
      <c r="C18" s="19">
        <f>'BS,CF and P&amp;L'!CB79</f>
        <v>242.60000000000011</v>
      </c>
      <c r="D18" s="19">
        <f>'BS,CF and P&amp;L'!CI79</f>
        <v>275.40000000000003</v>
      </c>
      <c r="E18" s="19">
        <f>'BS,CF and P&amp;L'!CP79</f>
        <v>144.09999999999994</v>
      </c>
      <c r="F18" s="20">
        <f>'BS,CF and P&amp;L'!CW79</f>
        <v>301.8</v>
      </c>
      <c r="G18" s="20">
        <f>'BS,CF and P&amp;L'!DD79</f>
        <v>268.89999999999998</v>
      </c>
      <c r="H18" s="20">
        <f>'BS,CF and P&amp;L'!DK79</f>
        <v>262.80000000000018</v>
      </c>
      <c r="I18" s="20">
        <f>'BS,CF and P&amp;L'!DR79</f>
        <v>459.09999999999991</v>
      </c>
      <c r="J18" s="20">
        <f>'BS,CF and P&amp;L'!DY79</f>
        <v>512.1</v>
      </c>
      <c r="K18" s="20">
        <f>'BS,CF and P&amp;L'!EF79</f>
        <v>510.20000000000027</v>
      </c>
      <c r="L18" s="20">
        <f>'BS,CF and P&amp;L'!EM79</f>
        <v>424.79999999999995</v>
      </c>
      <c r="M18" s="20">
        <f>'BS,CF and P&amp;L'!ET79</f>
        <v>276.1998129539935</v>
      </c>
      <c r="N18" s="20">
        <f>'BS,CF and P&amp;L'!EU79</f>
        <v>180.39633145931072</v>
      </c>
      <c r="O18" s="20">
        <f>'BS,CF and P&amp;L'!EV79</f>
        <v>178.75069026603586</v>
      </c>
      <c r="P18" s="20">
        <f>'BS,CF and P&amp;L'!EW79</f>
        <v>359.14702172534658</v>
      </c>
      <c r="Q18" s="20">
        <f>'BS,CF and P&amp;L'!EX79</f>
        <v>189.17814775042601</v>
      </c>
      <c r="R18" s="20">
        <f>'BS,CF and P&amp;L'!EY79</f>
        <v>221.69040207156581</v>
      </c>
      <c r="S18" s="20">
        <f>'BS,CF and P&amp;L'!EZ79</f>
        <v>410.86854982199191</v>
      </c>
      <c r="T18" s="20">
        <f>'BS,CF and P&amp;L'!FA79</f>
        <v>770.01557154733871</v>
      </c>
      <c r="U18" s="20">
        <f>'BS,CF and P&amp;L'!FB79</f>
        <v>220.56368980489898</v>
      </c>
      <c r="V18" s="20">
        <f>'BS,CF and P&amp;L'!FC79</f>
        <v>224.85456638107755</v>
      </c>
      <c r="W18" s="20">
        <f>'BS,CF and P&amp;L'!FD79</f>
        <v>445.41825618597653</v>
      </c>
      <c r="X18" s="20">
        <f>'BS,CF and P&amp;L'!FE79</f>
        <v>243.60413698367893</v>
      </c>
      <c r="Y18" s="20">
        <f>'BS,CF and P&amp;L'!FF79</f>
        <v>268.39608381595724</v>
      </c>
      <c r="Z18" s="20">
        <f>'BS,CF and P&amp;L'!FG79</f>
        <v>512.00022079963628</v>
      </c>
      <c r="AA18" s="20">
        <f>'BS,CF and P&amp;L'!FH79</f>
        <v>957.41847698561264</v>
      </c>
      <c r="AB18" s="3"/>
      <c r="AC18" s="1" t="s">
        <v>36</v>
      </c>
      <c r="AO18" s="21"/>
      <c r="AP18" s="21"/>
      <c r="AQ18" s="21"/>
      <c r="AR18" s="21"/>
      <c r="AS18" s="21"/>
      <c r="AT18" s="21"/>
      <c r="BB18" s="21">
        <f>+Valuation!D6</f>
        <v>36.629086053001707</v>
      </c>
      <c r="BC18" s="40"/>
      <c r="BD18" s="35"/>
      <c r="BE18" s="9"/>
      <c r="BF18" s="9"/>
      <c r="BG18" s="9"/>
      <c r="BH18" s="9"/>
    </row>
    <row r="19" spans="2:61" ht="11.25" customHeight="1" x14ac:dyDescent="0.2">
      <c r="B19" s="1" t="s">
        <v>37</v>
      </c>
      <c r="C19" s="19">
        <f>'BS,CF and P&amp;L'!CB260</f>
        <v>54.645793445207815</v>
      </c>
      <c r="D19" s="19">
        <f>'BS,CF and P&amp;L'!CI260</f>
        <v>62.04100022527598</v>
      </c>
      <c r="E19" s="19">
        <f>'BS,CF and P&amp;L'!CP260</f>
        <v>32.579697038209346</v>
      </c>
      <c r="F19" s="20">
        <f>'BS,CF and P&amp;L'!CW260</f>
        <v>68.126410835214443</v>
      </c>
      <c r="G19" s="20">
        <f>'BS,CF and P&amp;L'!DD260</f>
        <v>60.549425804998869</v>
      </c>
      <c r="H19" s="20">
        <f>'BS,CF and P&amp;L'!DK260</f>
        <v>59.00314324202968</v>
      </c>
      <c r="I19" s="20">
        <f>'BS,CF and P&amp;L'!DR260</f>
        <v>102.96030500112133</v>
      </c>
      <c r="J19" s="20">
        <f>'BS,CF and P&amp;L'!DY260</f>
        <v>114.92369838420106</v>
      </c>
      <c r="K19" s="20">
        <f>'BS,CF and P&amp;L'!EF260</f>
        <v>116.0600545950865</v>
      </c>
      <c r="L19" s="20">
        <f>'BS,CF and P&amp;L'!EM260</f>
        <v>98.3105762554964</v>
      </c>
      <c r="M19" s="20">
        <f>'BS,CF and P&amp;L'!ET260</f>
        <v>50.690880500611279</v>
      </c>
      <c r="N19" s="20">
        <f>'BS,CF and P&amp;L'!EU260</f>
        <v>31.109077597076247</v>
      </c>
      <c r="O19" s="20">
        <f>'BS,CF and P&amp;L'!EV260</f>
        <v>30.825289234173308</v>
      </c>
      <c r="P19" s="20">
        <f>'BS,CF and P&amp;L'!EW260</f>
        <v>61.934366831249555</v>
      </c>
      <c r="Q19" s="20">
        <f>'BS,CF and P&amp;L'!EX260</f>
        <v>32.623488684228505</v>
      </c>
      <c r="R19" s="20">
        <f>'BS,CF and P&amp;L'!EY260</f>
        <v>38.2301783233709</v>
      </c>
      <c r="S19" s="20">
        <f>'BS,CF and P&amp;L'!EZ260</f>
        <v>70.853667007599455</v>
      </c>
      <c r="T19" s="20">
        <f>'BS,CF and P&amp;L'!FA260</f>
        <v>132.788033838849</v>
      </c>
      <c r="U19" s="20">
        <f>'BS,CF and P&amp;L'!FB260</f>
        <v>38.035878477859782</v>
      </c>
      <c r="V19" s="20">
        <f>'BS,CF and P&amp;L'!FC260</f>
        <v>38.775833726882816</v>
      </c>
      <c r="W19" s="20">
        <f>'BS,CF and P&amp;L'!FD260</f>
        <v>76.811712204742605</v>
      </c>
      <c r="X19" s="20">
        <f>'BS,CF and P&amp;L'!FE260</f>
        <v>42.009169139359031</v>
      </c>
      <c r="Y19" s="20">
        <f>'BS,CF and P&amp;L'!FF260</f>
        <v>46.28450329692695</v>
      </c>
      <c r="Z19" s="20">
        <f>'BS,CF and P&amp;L'!FG260</f>
        <v>88.293672436285959</v>
      </c>
      <c r="AA19" s="20">
        <f>'BS,CF and P&amp;L'!FH260</f>
        <v>165.10538464102856</v>
      </c>
      <c r="AB19" s="9"/>
      <c r="AC19" s="26" t="s">
        <v>15</v>
      </c>
      <c r="AO19" s="40"/>
      <c r="AP19" s="40"/>
      <c r="AQ19" s="40"/>
      <c r="AR19" s="40"/>
      <c r="AS19" s="40"/>
      <c r="AT19" s="40"/>
      <c r="BB19" s="40">
        <f ca="1">+Valuation!D11</f>
        <v>44</v>
      </c>
      <c r="BC19" s="9"/>
      <c r="BD19" s="9"/>
      <c r="BE19" s="9"/>
      <c r="BF19" s="9"/>
      <c r="BG19" s="9"/>
      <c r="BH19" s="9"/>
    </row>
    <row r="20" spans="2:61" ht="11.25" customHeight="1" x14ac:dyDescent="0.2">
      <c r="B20" s="1" t="s">
        <v>38</v>
      </c>
      <c r="C20" s="19">
        <f>'BS,CF and P&amp;L'!CB267</f>
        <v>38</v>
      </c>
      <c r="D20" s="19">
        <f>'BS,CF and P&amp;L'!CI267</f>
        <v>38</v>
      </c>
      <c r="E20" s="19">
        <f>'BS,CF and P&amp;L'!CP267</f>
        <v>40</v>
      </c>
      <c r="F20" s="20">
        <f>'BS,CF and P&amp;L'!CW267</f>
        <v>36</v>
      </c>
      <c r="G20" s="20">
        <f>'BS,CF and P&amp;L'!DD267</f>
        <v>10</v>
      </c>
      <c r="H20" s="20">
        <f>'BS,CF and P&amp;L'!DK267</f>
        <v>0</v>
      </c>
      <c r="I20" s="20">
        <f>'BS,CF and P&amp;L'!DR267</f>
        <v>70</v>
      </c>
      <c r="J20" s="20">
        <f>'BS,CF and P&amp;L'!DY267</f>
        <v>0</v>
      </c>
      <c r="K20" s="20">
        <f>'BS,CF and P&amp;L'!EF267</f>
        <v>0</v>
      </c>
      <c r="L20" s="20">
        <f>'BS,CF and P&amp;L'!EM267</f>
        <v>0</v>
      </c>
      <c r="M20" s="20">
        <f>'BS,CF and P&amp;L'!ET267</f>
        <v>0</v>
      </c>
      <c r="N20" s="20">
        <f>'BS,CF and P&amp;L'!EU267</f>
        <v>0</v>
      </c>
      <c r="O20" s="20">
        <f>'BS,CF and P&amp;L'!EV267</f>
        <v>0</v>
      </c>
      <c r="P20" s="20">
        <f>'BS,CF and P&amp;L'!EW267</f>
        <v>0</v>
      </c>
      <c r="Q20" s="20">
        <f>'BS,CF and P&amp;L'!EX267</f>
        <v>0</v>
      </c>
      <c r="R20" s="20">
        <f>'BS,CF and P&amp;L'!EY267</f>
        <v>0</v>
      </c>
      <c r="S20" s="20">
        <f>'BS,CF and P&amp;L'!EZ267</f>
        <v>0</v>
      </c>
      <c r="T20" s="20">
        <f>'BS,CF and P&amp;L'!FA267</f>
        <v>0</v>
      </c>
      <c r="U20" s="20">
        <f>'BS,CF and P&amp;L'!FB267</f>
        <v>0</v>
      </c>
      <c r="V20" s="20">
        <f>'BS,CF and P&amp;L'!FC267</f>
        <v>0</v>
      </c>
      <c r="W20" s="20">
        <f>'BS,CF and P&amp;L'!FD267</f>
        <v>0</v>
      </c>
      <c r="X20" s="20">
        <f>'BS,CF and P&amp;L'!FE267</f>
        <v>0</v>
      </c>
      <c r="Y20" s="20">
        <f>'BS,CF and P&amp;L'!FF267</f>
        <v>0</v>
      </c>
      <c r="Z20" s="20">
        <f>'BS,CF and P&amp;L'!FG267</f>
        <v>0</v>
      </c>
      <c r="AA20" s="20">
        <f>'BS,CF and P&amp;L'!FH267</f>
        <v>0</v>
      </c>
      <c r="AB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13"/>
      <c r="BE20" s="9"/>
      <c r="BF20" s="9"/>
      <c r="BG20" s="9"/>
      <c r="BH20" s="9"/>
    </row>
    <row r="21" spans="2:61" ht="11.25" customHeight="1" x14ac:dyDescent="0.2">
      <c r="B21" s="1" t="s">
        <v>39</v>
      </c>
      <c r="C21" s="41">
        <f>'BS,CF and P&amp;L'!CB277</f>
        <v>0</v>
      </c>
      <c r="D21" s="41">
        <f>'BS,CF and P&amp;L'!CI277</f>
        <v>0</v>
      </c>
      <c r="E21" s="41">
        <f>'BS,CF and P&amp;L'!CP277</f>
        <v>0</v>
      </c>
      <c r="F21" s="41">
        <f>'BS,CF and P&amp;L'!CW277</f>
        <v>0</v>
      </c>
      <c r="G21" s="41">
        <f>'BS,CF and P&amp;L'!DD277</f>
        <v>0</v>
      </c>
      <c r="H21" s="41">
        <f>'BS,CF and P&amp;L'!DK277</f>
        <v>0</v>
      </c>
      <c r="I21" s="41">
        <f>'BS,CF and P&amp;L'!DR277</f>
        <v>0</v>
      </c>
      <c r="J21" s="41">
        <f>'BS,CF and P&amp;L'!DY277</f>
        <v>0</v>
      </c>
      <c r="K21" s="41">
        <f>'BS,CF and P&amp;L'!EF277</f>
        <v>0</v>
      </c>
      <c r="L21" s="41">
        <f>'BS,CF and P&amp;L'!EM277</f>
        <v>0</v>
      </c>
      <c r="M21" s="41">
        <f>'BS,CF and P&amp;L'!ET277</f>
        <v>0</v>
      </c>
      <c r="N21" s="41">
        <f>'BS,CF and P&amp;L'!EU277</f>
        <v>0</v>
      </c>
      <c r="O21" s="41">
        <f>'BS,CF and P&amp;L'!EV277</f>
        <v>0</v>
      </c>
      <c r="P21" s="41">
        <f>'BS,CF and P&amp;L'!EW277</f>
        <v>0</v>
      </c>
      <c r="Q21" s="41">
        <f>'BS,CF and P&amp;L'!EX277</f>
        <v>0</v>
      </c>
      <c r="R21" s="41">
        <f>'BS,CF and P&amp;L'!EY277</f>
        <v>0</v>
      </c>
      <c r="S21" s="41">
        <f>'BS,CF and P&amp;L'!EZ277</f>
        <v>0</v>
      </c>
      <c r="T21" s="41">
        <f>'BS,CF and P&amp;L'!FA277</f>
        <v>0</v>
      </c>
      <c r="U21" s="41">
        <f>'BS,CF and P&amp;L'!FB277</f>
        <v>0</v>
      </c>
      <c r="V21" s="41">
        <f>'BS,CF and P&amp;L'!FC277</f>
        <v>0</v>
      </c>
      <c r="W21" s="41">
        <f>'BS,CF and P&amp;L'!FD277</f>
        <v>0</v>
      </c>
      <c r="X21" s="41">
        <f>'BS,CF and P&amp;L'!FE277</f>
        <v>0</v>
      </c>
      <c r="Y21" s="41">
        <f>'BS,CF and P&amp;L'!FF277</f>
        <v>0</v>
      </c>
      <c r="Z21" s="41">
        <f>'BS,CF and P&amp;L'!FG277</f>
        <v>0</v>
      </c>
      <c r="AA21" s="41">
        <f>'BS,CF and P&amp;L'!FH277</f>
        <v>0</v>
      </c>
      <c r="AB21" s="9"/>
      <c r="AC21" s="10" t="s">
        <v>40</v>
      </c>
      <c r="AD21" s="11" t="str">
        <f t="shared" ref="AD21:AU21" si="0">C6</f>
        <v>FY16A</v>
      </c>
      <c r="AE21" s="11" t="str">
        <f t="shared" si="0"/>
        <v>FY17A</v>
      </c>
      <c r="AF21" s="11" t="str">
        <f t="shared" si="0"/>
        <v>FY18A</v>
      </c>
      <c r="AG21" s="11" t="str">
        <f t="shared" si="0"/>
        <v>FY19A</v>
      </c>
      <c r="AH21" s="11" t="str">
        <f t="shared" si="0"/>
        <v>FY20A</v>
      </c>
      <c r="AI21" s="11" t="str">
        <f t="shared" si="0"/>
        <v>FY21A</v>
      </c>
      <c r="AJ21" s="11" t="str">
        <f t="shared" si="0"/>
        <v>FY22A</v>
      </c>
      <c r="AK21" s="11" t="str">
        <f t="shared" si="0"/>
        <v>FY23A</v>
      </c>
      <c r="AL21" s="11" t="str">
        <f t="shared" si="0"/>
        <v>FY24A</v>
      </c>
      <c r="AM21" s="11" t="str">
        <f t="shared" si="0"/>
        <v>FY25A</v>
      </c>
      <c r="AN21" s="11" t="str">
        <f t="shared" si="0"/>
        <v>FY26E</v>
      </c>
      <c r="AO21" s="11" t="str">
        <f t="shared" si="0"/>
        <v>1Q27E</v>
      </c>
      <c r="AP21" s="11" t="str">
        <f t="shared" si="0"/>
        <v>2Q27E</v>
      </c>
      <c r="AQ21" s="11" t="str">
        <f t="shared" si="0"/>
        <v>1H27E</v>
      </c>
      <c r="AR21" s="11" t="str">
        <f t="shared" si="0"/>
        <v>3Q27E</v>
      </c>
      <c r="AS21" s="11" t="str">
        <f t="shared" si="0"/>
        <v>4Q27E</v>
      </c>
      <c r="AT21" s="11" t="str">
        <f t="shared" si="0"/>
        <v>2H27E</v>
      </c>
      <c r="AU21" s="11" t="str">
        <f t="shared" si="0"/>
        <v>FY27E</v>
      </c>
      <c r="AV21" s="11" t="str">
        <f t="shared" ref="AV21:BA21" si="1">U6</f>
        <v>1Q28E</v>
      </c>
      <c r="AW21" s="11" t="str">
        <f t="shared" si="1"/>
        <v>2Q28E</v>
      </c>
      <c r="AX21" s="11" t="str">
        <f t="shared" si="1"/>
        <v>1H28E</v>
      </c>
      <c r="AY21" s="11" t="str">
        <f t="shared" si="1"/>
        <v>3Q28E</v>
      </c>
      <c r="AZ21" s="11" t="str">
        <f t="shared" si="1"/>
        <v>4Q28E</v>
      </c>
      <c r="BA21" s="11" t="str">
        <f t="shared" si="1"/>
        <v>2H28E</v>
      </c>
      <c r="BB21" s="11" t="str">
        <f>AA6</f>
        <v>FY28E</v>
      </c>
      <c r="BE21" s="9"/>
      <c r="BF21" s="9"/>
      <c r="BG21" s="9"/>
      <c r="BH21" s="9"/>
    </row>
    <row r="22" spans="2:61" ht="11.25" customHeight="1" x14ac:dyDescent="0.2"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9"/>
      <c r="AC22" s="1" t="s">
        <v>689</v>
      </c>
      <c r="AD22" s="9">
        <v>48.076284979253096</v>
      </c>
      <c r="AE22" s="9">
        <v>46.526424738955818</v>
      </c>
      <c r="AF22" s="9">
        <v>40.318974222843181</v>
      </c>
      <c r="AG22" s="9">
        <v>38.474513144758731</v>
      </c>
      <c r="AH22" s="9">
        <v>32.833709461756371</v>
      </c>
      <c r="AI22" s="9">
        <v>25.314279825327496</v>
      </c>
      <c r="AJ22" s="9">
        <v>18.699783083615277</v>
      </c>
      <c r="AK22" s="9">
        <v>19.156310883567297</v>
      </c>
      <c r="AL22" s="9">
        <v>16.173800480565365</v>
      </c>
      <c r="AM22" s="9">
        <v>17.45729604221636</v>
      </c>
      <c r="AN22" s="9">
        <v>24.20103200944493</v>
      </c>
      <c r="AO22" s="9">
        <v>83.55098809858535</v>
      </c>
      <c r="AP22" s="9">
        <v>84.320882272268733</v>
      </c>
      <c r="AQ22" s="9">
        <v>41.99802849716351</v>
      </c>
      <c r="AR22" s="9">
        <v>79.673288281923519</v>
      </c>
      <c r="AS22" s="9">
        <v>68.003559784241389</v>
      </c>
      <c r="AT22" s="9">
        <v>36.71344686922334</v>
      </c>
      <c r="AU22" s="9">
        <v>19.59606548567146</v>
      </c>
      <c r="AV22" s="9">
        <v>68.352273503271917</v>
      </c>
      <c r="AW22" s="9">
        <v>67.050588579212416</v>
      </c>
      <c r="AX22" s="9">
        <v>33.868075993578302</v>
      </c>
      <c r="AY22" s="9">
        <v>61.890084821975222</v>
      </c>
      <c r="AZ22" s="9">
        <v>56.181225152361492</v>
      </c>
      <c r="BA22" s="9">
        <v>29.465219015621809</v>
      </c>
      <c r="BB22" s="9">
        <v>15.761363756709477</v>
      </c>
      <c r="BE22" s="9"/>
      <c r="BF22" s="9"/>
      <c r="BG22" s="9"/>
      <c r="BH22" s="9"/>
      <c r="BI22" s="9"/>
    </row>
    <row r="23" spans="2:61" ht="11.25" customHeight="1" x14ac:dyDescent="0.2">
      <c r="B23" s="10" t="s">
        <v>669</v>
      </c>
      <c r="C23" s="11" t="str">
        <f t="shared" ref="C23:J23" si="2">C6</f>
        <v>FY16A</v>
      </c>
      <c r="D23" s="11" t="str">
        <f t="shared" si="2"/>
        <v>FY17A</v>
      </c>
      <c r="E23" s="11" t="str">
        <f t="shared" si="2"/>
        <v>FY18A</v>
      </c>
      <c r="F23" s="11" t="str">
        <f t="shared" si="2"/>
        <v>FY19A</v>
      </c>
      <c r="G23" s="11" t="str">
        <f>G6</f>
        <v>FY20A</v>
      </c>
      <c r="H23" s="11" t="str">
        <f t="shared" si="2"/>
        <v>FY21A</v>
      </c>
      <c r="I23" s="11" t="str">
        <f t="shared" si="2"/>
        <v>FY22A</v>
      </c>
      <c r="J23" s="11" t="str">
        <f t="shared" si="2"/>
        <v>FY23A</v>
      </c>
      <c r="K23" s="11" t="str">
        <f>K6</f>
        <v>FY24A</v>
      </c>
      <c r="L23" s="11" t="str">
        <f>L6</f>
        <v>FY25A</v>
      </c>
      <c r="M23" s="11" t="str">
        <f>M6</f>
        <v>FY26E</v>
      </c>
      <c r="N23" s="11" t="str">
        <f t="shared" ref="N23:AA23" si="3">N6</f>
        <v>1Q27E</v>
      </c>
      <c r="O23" s="11" t="str">
        <f t="shared" si="3"/>
        <v>2Q27E</v>
      </c>
      <c r="P23" s="11" t="str">
        <f t="shared" si="3"/>
        <v>1H27E</v>
      </c>
      <c r="Q23" s="11" t="str">
        <f t="shared" si="3"/>
        <v>3Q27E</v>
      </c>
      <c r="R23" s="11" t="str">
        <f t="shared" si="3"/>
        <v>4Q27E</v>
      </c>
      <c r="S23" s="11" t="str">
        <f t="shared" si="3"/>
        <v>2H27E</v>
      </c>
      <c r="T23" s="11" t="str">
        <f t="shared" si="3"/>
        <v>FY27E</v>
      </c>
      <c r="U23" s="11" t="str">
        <f t="shared" ref="U23:Z23" si="4">U6</f>
        <v>1Q28E</v>
      </c>
      <c r="V23" s="11" t="str">
        <f t="shared" si="4"/>
        <v>2Q28E</v>
      </c>
      <c r="W23" s="11" t="str">
        <f t="shared" si="4"/>
        <v>1H28E</v>
      </c>
      <c r="X23" s="11" t="str">
        <f t="shared" si="4"/>
        <v>3Q28E</v>
      </c>
      <c r="Y23" s="11" t="str">
        <f t="shared" si="4"/>
        <v>4Q28E</v>
      </c>
      <c r="Z23" s="11" t="str">
        <f t="shared" si="4"/>
        <v>2H28E</v>
      </c>
      <c r="AA23" s="11" t="str">
        <f t="shared" si="3"/>
        <v>FY28E</v>
      </c>
      <c r="AC23" s="1" t="s">
        <v>41</v>
      </c>
      <c r="AD23" s="9">
        <f>($BB$7*$BB$14)/(('BS,CF and P&amp;L'!CB261))*100</f>
        <v>46.184800082987536</v>
      </c>
      <c r="AE23" s="9">
        <f>($BB$7*$BB$14)/(('BS,CF and P&amp;L'!CI261))*100</f>
        <v>44.695916626506019</v>
      </c>
      <c r="AF23" s="9">
        <f>($BB$7*$BB$14)/(('BS,CF and P&amp;L'!CP261))*100</f>
        <v>38.732688368843881</v>
      </c>
      <c r="AG23" s="9">
        <f>($BB$7*$BB$14)/(('BS,CF and P&amp;L'!CW261))*100</f>
        <v>36.960794675540768</v>
      </c>
      <c r="AH23" s="9">
        <f>($BB$7*$BB$14)/(('BS,CF and P&amp;L'!DD261))*100</f>
        <v>31.541919433427761</v>
      </c>
      <c r="AI23" s="43">
        <f>($BB$7*$BB$14)/(('BS,CF and P&amp;L'!DK261))*100</f>
        <v>24.381857292576409</v>
      </c>
      <c r="AJ23" s="43">
        <f>($BB$7*$BB$14)/(('BS,CF and P&amp;L'!DR261))*100</f>
        <v>18.010997970033838</v>
      </c>
      <c r="AK23" s="43">
        <f>($BB$7*$BB$14)/(('BS,CF and P&amp;L'!DY261))*100</f>
        <v>18.450710090834026</v>
      </c>
      <c r="AL23" s="9">
        <f>($BB$7*$BB$14)/(('BS,CF and P&amp;L'!EF261))*100</f>
        <v>15.578057045936392</v>
      </c>
      <c r="AM23" s="9">
        <f>($BB$7*$BB$14)/(('BS,CF and P&amp;L'!EM261))*100</f>
        <v>16.814276517150397</v>
      </c>
      <c r="AN23" s="9">
        <f>($BB$7*$BB$14)/(('BS,CF and P&amp;L'!ET261))*100</f>
        <v>23.309614686213028</v>
      </c>
      <c r="AO23" s="9">
        <f>($BB$7*$BB$14)/(('BS,CF and P&amp;L'!EU261))*100</f>
        <v>80.473483051066935</v>
      </c>
      <c r="AP23" s="9">
        <f>($BB$7*$BB$14)/(('BS,CF and P&amp;L'!EV261))*100</f>
        <v>81.215019053776089</v>
      </c>
      <c r="AQ23" s="9">
        <f>($BB$7*$BB$14)/(('BS,CF and P&amp;L'!EW261))*100</f>
        <v>40.451079171641027</v>
      </c>
      <c r="AR23" s="9">
        <f>($BB$7*$BB$14)/(('BS,CF and P&amp;L'!EX261))*100</f>
        <v>76.738613870285263</v>
      </c>
      <c r="AS23" s="9">
        <f>($BB$7*$BB$14)/(('BS,CF and P&amp;L'!EY261))*100</f>
        <v>65.498726469304614</v>
      </c>
      <c r="AT23" s="9">
        <f>($BB$7*$BB$14)/(('BS,CF and P&amp;L'!EZ261))*100</f>
        <v>35.361149061344435</v>
      </c>
      <c r="AU23" s="9">
        <f>($BB$7*$BB$14)/(('BS,CF and P&amp;L'!FA261))*100</f>
        <v>18.874266835337171</v>
      </c>
      <c r="AV23" s="9">
        <f>($BB$7*$BB$14)/(('BS,CF and P&amp;L'!FB261))*100</f>
        <v>65.834595717493087</v>
      </c>
      <c r="AW23" s="9">
        <f>($BB$7*$BB$14)/(('BS,CF and P&amp;L'!FC261))*100</f>
        <v>64.580856868222611</v>
      </c>
      <c r="AX23" s="9">
        <f>($BB$7*$BB$14)/(('BS,CF and P&amp;L'!FD261))*100</f>
        <v>32.620584166228632</v>
      </c>
      <c r="AY23" s="9">
        <f>($BB$7*$BB$14)/(('BS,CF and P&amp;L'!FE261))*100</f>
        <v>59.610434362231622</v>
      </c>
      <c r="AZ23" s="9">
        <f>($BB$7*$BB$14)/(('BS,CF and P&amp;L'!FF261))*100</f>
        <v>54.111854006467297</v>
      </c>
      <c r="BA23" s="9">
        <f>($BB$7*$BB$14)/(('BS,CF and P&amp;L'!FG261))*100</f>
        <v>28.379901387303452</v>
      </c>
      <c r="BB23" s="9">
        <f>($BB$7*$BB$14)/(('BS,CF and P&amp;L'!FH261))*100</f>
        <v>15.180811956893377</v>
      </c>
      <c r="BE23" s="9"/>
      <c r="BF23" s="9"/>
      <c r="BG23" s="9"/>
      <c r="BH23" s="9"/>
      <c r="BI23" s="9"/>
    </row>
    <row r="24" spans="2:61" ht="11.25" customHeight="1" x14ac:dyDescent="0.2">
      <c r="B24" s="1" t="s">
        <v>42</v>
      </c>
      <c r="C24" s="9">
        <f>'BS,CF and P&amp;L'!CB103</f>
        <v>431</v>
      </c>
      <c r="D24" s="9">
        <f>'BS,CF and P&amp;L'!CI103</f>
        <v>411</v>
      </c>
      <c r="E24" s="9">
        <f>'BS,CF and P&amp;L'!CP103</f>
        <v>626.69999999999993</v>
      </c>
      <c r="F24" s="44">
        <f>'BS,CF and P&amp;L'!CW103</f>
        <v>521.9</v>
      </c>
      <c r="G24" s="44">
        <f>'BS,CF and P&amp;L'!DD103</f>
        <v>696.7</v>
      </c>
      <c r="H24" s="44">
        <f>'BS,CF and P&amp;L'!DK103</f>
        <v>959.2</v>
      </c>
      <c r="I24" s="44">
        <f>'BS,CF and P&amp;L'!DR103</f>
        <v>1139</v>
      </c>
      <c r="J24" s="44">
        <f>'BS,CF and P&amp;L'!DY103</f>
        <v>1045.8</v>
      </c>
      <c r="K24" s="44">
        <f>'BS,CF and P&amp;L'!EF103</f>
        <v>1322.4</v>
      </c>
      <c r="L24" s="44">
        <f>'BS,CF and P&amp;L'!EM103</f>
        <v>1298.9000000000001</v>
      </c>
      <c r="M24" s="44">
        <f>'BS,CF and P&amp;L'!ET103</f>
        <v>1571.2687629531147</v>
      </c>
      <c r="N24" s="44">
        <f>'BS,CF and P&amp;L'!EU103</f>
        <v>375.10772129152883</v>
      </c>
      <c r="O24" s="44">
        <f>'BS,CF and P&amp;L'!EV103</f>
        <v>385.69209154078334</v>
      </c>
      <c r="P24" s="44">
        <f>'BS,CF and P&amp;L'!EW103</f>
        <v>760.79981283231223</v>
      </c>
      <c r="Q24" s="44">
        <f>'BS,CF and P&amp;L'!EX103</f>
        <v>390.63701778133333</v>
      </c>
      <c r="R24" s="44">
        <f>'BS,CF and P&amp;L'!EY103</f>
        <v>427.71934491714796</v>
      </c>
      <c r="S24" s="44">
        <f>'BS,CF and P&amp;L'!EZ103</f>
        <v>818.35636269848123</v>
      </c>
      <c r="T24" s="44">
        <f>'BS,CF and P&amp;L'!FA103</f>
        <v>1579.1561755307935</v>
      </c>
      <c r="U24" s="44">
        <f>'BS,CF and P&amp;L'!FB103</f>
        <v>416.71341924513638</v>
      </c>
      <c r="V24" s="44">
        <f>'BS,CF and P&amp;L'!FC103</f>
        <v>434.39860256477471</v>
      </c>
      <c r="W24" s="44">
        <f>'BS,CF and P&amp;L'!FD103</f>
        <v>851.11202180991108</v>
      </c>
      <c r="X24" s="44">
        <f>'BS,CF and P&amp;L'!FE103</f>
        <v>449.57613264892609</v>
      </c>
      <c r="Y24" s="44">
        <f>'BS,CF and P&amp;L'!FF103</f>
        <v>475.46125263132717</v>
      </c>
      <c r="Z24" s="44">
        <f>'BS,CF and P&amp;L'!FG103</f>
        <v>925.03738528025326</v>
      </c>
      <c r="AA24" s="44">
        <f>'BS,CF and P&amp;L'!FH103</f>
        <v>1776.1494070901645</v>
      </c>
      <c r="AC24" s="1" t="s">
        <v>43</v>
      </c>
      <c r="AD24" s="9">
        <f>Valuation!$C$53/'BS,CF and P&amp;L'!CB48</f>
        <v>78.448899519451913</v>
      </c>
      <c r="AE24" s="9">
        <f>Valuation!$C$53/'BS,CF and P&amp;L'!CI48</f>
        <v>77.629647675754569</v>
      </c>
      <c r="AF24" s="9">
        <f>Valuation!$C$53/'BS,CF and P&amp;L'!CP48</f>
        <v>70.074354577120644</v>
      </c>
      <c r="AG24" s="9">
        <f>Valuation!$C$53/'BS,CF and P&amp;L'!CW48</f>
        <v>67.978705317646686</v>
      </c>
      <c r="AH24" s="9">
        <f>Valuation!$C$53/'BS,CF and P&amp;L'!DD48</f>
        <v>56.499967484634027</v>
      </c>
      <c r="AI24" s="9">
        <f>Valuation!$C$53/('BS,CF and P&amp;L'!DK48/$BB14)</f>
        <v>29.734253158399831</v>
      </c>
      <c r="AJ24" s="9">
        <f>Valuation!$C$53/('BS,CF and P&amp;L'!DR48/$BB14)</f>
        <v>22.931394355852742</v>
      </c>
      <c r="AK24" s="9">
        <f>Valuation!$C$53/('BS,CF and P&amp;L'!DY48/$BB14)</f>
        <v>23.984156497349961</v>
      </c>
      <c r="AL24" s="9">
        <f>Valuation!$C$53/('BS,CF and P&amp;L'!EF48/$BB14)</f>
        <v>19.879724953904653</v>
      </c>
      <c r="AM24" s="9">
        <f>Valuation!$C$53/('BS,CF and P&amp;L'!EM48/$BB14)</f>
        <v>21.666873536415078</v>
      </c>
      <c r="AN24" s="9">
        <f>Valuation!$C$53/('BS,CF and P&amp;L'!ET48/$BB14)</f>
        <v>20.080341331623934</v>
      </c>
      <c r="AO24" s="9">
        <f>Valuation!$C$53/('BS,CF and P&amp;L'!EU48/$BB14)</f>
        <v>64.597475794497143</v>
      </c>
      <c r="AP24" s="9">
        <f>Valuation!$C$53/('BS,CF and P&amp;L'!EV48/$BB14)</f>
        <v>65.877514787363253</v>
      </c>
      <c r="AQ24" s="9">
        <f>Valuation!$C$53/('BS,CF and P&amp;L'!EW48/$BB14)</f>
        <v>32.615608155253319</v>
      </c>
      <c r="AR24" s="9">
        <f>Valuation!$C$53/('BS,CF and P&amp;L'!EX48/$BB14)</f>
        <v>63.169696299925057</v>
      </c>
      <c r="AS24" s="9">
        <f>Valuation!$C$53/('BS,CF and P&amp;L'!EY48/$BB14)</f>
        <v>55.770215294119737</v>
      </c>
      <c r="AT24" s="9">
        <f>Valuation!$C$53/('BS,CF and P&amp;L'!EZ48/$BB14)</f>
        <v>29.61989390689417</v>
      </c>
      <c r="AU24" s="9">
        <f>Valuation!$C$53/('BS,CF and P&amp;L'!FA48/$BB14)</f>
        <v>15.522825738639188</v>
      </c>
      <c r="AV24" s="9">
        <f>Valuation!$C$53/('BS,CF and P&amp;L'!FB48/$BB14)</f>
        <v>56.781782166695457</v>
      </c>
      <c r="AW24" s="9">
        <f>Valuation!$C$53/('BS,CF and P&amp;L'!FC48/$BB14)</f>
        <v>56.573600711083813</v>
      </c>
      <c r="AX24" s="9">
        <f>Valuation!$C$53/('BS,CF and P&amp;L'!FD48/$BB14)</f>
        <v>28.338750136162048</v>
      </c>
      <c r="AY24" s="9">
        <f>Valuation!$C$53/('BS,CF and P&amp;L'!FE48/$BB14)</f>
        <v>53.04517155476217</v>
      </c>
      <c r="AZ24" s="9">
        <f>Valuation!$C$53/('BS,CF and P&amp;L'!FF48/$BB14)</f>
        <v>49.125015853544127</v>
      </c>
      <c r="BA24" s="9">
        <f>Valuation!$C$53/('BS,CF and P&amp;L'!FG48/$BB14)</f>
        <v>25.50494385576323</v>
      </c>
      <c r="BB24" s="9">
        <f>Valuation!$C$53/('BS,CF and P&amp;L'!FH48/$BB14)</f>
        <v>13.423637525198547</v>
      </c>
    </row>
    <row r="25" spans="2:61" ht="11.25" customHeight="1" x14ac:dyDescent="0.2">
      <c r="B25" s="1" t="s">
        <v>44</v>
      </c>
      <c r="C25" s="9">
        <f>'BS,CF and P&amp;L'!CB104</f>
        <v>-25</v>
      </c>
      <c r="D25" s="9">
        <f>'BS,CF and P&amp;L'!CI104</f>
        <v>-27.200000000000003</v>
      </c>
      <c r="E25" s="9">
        <f>'BS,CF and P&amp;L'!CP104</f>
        <v>-31.400000000000002</v>
      </c>
      <c r="F25" s="44">
        <f>'BS,CF and P&amp;L'!CW104</f>
        <v>-52.099999999999994</v>
      </c>
      <c r="G25" s="44">
        <f>'BS,CF and P&amp;L'!DD104</f>
        <v>-55.199999999999996</v>
      </c>
      <c r="H25" s="44">
        <f>'BS,CF and P&amp;L'!DK104</f>
        <v>-60.8</v>
      </c>
      <c r="I25" s="44">
        <f>'BS,CF and P&amp;L'!DR104</f>
        <v>-40.200000000000003</v>
      </c>
      <c r="J25" s="44">
        <f>'BS,CF and P&amp;L'!DY104</f>
        <v>-34.9</v>
      </c>
      <c r="K25" s="44">
        <f>'BS,CF and P&amp;L'!EF104</f>
        <v>-15.299999999999997</v>
      </c>
      <c r="L25" s="44">
        <f>'BS,CF and P&amp;L'!EM104</f>
        <v>-9.5000000000000071</v>
      </c>
      <c r="M25" s="44">
        <f>'BS,CF and P&amp;L'!ET104</f>
        <v>-203.57682500000004</v>
      </c>
      <c r="N25" s="44">
        <f>'BS,CF and P&amp;L'!EU104</f>
        <v>-60.176408535583903</v>
      </c>
      <c r="O25" s="44">
        <f>'BS,CF and P&amp;L'!EV104</f>
        <v>-56.661587512133195</v>
      </c>
      <c r="P25" s="44">
        <f>'BS,CF and P&amp;L'!EW104</f>
        <v>-116.8379960477171</v>
      </c>
      <c r="Q25" s="44">
        <f>'BS,CF and P&amp;L'!EX104</f>
        <v>-55.458566477918765</v>
      </c>
      <c r="R25" s="44">
        <f>'BS,CF and P&amp;L'!EY104</f>
        <v>-53.058769131685246</v>
      </c>
      <c r="S25" s="44">
        <f>'BS,CF and P&amp;L'!EZ104</f>
        <v>-108.517335609604</v>
      </c>
      <c r="T25" s="44">
        <f>'BS,CF and P&amp;L'!FA104</f>
        <v>-225.3553316573211</v>
      </c>
      <c r="U25" s="44">
        <f>'BS,CF and P&amp;L'!FB104</f>
        <v>-52.114351492846232</v>
      </c>
      <c r="V25" s="44">
        <f>'BS,CF and P&amp;L'!FC104</f>
        <v>-47.895912479247521</v>
      </c>
      <c r="W25" s="44">
        <f>'BS,CF and P&amp;L'!FD104</f>
        <v>-100.01026397209375</v>
      </c>
      <c r="X25" s="44">
        <f>'BS,CF and P&amp;L'!FE104</f>
        <v>-46.14676584348247</v>
      </c>
      <c r="Y25" s="44">
        <f>'BS,CF and P&amp;L'!FF104</f>
        <v>-42.902868074111247</v>
      </c>
      <c r="Z25" s="44">
        <f>'BS,CF and P&amp;L'!FG104</f>
        <v>-89.049633917593724</v>
      </c>
      <c r="AA25" s="44">
        <f>'BS,CF and P&amp;L'!FH104</f>
        <v>-189.05989788968748</v>
      </c>
      <c r="AC25" s="1" t="s">
        <v>45</v>
      </c>
      <c r="AD25" s="9">
        <f>Valuation!$C$53/'BS,CF and P&amp;L'!CB36</f>
        <v>63.578789115857241</v>
      </c>
      <c r="AE25" s="9">
        <f>Valuation!$C$53/'BS,CF and P&amp;L'!CI36</f>
        <v>62.881079495930152</v>
      </c>
      <c r="AF25" s="9">
        <f>Valuation!$C$53/'BS,CF and P&amp;L'!CP36</f>
        <v>56.768181984561096</v>
      </c>
      <c r="AG25" s="9">
        <f>Valuation!$C$53/'BS,CF and P&amp;L'!CW36</f>
        <v>52.569159349235186</v>
      </c>
      <c r="AH25" s="9">
        <f>Valuation!$C$53/'BS,CF and P&amp;L'!DD36</f>
        <v>44.897460286516235</v>
      </c>
      <c r="AI25" s="9">
        <f>Valuation!$C$53/('BS,CF and P&amp;L'!DK36/$BB14)</f>
        <v>24.480163922295151</v>
      </c>
      <c r="AJ25" s="9">
        <f>Valuation!$C$53/('BS,CF and P&amp;L'!DR36/$BB14)</f>
        <v>19.135303086385814</v>
      </c>
      <c r="AK25" s="9">
        <f>Valuation!$C$53/('BS,CF and P&amp;L'!DY36/$BB14)</f>
        <v>19.63759474657024</v>
      </c>
      <c r="AL25" s="9">
        <f>Valuation!$C$53/('BS,CF and P&amp;L'!EF36/$BB14)</f>
        <v>16.623273697123359</v>
      </c>
      <c r="AM25" s="9">
        <f>Valuation!$C$53/('BS,CF and P&amp;L'!EM36/$BB14)</f>
        <v>17.327075446204834</v>
      </c>
      <c r="AN25" s="9">
        <f>Valuation!$C$53/('BS,CF and P&amp;L'!ET36/$BB14)</f>
        <v>14.951884474658131</v>
      </c>
      <c r="AO25" s="9">
        <f>Valuation!$C$53/('BS,CF and P&amp;L'!EU36/$BB14)</f>
        <v>50.127199651330649</v>
      </c>
      <c r="AP25" s="9">
        <f>Valuation!$C$53/('BS,CF and P&amp;L'!EV36/$BB14)</f>
        <v>48.744411597145309</v>
      </c>
      <c r="AQ25" s="9">
        <f>Valuation!$C$53/('BS,CF and P&amp;L'!EW36/$BB14)</f>
        <v>24.713067999631729</v>
      </c>
      <c r="AR25" s="9">
        <f>Valuation!$C$53/('BS,CF and P&amp;L'!EX36/$BB14)</f>
        <v>48.12419913935387</v>
      </c>
      <c r="AS25" s="9">
        <f>Valuation!$C$53/('BS,CF and P&amp;L'!EY36/$BB14)</f>
        <v>43.932335845046879</v>
      </c>
      <c r="AT25" s="9">
        <f>Valuation!$C$53/('BS,CF and P&amp;L'!EZ36/$BB14)</f>
        <v>22.966413837130293</v>
      </c>
      <c r="AU25" s="9">
        <f>Valuation!$C$53/('BS,CF and P&amp;L'!FA36/$BB14)</f>
        <v>11.903874056514463</v>
      </c>
      <c r="AV25" s="9">
        <f>Valuation!$C$53/('BS,CF and P&amp;L'!FB36/$BB14)</f>
        <v>45.09823981745398</v>
      </c>
      <c r="AW25" s="9">
        <f>Valuation!$C$53/('BS,CF and P&amp;L'!FC36/$BB14)</f>
        <v>43.253713415578737</v>
      </c>
      <c r="AX25" s="9">
        <f>Valuation!$C$53/('BS,CF and P&amp;L'!FD36/$BB14)</f>
        <v>22.078361249877702</v>
      </c>
      <c r="AY25" s="9">
        <f>Valuation!$C$53/('BS,CF and P&amp;L'!FE36/$BB14)</f>
        <v>41.786958401787267</v>
      </c>
      <c r="AZ25" s="9">
        <f>Valuation!$C$53/('BS,CF and P&amp;L'!FF36/$BB14)</f>
        <v>39.502377718746395</v>
      </c>
      <c r="BA25" s="9">
        <f>Valuation!$C$53/('BS,CF and P&amp;L'!FG36/$BB14)</f>
        <v>20.306282389332754</v>
      </c>
      <c r="BB25" s="9">
        <f>Valuation!$C$53/('BS,CF and P&amp;L'!FH36/$BB14)</f>
        <v>10.57763849685796</v>
      </c>
    </row>
    <row r="26" spans="2:61" ht="11.25" customHeight="1" x14ac:dyDescent="0.2">
      <c r="B26" s="1" t="s">
        <v>46</v>
      </c>
      <c r="C26" s="9">
        <f>'BS,CF and P&amp;L'!CB105</f>
        <v>-86.1</v>
      </c>
      <c r="D26" s="9">
        <f>'BS,CF and P&amp;L'!CI105</f>
        <v>-90.5</v>
      </c>
      <c r="E26" s="9">
        <f>'BS,CF and P&amp;L'!CP105</f>
        <v>-27.099999999999998</v>
      </c>
      <c r="F26" s="44">
        <f>'BS,CF and P&amp;L'!CW105</f>
        <v>-71.8</v>
      </c>
      <c r="G26" s="44">
        <f>'BS,CF and P&amp;L'!DD105</f>
        <v>-78.100000000000009</v>
      </c>
      <c r="H26" s="44">
        <f>'BS,CF and P&amp;L'!DK105</f>
        <v>-109.69999999999999</v>
      </c>
      <c r="I26" s="44">
        <f>'BS,CF and P&amp;L'!DR105</f>
        <v>-154.5</v>
      </c>
      <c r="J26" s="44">
        <f>'BS,CF and P&amp;L'!DY105</f>
        <v>-152.19999999999999</v>
      </c>
      <c r="K26" s="44">
        <f>'BS,CF and P&amp;L'!EF105</f>
        <v>-211.7</v>
      </c>
      <c r="L26" s="44">
        <f>'BS,CF and P&amp;L'!EM105</f>
        <v>-198.3</v>
      </c>
      <c r="M26" s="44">
        <f>'BS,CF and P&amp;L'!ET105</f>
        <v>-137.72412499912122</v>
      </c>
      <c r="N26" s="44">
        <f>'BS,CF and P&amp;L'!EU105</f>
        <v>-50.956301296634209</v>
      </c>
      <c r="O26" s="44">
        <f>'BS,CF and P&amp;L'!EV105</f>
        <v>-50.491043362614292</v>
      </c>
      <c r="P26" s="44">
        <f>'BS,CF and P&amp;L'!EW105</f>
        <v>-101.4473446592485</v>
      </c>
      <c r="Q26" s="44">
        <f>'BS,CF and P&amp;L'!EX105</f>
        <v>-53.436345040988549</v>
      </c>
      <c r="R26" s="44">
        <f>'BS,CF and P&amp;L'!EY105</f>
        <v>-62.606271446536866</v>
      </c>
      <c r="S26" s="44">
        <f>'BS,CF and P&amp;L'!EZ105</f>
        <v>-116.04261648752541</v>
      </c>
      <c r="T26" s="44">
        <f>'BS,CF and P&amp;L'!FA105</f>
        <v>-217.48996114677391</v>
      </c>
      <c r="U26" s="44">
        <f>'BS,CF and P&amp;L'!FB105</f>
        <v>-58.703047547391151</v>
      </c>
      <c r="V26" s="44">
        <f>'BS,CF and P&amp;L'!FC105</f>
        <v>-59.842677692449662</v>
      </c>
      <c r="W26" s="44">
        <f>'BS,CF and P&amp;L'!FD105</f>
        <v>-118.54572523984081</v>
      </c>
      <c r="X26" s="44">
        <f>'BS,CF and P&amp;L'!FE105</f>
        <v>-64.83246505440475</v>
      </c>
      <c r="Y26" s="44">
        <f>'BS,CF and P&amp;L'!FF105</f>
        <v>-71.420421155877861</v>
      </c>
      <c r="Z26" s="44">
        <f>'BS,CF and P&amp;L'!FG105</f>
        <v>-136.25288621028261</v>
      </c>
      <c r="AA26" s="44">
        <f>'BS,CF and P&amp;L'!FH105</f>
        <v>-254.79861145012342</v>
      </c>
    </row>
    <row r="27" spans="2:61" ht="11.25" customHeight="1" x14ac:dyDescent="0.2">
      <c r="B27" s="1" t="s">
        <v>47</v>
      </c>
      <c r="C27" s="9">
        <f>'BS,CF and P&amp;L'!CB106</f>
        <v>-37.400000000000006</v>
      </c>
      <c r="D27" s="9">
        <f>'BS,CF and P&amp;L'!CI106</f>
        <v>-31.19846461751456</v>
      </c>
      <c r="E27" s="9">
        <f>'BS,CF and P&amp;L'!CP106</f>
        <v>5.1984646175146167</v>
      </c>
      <c r="F27" s="44">
        <f>'BS,CF and P&amp;L'!CW106</f>
        <v>-51.400000000000034</v>
      </c>
      <c r="G27" s="44">
        <f>'BS,CF and P&amp;L'!DD106</f>
        <v>-77.200000000000102</v>
      </c>
      <c r="H27" s="44">
        <f>'BS,CF and P&amp;L'!DK106+'BS,CF and P&amp;L'!DK109</f>
        <v>151.49999999999994</v>
      </c>
      <c r="I27" s="44">
        <f>'BS,CF and P&amp;L'!DR106+'BS,CF and P&amp;L'!DR109</f>
        <v>61.400000000000091</v>
      </c>
      <c r="J27" s="44">
        <f>'BS,CF and P&amp;L'!DY106+'BS,CF and P&amp;L'!DY109</f>
        <v>-141.50000000000006</v>
      </c>
      <c r="K27" s="44">
        <f>'BS,CF and P&amp;L'!EF106+'BS,CF and P&amp;L'!EF109</f>
        <v>-89.399999999999977</v>
      </c>
      <c r="L27" s="44">
        <f>'BS,CF and P&amp;L'!EM106+'BS,CF and P&amp;L'!EM109</f>
        <v>-189.10000000000008</v>
      </c>
      <c r="M27" s="44">
        <f>'BS,CF and P&amp;L'!ET106+'BS,CF and P&amp;L'!ET109</f>
        <v>-535.54785860108984</v>
      </c>
      <c r="N27" s="44">
        <f>'BS,CF and P&amp;L'!EU106+'BS,CF and P&amp;L'!EU109</f>
        <v>109.89174288295294</v>
      </c>
      <c r="O27" s="44">
        <f>'BS,CF and P&amp;L'!EV106+'BS,CF and P&amp;L'!EV109</f>
        <v>-53.933332465354738</v>
      </c>
      <c r="P27" s="44">
        <f>'BS,CF and P&amp;L'!EW106+'BS,CF and P&amp;L'!EW109</f>
        <v>55.958410417598202</v>
      </c>
      <c r="Q27" s="44">
        <f>'BS,CF and P&amp;L'!EX106+'BS,CF and P&amp;L'!EX109</f>
        <v>21.07112577188218</v>
      </c>
      <c r="R27" s="44">
        <f>'BS,CF and P&amp;L'!EY106+'BS,CF and P&amp;L'!EY109</f>
        <v>-113.13069631664996</v>
      </c>
      <c r="S27" s="44">
        <f>'BS,CF and P&amp;L'!EZ106+'BS,CF and P&amp;L'!EZ109</f>
        <v>-92.05957054476778</v>
      </c>
      <c r="T27" s="44">
        <f>'BS,CF and P&amp;L'!FA106+'BS,CF and P&amp;L'!FA109</f>
        <v>-36.101160127169578</v>
      </c>
      <c r="U27" s="44">
        <f>'BS,CF and P&amp;L'!FB106+'BS,CF and P&amp;L'!FB109</f>
        <v>116.76580808210019</v>
      </c>
      <c r="V27" s="44">
        <f>'BS,CF and P&amp;L'!FC106+'BS,CF and P&amp;L'!FC109</f>
        <v>-64.100837143315971</v>
      </c>
      <c r="W27" s="44">
        <f>'BS,CF and P&amp;L'!FD106+'BS,CF and P&amp;L'!FD109</f>
        <v>52.664970938784222</v>
      </c>
      <c r="X27" s="44">
        <f>'BS,CF and P&amp;L'!FE106+'BS,CF and P&amp;L'!FE109</f>
        <v>23.408604915353749</v>
      </c>
      <c r="Y27" s="44">
        <f>'BS,CF and P&amp;L'!FF106+'BS,CF and P&amp;L'!FF109</f>
        <v>-121.59256647664495</v>
      </c>
      <c r="Z27" s="44">
        <f>'BS,CF and P&amp;L'!FG106+'BS,CF and P&amp;L'!FG109</f>
        <v>-98.183961561291198</v>
      </c>
      <c r="AA27" s="44">
        <f>'BS,CF and P&amp;L'!FH106+'BS,CF and P&amp;L'!FH109</f>
        <v>-45.518990622506976</v>
      </c>
      <c r="AC27" s="10" t="s">
        <v>48</v>
      </c>
      <c r="AD27" s="11" t="str">
        <f t="shared" ref="AD27:AJ27" si="5">AD21</f>
        <v>FY16A</v>
      </c>
      <c r="AE27" s="11" t="str">
        <f t="shared" si="5"/>
        <v>FY17A</v>
      </c>
      <c r="AF27" s="11" t="str">
        <f t="shared" si="5"/>
        <v>FY18A</v>
      </c>
      <c r="AG27" s="11" t="str">
        <f t="shared" si="5"/>
        <v>FY19A</v>
      </c>
      <c r="AH27" s="11" t="str">
        <f>AH21</f>
        <v>FY20A</v>
      </c>
      <c r="AI27" s="11" t="str">
        <f t="shared" si="5"/>
        <v>FY21A</v>
      </c>
      <c r="AJ27" s="11" t="str">
        <f t="shared" si="5"/>
        <v>FY22A</v>
      </c>
      <c r="AK27" s="11" t="str">
        <f>AK21</f>
        <v>FY23A</v>
      </c>
      <c r="AL27" s="11" t="str">
        <f>AL21</f>
        <v>FY24A</v>
      </c>
      <c r="AM27" s="11" t="str">
        <f>AM21</f>
        <v>FY25A</v>
      </c>
      <c r="AN27" s="11" t="str">
        <f>AN21</f>
        <v>FY26E</v>
      </c>
      <c r="AO27" s="11" t="str">
        <f t="shared" ref="AO27:BB27" si="6">AO21</f>
        <v>1Q27E</v>
      </c>
      <c r="AP27" s="11" t="str">
        <f t="shared" si="6"/>
        <v>2Q27E</v>
      </c>
      <c r="AQ27" s="11" t="str">
        <f t="shared" si="6"/>
        <v>1H27E</v>
      </c>
      <c r="AR27" s="11" t="str">
        <f t="shared" si="6"/>
        <v>3Q27E</v>
      </c>
      <c r="AS27" s="11" t="str">
        <f t="shared" si="6"/>
        <v>4Q27E</v>
      </c>
      <c r="AT27" s="11" t="str">
        <f t="shared" si="6"/>
        <v>2H27E</v>
      </c>
      <c r="AU27" s="11" t="str">
        <f t="shared" si="6"/>
        <v>FY27E</v>
      </c>
      <c r="AV27" s="11" t="str">
        <f t="shared" ref="AV27:BA27" si="7">AV21</f>
        <v>1Q28E</v>
      </c>
      <c r="AW27" s="11" t="str">
        <f t="shared" si="7"/>
        <v>2Q28E</v>
      </c>
      <c r="AX27" s="11" t="str">
        <f t="shared" si="7"/>
        <v>1H28E</v>
      </c>
      <c r="AY27" s="11" t="str">
        <f t="shared" si="7"/>
        <v>3Q28E</v>
      </c>
      <c r="AZ27" s="11" t="str">
        <f t="shared" si="7"/>
        <v>4Q28E</v>
      </c>
      <c r="BA27" s="11" t="str">
        <f t="shared" si="7"/>
        <v>2H28E</v>
      </c>
      <c r="BB27" s="11" t="str">
        <f t="shared" si="6"/>
        <v>FY28E</v>
      </c>
      <c r="BE27" s="3"/>
      <c r="BF27" s="3"/>
      <c r="BG27" s="3"/>
      <c r="BH27" s="3"/>
      <c r="BI27" s="3"/>
    </row>
    <row r="28" spans="2:61" ht="11.25" customHeight="1" x14ac:dyDescent="0.2">
      <c r="B28" s="45" t="s">
        <v>49</v>
      </c>
      <c r="C28" s="46">
        <f>'BS,CF and P&amp;L'!CB109+'BS,CF and P&amp;L'!CB108</f>
        <v>-22.100000000000023</v>
      </c>
      <c r="D28" s="46">
        <f>'BS,CF and P&amp;L'!CI109+'BS,CF and P&amp;L'!CI108</f>
        <v>29.998464617514585</v>
      </c>
      <c r="E28" s="46">
        <f>'BS,CF and P&amp;L'!CP109+'BS,CF and P&amp;L'!CP108</f>
        <v>-278.39846461751461</v>
      </c>
      <c r="F28" s="47">
        <f>'BS,CF and P&amp;L'!CW109+'BS,CF and P&amp;L'!CW108</f>
        <v>-28.399999999999963</v>
      </c>
      <c r="G28" s="47">
        <f>'BS,CF and P&amp;L'!DD109+'BS,CF and P&amp;L'!DD108</f>
        <v>-34.999999999999858</v>
      </c>
      <c r="H28" s="47">
        <f>'BS,CF and P&amp;L'!DK108</f>
        <v>-153.30000000000001</v>
      </c>
      <c r="I28" s="47">
        <f>'BS,CF and P&amp;L'!DR108</f>
        <v>-248.5</v>
      </c>
      <c r="J28" s="47">
        <f>'BS,CF and P&amp;L'!DY108</f>
        <v>-109.6</v>
      </c>
      <c r="K28" s="47">
        <f>'BS,CF and P&amp;L'!EF108</f>
        <v>-91.8</v>
      </c>
      <c r="L28" s="47">
        <f>'BS,CF and P&amp;L'!EM108</f>
        <v>-99.2</v>
      </c>
      <c r="M28" s="47">
        <f>'BS,CF and P&amp;L'!ET108</f>
        <v>-67.34</v>
      </c>
      <c r="N28" s="47">
        <f>'BS,CF and P&amp;L'!EU108</f>
        <v>-25</v>
      </c>
      <c r="O28" s="47">
        <f>'BS,CF and P&amp;L'!EV108</f>
        <v>-25</v>
      </c>
      <c r="P28" s="47">
        <f>'BS,CF and P&amp;L'!EW108</f>
        <v>-50</v>
      </c>
      <c r="Q28" s="47">
        <f>'BS,CF and P&amp;L'!EX108</f>
        <v>-25</v>
      </c>
      <c r="R28" s="47">
        <f>'BS,CF and P&amp;L'!EY108</f>
        <v>-25</v>
      </c>
      <c r="S28" s="47">
        <f>'BS,CF and P&amp;L'!EZ108</f>
        <v>-50</v>
      </c>
      <c r="T28" s="47">
        <f>'BS,CF and P&amp;L'!FA108</f>
        <v>-100</v>
      </c>
      <c r="U28" s="47">
        <f>'BS,CF and P&amp;L'!FB108</f>
        <v>-25</v>
      </c>
      <c r="V28" s="47">
        <f>'BS,CF and P&amp;L'!FC108</f>
        <v>-25</v>
      </c>
      <c r="W28" s="47">
        <f>'BS,CF and P&amp;L'!FD108</f>
        <v>-50</v>
      </c>
      <c r="X28" s="47">
        <f>'BS,CF and P&amp;L'!FE108</f>
        <v>-25</v>
      </c>
      <c r="Y28" s="47">
        <f>'BS,CF and P&amp;L'!FF108</f>
        <v>-25</v>
      </c>
      <c r="Z28" s="47">
        <f>'BS,CF and P&amp;L'!FG108</f>
        <v>-50</v>
      </c>
      <c r="AA28" s="47">
        <f>'BS,CF and P&amp;L'!FH108</f>
        <v>-100</v>
      </c>
      <c r="AC28" s="1" t="s">
        <v>50</v>
      </c>
      <c r="AD28" s="31">
        <f>'BS,CF and P&amp;L'!CB86</f>
        <v>4.4612134017506744E-2</v>
      </c>
      <c r="AE28" s="31">
        <f>'BS,CF and P&amp;L'!CI86</f>
        <v>0.1112459546925566</v>
      </c>
      <c r="AF28" s="31">
        <f>'BS,CF and P&amp;L'!CP86</f>
        <v>0.29003068282281941</v>
      </c>
      <c r="AG28" s="16">
        <f>'BS,CF and P&amp;L'!CW86</f>
        <v>1.0521647988390059E-2</v>
      </c>
      <c r="AH28" s="16">
        <f>'BS,CF and P&amp;L'!DD86</f>
        <v>3.9932979614632824E-2</v>
      </c>
      <c r="AI28" s="16">
        <f>'BS,CF and P&amp;L'!DK86</f>
        <v>0.11581249040969777</v>
      </c>
      <c r="AJ28" s="16">
        <f>'BS,CF and P&amp;L'!DR86</f>
        <v>0.24272011551552231</v>
      </c>
      <c r="AK28" s="16">
        <f>'BS,CF and P&amp;L'!DY86</f>
        <v>4.4927656513680247E-2</v>
      </c>
      <c r="AL28" s="16">
        <f>'BS,CF and P&amp;L'!EF86</f>
        <v>4.214873845013356E-2</v>
      </c>
      <c r="AM28" s="16">
        <f>'BS,CF and P&amp;L'!EM86</f>
        <v>-1.4937885831872388E-2</v>
      </c>
      <c r="AN28" s="16">
        <f>'BS,CF and P&amp;L'!ET86</f>
        <v>0.25010797082088421</v>
      </c>
      <c r="AO28" s="16">
        <f>'BS,CF and P&amp;L'!EU86</f>
        <v>0.5533208041165858</v>
      </c>
      <c r="AP28" s="16">
        <f>'BS,CF and P&amp;L'!EV86</f>
        <v>0.12897056475599733</v>
      </c>
      <c r="AQ28" s="16">
        <f>'BS,CF and P&amp;L'!EW86</f>
        <v>0.47533396446946008</v>
      </c>
      <c r="AR28" s="16">
        <f>'BS,CF and P&amp;L'!EX86</f>
        <v>0.12764316024421651</v>
      </c>
      <c r="AS28" s="16">
        <f>'BS,CF and P&amp;L'!EY86</f>
        <v>8.4715103921155777E-2</v>
      </c>
      <c r="AT28" s="16">
        <f>'BS,CF and P&amp;L'!EZ86</f>
        <v>7.6098334980102766E-2</v>
      </c>
      <c r="AU28" s="16">
        <f>'BS,CF and P&amp;L'!FA86</f>
        <v>0.19448922077771402</v>
      </c>
      <c r="AV28" s="16">
        <f>'BS,CF and P&amp;L'!FB86</f>
        <v>9.2415904311147212E-2</v>
      </c>
      <c r="AW28" s="16">
        <f>'BS,CF and P&amp;L'!FC86</f>
        <v>0.10641740276307599</v>
      </c>
      <c r="AX28" s="16">
        <f>'BS,CF and P&amp;L'!FD86</f>
        <v>9.956619809774736E-2</v>
      </c>
      <c r="AY28" s="16">
        <f>'BS,CF and P&amp;L'!FE86</f>
        <v>0.1061448743409743</v>
      </c>
      <c r="AZ28" s="16">
        <f>'BS,CF and P&amp;L'!FF86</f>
        <v>9.8472876692607958E-2</v>
      </c>
      <c r="BA28" s="16">
        <f>'BS,CF and P&amp;L'!FG86</f>
        <v>0.10212939514676656</v>
      </c>
      <c r="BB28" s="16">
        <f>'BS,CF and P&amp;L'!FH86</f>
        <v>0.10086476533696764</v>
      </c>
    </row>
    <row r="29" spans="2:61" ht="11.25" customHeight="1" x14ac:dyDescent="0.2">
      <c r="B29" s="26" t="s">
        <v>51</v>
      </c>
      <c r="C29" s="36">
        <f t="shared" ref="C29:I29" si="8">SUM(C24:C28)</f>
        <v>260.39999999999998</v>
      </c>
      <c r="D29" s="36">
        <f t="shared" si="8"/>
        <v>292.10000000000002</v>
      </c>
      <c r="E29" s="36">
        <f t="shared" si="8"/>
        <v>294.99999999999989</v>
      </c>
      <c r="F29" s="48">
        <f t="shared" si="8"/>
        <v>318.19999999999993</v>
      </c>
      <c r="G29" s="48">
        <f>SUM(G24:G28)</f>
        <v>451.20000000000005</v>
      </c>
      <c r="H29" s="48">
        <f t="shared" si="8"/>
        <v>786.90000000000009</v>
      </c>
      <c r="I29" s="48">
        <f t="shared" si="8"/>
        <v>757.2</v>
      </c>
      <c r="J29" s="48">
        <f>SUM(J24:J28)</f>
        <v>607.6</v>
      </c>
      <c r="K29" s="48">
        <f>SUM(K24:K28)</f>
        <v>914.20000000000016</v>
      </c>
      <c r="L29" s="48">
        <f>SUM(L24:L28)</f>
        <v>802.8</v>
      </c>
      <c r="M29" s="48">
        <f>SUM(M24:M28)</f>
        <v>627.07995435290354</v>
      </c>
      <c r="N29" s="48">
        <f t="shared" ref="N29:T29" si="9">SUM(N24:N28)</f>
        <v>348.86675434226368</v>
      </c>
      <c r="O29" s="48">
        <f t="shared" si="9"/>
        <v>199.60612820068116</v>
      </c>
      <c r="P29" s="48">
        <f t="shared" si="9"/>
        <v>548.47288254294483</v>
      </c>
      <c r="Q29" s="48">
        <f t="shared" si="9"/>
        <v>277.81323203430821</v>
      </c>
      <c r="R29" s="48">
        <f t="shared" si="9"/>
        <v>173.92360802227586</v>
      </c>
      <c r="S29" s="48">
        <f t="shared" si="9"/>
        <v>451.73684005658401</v>
      </c>
      <c r="T29" s="48">
        <f t="shared" si="9"/>
        <v>1000.2097225995287</v>
      </c>
      <c r="U29" s="48">
        <f t="shared" ref="U29:Z29" si="10">SUM(U24:U28)</f>
        <v>397.66182828699914</v>
      </c>
      <c r="V29" s="48">
        <f t="shared" si="10"/>
        <v>237.55917524976155</v>
      </c>
      <c r="W29" s="48">
        <f t="shared" si="10"/>
        <v>635.2210035367608</v>
      </c>
      <c r="X29" s="48">
        <f t="shared" si="10"/>
        <v>337.00550666639265</v>
      </c>
      <c r="Y29" s="48">
        <f t="shared" si="10"/>
        <v>214.54539692469308</v>
      </c>
      <c r="Z29" s="48">
        <f t="shared" si="10"/>
        <v>551.55090359108567</v>
      </c>
      <c r="AA29" s="48">
        <f>SUM(AA24:AA28)</f>
        <v>1186.7719071278466</v>
      </c>
      <c r="AB29" s="3"/>
      <c r="AC29" s="1" t="s">
        <v>52</v>
      </c>
      <c r="AD29" s="31">
        <f>'BS,CF and P&amp;L'!CB263</f>
        <v>8.5217467033701588E-2</v>
      </c>
      <c r="AE29" s="31">
        <f>'BS,CF and P&amp;L'!CI263</f>
        <v>3.3311397748548854E-2</v>
      </c>
      <c r="AF29" s="31">
        <f>'BS,CF and P&amp;L'!CP263</f>
        <v>0.15395854273980336</v>
      </c>
      <c r="AG29" s="16">
        <f>'BS,CF and P&amp;L'!CW263</f>
        <v>4.7939815928137897E-2</v>
      </c>
      <c r="AH29" s="16">
        <f>'BS,CF and P&amp;L'!DD263</f>
        <v>0.1717991593235173</v>
      </c>
      <c r="AI29" s="16">
        <f>'BS,CF and P&amp;L'!DK263</f>
        <v>0.29366352427267262</v>
      </c>
      <c r="AJ29" s="16">
        <f>'BS,CF and P&amp;L'!DR263</f>
        <v>0.35372050638960806</v>
      </c>
      <c r="AK29" s="16">
        <f>'BS,CF and P&amp;L'!DY263</f>
        <v>-2.3831718055048134E-2</v>
      </c>
      <c r="AL29" s="16">
        <f>'BS,CF and P&amp;L'!EF263</f>
        <v>0.18440380828153247</v>
      </c>
      <c r="AM29" s="16">
        <f>'BS,CF and P&amp;L'!EM263</f>
        <v>-7.3522013864413038E-2</v>
      </c>
      <c r="AN29" s="16">
        <f>'BS,CF and P&amp;L'!ET263</f>
        <v>-0.27865489226230911</v>
      </c>
      <c r="AO29" s="16">
        <f>'BS,CF and P&amp;L'!EU263</f>
        <v>5.8389815680878421E-2</v>
      </c>
      <c r="AP29" s="16">
        <f>'BS,CF and P&amp;L'!EV263</f>
        <v>0.15744871866639221</v>
      </c>
      <c r="AQ29" s="16">
        <f>'BS,CF and P&amp;L'!EW263</f>
        <v>0.32496416735273437</v>
      </c>
      <c r="AR29" s="16">
        <f>'BS,CF and P&amp;L'!EX263</f>
        <v>0.33971230119797813</v>
      </c>
      <c r="AS29" s="16">
        <f>'BS,CF and P&amp;L'!EY263</f>
        <v>0.27226898827657497</v>
      </c>
      <c r="AT29" s="16">
        <f>'BS,CF and P&amp;L'!EZ263</f>
        <v>0.16513230917849486</v>
      </c>
      <c r="AU29" s="16">
        <f>'BS,CF and P&amp;L'!FA263</f>
        <v>0.23499444452972429</v>
      </c>
      <c r="AV29" s="16">
        <f>'BS,CF and P&amp;L'!FB263</f>
        <v>0.22235858174616374</v>
      </c>
      <c r="AW29" s="16">
        <f>'BS,CF and P&amp;L'!FC263</f>
        <v>0.2575710975699117</v>
      </c>
      <c r="AX29" s="16">
        <f>'BS,CF and P&amp;L'!FD263</f>
        <v>0.24004766332538985</v>
      </c>
      <c r="AY29" s="16">
        <f>'BS,CF and P&amp;L'!FE263</f>
        <v>0.28733525751501365</v>
      </c>
      <c r="AZ29" s="16">
        <f>'BS,CF and P&amp;L'!FF263</f>
        <v>0.2104321256757602</v>
      </c>
      <c r="BA29" s="16">
        <f>'BS,CF and P&amp;L'!FG263</f>
        <v>0.24599266850040014</v>
      </c>
      <c r="BB29" s="16">
        <f>'BS,CF and P&amp;L'!FH263</f>
        <v>0.24329758440665294</v>
      </c>
      <c r="BE29" s="19"/>
      <c r="BF29" s="19"/>
      <c r="BG29" s="19"/>
      <c r="BH29" s="19"/>
      <c r="BI29" s="19"/>
    </row>
    <row r="30" spans="2:61" ht="11.25" customHeight="1" x14ac:dyDescent="0.2">
      <c r="B30" s="1" t="s">
        <v>53</v>
      </c>
      <c r="C30" s="9">
        <f>'BS,CF and P&amp;L'!CB114</f>
        <v>-73.2</v>
      </c>
      <c r="D30" s="9">
        <f>'BS,CF and P&amp;L'!CI112</f>
        <v>-69</v>
      </c>
      <c r="E30" s="9">
        <f>'BS,CF and P&amp;L'!CP112</f>
        <v>-66.200000000000017</v>
      </c>
      <c r="F30" s="44">
        <f>'BS,CF and P&amp;L'!CW112</f>
        <v>-78</v>
      </c>
      <c r="G30" s="44">
        <f>'BS,CF and P&amp;L'!DD112</f>
        <v>-106.6</v>
      </c>
      <c r="H30" s="44">
        <f>'BS,CF and P&amp;L'!DK112</f>
        <v>-71.3</v>
      </c>
      <c r="I30" s="44">
        <f>'BS,CF and P&amp;L'!DR112</f>
        <v>-161.6</v>
      </c>
      <c r="J30" s="44">
        <f>'BS,CF and P&amp;L'!DY112</f>
        <v>-212.9</v>
      </c>
      <c r="K30" s="44">
        <f>'BS,CF and P&amp;L'!EF112</f>
        <v>-180.60000000000002</v>
      </c>
      <c r="L30" s="44">
        <f>'BS,CF and P&amp;L'!EM112</f>
        <v>-256.89999999999998</v>
      </c>
      <c r="M30" s="44">
        <f>'BS,CF and P&amp;L'!ET112</f>
        <v>-292.72420000000005</v>
      </c>
      <c r="N30" s="44">
        <f>'BS,CF and P&amp;L'!EU112</f>
        <v>-66.862943999999999</v>
      </c>
      <c r="O30" s="44">
        <f>'BS,CF and P&amp;L'!EV112</f>
        <v>-79.831016320000003</v>
      </c>
      <c r="P30" s="44">
        <f>'BS,CF and P&amp;L'!EW112</f>
        <v>-146.69396032</v>
      </c>
      <c r="Q30" s="44">
        <f>'BS,CF and P&amp;L'!EX112</f>
        <v>-74.051166809600005</v>
      </c>
      <c r="R30" s="44">
        <f>'BS,CF and P&amp;L'!EY112</f>
        <v>-72.291121813888012</v>
      </c>
      <c r="S30" s="44">
        <f>'BS,CF and P&amp;L'!EZ112</f>
        <v>-146.342288623488</v>
      </c>
      <c r="T30" s="44">
        <f>'BS,CF and P&amp;L'!FA112</f>
        <v>-293.03624894348798</v>
      </c>
      <c r="U30" s="44">
        <f>'BS,CF and P&amp;L'!FB112</f>
        <v>-68.265864319999991</v>
      </c>
      <c r="V30" s="44">
        <f>'BS,CF and P&amp;L'!FC112</f>
        <v>-81.444356809600009</v>
      </c>
      <c r="W30" s="44">
        <f>'BS,CF and P&amp;L'!FD112</f>
        <v>-149.7102211296</v>
      </c>
      <c r="X30" s="44">
        <f>'BS,CF and P&amp;L'!FE112</f>
        <v>-75.994211813887986</v>
      </c>
      <c r="Y30" s="44">
        <f>'BS,CF and P&amp;L'!FF112</f>
        <v>-74.193503668304658</v>
      </c>
      <c r="Z30" s="44">
        <f>'BS,CF and P&amp;L'!FG112</f>
        <v>-150.18771548219263</v>
      </c>
      <c r="AA30" s="44">
        <f>'BS,CF and P&amp;L'!FH112</f>
        <v>-299.8979366117926</v>
      </c>
      <c r="AB30" s="14"/>
      <c r="AC30" s="1" t="s">
        <v>54</v>
      </c>
      <c r="AD30" s="31">
        <f>(SUM(C29+C33)/'BS,CF and P&amp;L'!CB249)/($BB$7*BB14)</f>
        <v>1.7358773133077647E-2</v>
      </c>
      <c r="AE30" s="31">
        <f>(SUM(D29+D30)/'BS,CF and P&amp;L'!CI251)/($BB$7*$BB14)</f>
        <v>2.0046214584435364E-2</v>
      </c>
      <c r="AF30" s="31">
        <f>(SUM(E29+E30)/'BS,CF and P&amp;L'!CP251)/($BB$7*$BB14)</f>
        <v>2.0632745934567192E-2</v>
      </c>
      <c r="AG30" s="49">
        <f>(SUM(F29+F30)/'BS,CF and P&amp;L'!CW251)/($BB$7*$BB14)</f>
        <v>2.1626549147890545E-2</v>
      </c>
      <c r="AH30" s="49">
        <f>(SUM(G29+G30)/'BS,CF and P&amp;L'!DD251)/($BB$7*$BB14)</f>
        <v>3.0949415366621474E-2</v>
      </c>
      <c r="AI30" s="49">
        <f>(SUM(H29+H30)/'BS,CF and P&amp;L'!DK251)/($BB$7*$BB14)</f>
        <v>6.4082296770840416E-2</v>
      </c>
      <c r="AJ30" s="537">
        <f>(SUM(I29+I30)/'BS,CF and P&amp;L'!DR251)/($BB$7*$BB14)</f>
        <v>5.3276436246223025E-2</v>
      </c>
      <c r="AK30" s="537">
        <f>(SUM(J29+J30)/'BS,CF and P&amp;L'!DY251)/($BB$7*$BB14)</f>
        <v>3.5329695464935286E-2</v>
      </c>
      <c r="AL30" s="537">
        <f>(SUM(K29+K30)/'BS,CF and P&amp;L'!EF251)/($BB$7*$BB14)</f>
        <v>6.6560961762200971E-2</v>
      </c>
      <c r="AM30" s="537">
        <f>(SUM(L29+L30)/'BS,CF and P&amp;L'!EM251)/($BB$7*$BB14)</f>
        <v>5.0390280708626285E-2</v>
      </c>
      <c r="AN30" s="537">
        <f>(SUM(M29+M30)/'BS,CF and P&amp;L'!ET251)/($BB$7*$BB14)</f>
        <v>2.4475592080282185E-2</v>
      </c>
      <c r="AO30" s="537">
        <f>(SUM(N29+N30)/'BS,CF and P&amp;L'!EU251)/($BB$7*$BB14)</f>
        <v>1.9396901429312191E-2</v>
      </c>
      <c r="AP30" s="537">
        <f>(SUM(O29+O30)/'BS,CF and P&amp;L'!EV251)/($BB$7*$BB14)</f>
        <v>8.2384207362826024E-3</v>
      </c>
      <c r="AQ30" s="537">
        <f>(SUM(P29+P30)/'BS,CF and P&amp;L'!EW251)/($BB$7*$BB14)</f>
        <v>2.7635322165594792E-2</v>
      </c>
      <c r="AR30" s="537">
        <f>(SUM(Q29+Q30)/'BS,CF and P&amp;L'!EX251)/($BB$7*$BB14)</f>
        <v>1.4015245713878251E-2</v>
      </c>
      <c r="AS30" s="537">
        <f>(SUM(R29+R30)/'BS,CF and P&amp;L'!EY251)/($BB$7*$BB14)</f>
        <v>6.9905272365200525E-3</v>
      </c>
      <c r="AT30" s="537">
        <f>(SUM(S29+S30)/'BS,CF and P&amp;L'!EZ251)/($BB$7*$BB14)</f>
        <v>2.1005772950398301E-2</v>
      </c>
      <c r="AU30" s="537">
        <f>(SUM(T29+T30)/'BS,CF and P&amp;L'!FA251)/($BB$7*$BB14)</f>
        <v>4.8641095115993085E-2</v>
      </c>
      <c r="AV30" s="537">
        <f>(SUM(U29+U30)/'BS,CF and P&amp;L'!FB251)/($BB$7*$BB14)</f>
        <v>2.2656647924461037E-2</v>
      </c>
      <c r="AW30" s="537">
        <f>(SUM(V29+V30)/'BS,CF and P&amp;L'!FC251)/($BB$7*$BB14)</f>
        <v>1.0737953296672023E-2</v>
      </c>
      <c r="AX30" s="537">
        <f>(SUM(W29+W30)/'BS,CF and P&amp;L'!FD251)/($BB$7*$BB14)</f>
        <v>3.3394601221133066E-2</v>
      </c>
      <c r="AY30" s="537">
        <f>(SUM(X29+X30)/'BS,CF and P&amp;L'!FE251)/($BB$7*$BB14)</f>
        <v>1.7952985642451135E-2</v>
      </c>
      <c r="AZ30" s="537">
        <f>(SUM(Y29+Y30)/'BS,CF and P&amp;L'!FF251)/($BB$7*$BB14)</f>
        <v>9.6537413292656846E-3</v>
      </c>
      <c r="BA30" s="537">
        <f>(SUM(Z29+Z30)/'BS,CF and P&amp;L'!FG251)/($BB$7*$BB14)</f>
        <v>2.7606726971716813E-2</v>
      </c>
      <c r="BB30" s="537">
        <f>(SUM(AA29+AA30)/'BS,CF and P&amp;L'!FH251)/($BB$7*$BB14)</f>
        <v>6.1001328192849896E-2</v>
      </c>
      <c r="BD30" s="50"/>
      <c r="BE30" s="50"/>
      <c r="BF30" s="16"/>
      <c r="BG30" s="19"/>
      <c r="BH30" s="19"/>
      <c r="BI30" s="19"/>
    </row>
    <row r="31" spans="2:61" ht="11.25" customHeight="1" x14ac:dyDescent="0.2">
      <c r="B31" s="1" t="s">
        <v>55</v>
      </c>
      <c r="C31" s="9"/>
      <c r="D31" s="9">
        <f>'BS,CF and P&amp;L'!CI113</f>
        <v>-32.9</v>
      </c>
      <c r="E31" s="9">
        <f>'BS,CF and P&amp;L'!CP113</f>
        <v>-137.49999999999997</v>
      </c>
      <c r="F31" s="44">
        <f>'BS,CF and P&amp;L'!CW113</f>
        <v>-223.10000000000002</v>
      </c>
      <c r="G31" s="44">
        <f>'BS,CF and P&amp;L'!DD113</f>
        <v>-87.200000000000017</v>
      </c>
      <c r="H31" s="44">
        <f>'BS,CF and P&amp;L'!DK113</f>
        <v>-39.4</v>
      </c>
      <c r="I31" s="44">
        <f>'BS,CF and P&amp;L'!DR113</f>
        <v>-96.2</v>
      </c>
      <c r="J31" s="44">
        <f>'BS,CF and P&amp;L'!DY113</f>
        <v>-378.4</v>
      </c>
      <c r="K31" s="44">
        <f>'BS,CF and P&amp;L'!EF113</f>
        <v>-268.7</v>
      </c>
      <c r="L31" s="44">
        <f>'BS,CF and P&amp;L'!EM113</f>
        <v>-165.3</v>
      </c>
      <c r="M31" s="44">
        <f>'BS,CF and P&amp;L'!ET113</f>
        <v>-82</v>
      </c>
      <c r="N31" s="44">
        <f>'BS,CF and P&amp;L'!EU113</f>
        <v>-35</v>
      </c>
      <c r="O31" s="44">
        <f>'BS,CF and P&amp;L'!EV113</f>
        <v>-35</v>
      </c>
      <c r="P31" s="44">
        <f>'BS,CF and P&amp;L'!EW113</f>
        <v>-70</v>
      </c>
      <c r="Q31" s="44">
        <f>'BS,CF and P&amp;L'!EX113</f>
        <v>-35</v>
      </c>
      <c r="R31" s="44">
        <f>'BS,CF and P&amp;L'!EY113</f>
        <v>-35</v>
      </c>
      <c r="S31" s="44">
        <f>'BS,CF and P&amp;L'!EZ113</f>
        <v>-70</v>
      </c>
      <c r="T31" s="44">
        <f>'BS,CF and P&amp;L'!FA113</f>
        <v>-140</v>
      </c>
      <c r="U31" s="44">
        <f>'BS,CF and P&amp;L'!FB113</f>
        <v>-33</v>
      </c>
      <c r="V31" s="44">
        <f>'BS,CF and P&amp;L'!FC113</f>
        <v>-33</v>
      </c>
      <c r="W31" s="44">
        <f>'BS,CF and P&amp;L'!FD113</f>
        <v>-66</v>
      </c>
      <c r="X31" s="44">
        <f>'BS,CF and P&amp;L'!FE113</f>
        <v>-33</v>
      </c>
      <c r="Y31" s="44">
        <f>'BS,CF and P&amp;L'!FF113</f>
        <v>-33</v>
      </c>
      <c r="Z31" s="44">
        <f>'BS,CF and P&amp;L'!FG113</f>
        <v>-66</v>
      </c>
      <c r="AA31" s="44">
        <f>'BS,CF and P&amp;L'!FH113</f>
        <v>-132</v>
      </c>
      <c r="AB31" s="19"/>
      <c r="AC31" s="1" t="s">
        <v>668</v>
      </c>
      <c r="AD31" s="31">
        <f>+'BS,CF and P&amp;L'!CB287</f>
        <v>1.3989540084210411E-2</v>
      </c>
      <c r="AE31" s="31">
        <f>+'BS,CF and P&amp;L'!CI287</f>
        <v>1.3699963093020479E-2</v>
      </c>
      <c r="AF31" s="31">
        <f>+'BS,CF and P&amp;L'!CP287</f>
        <v>1.4026368731633349E-2</v>
      </c>
      <c r="AG31" s="16">
        <f>+'BS,CF and P&amp;L'!CW287</f>
        <v>1.3342872066091804E-2</v>
      </c>
      <c r="AH31" s="16">
        <f>+'BS,CF and P&amp;L'!DD287</f>
        <v>3.9537152199517756E-3</v>
      </c>
      <c r="AI31" s="16">
        <f>+'BS,CF and P&amp;L'!DK287</f>
        <v>0</v>
      </c>
      <c r="AJ31" s="16">
        <f>+'BS,CF and P&amp;L'!DR287</f>
        <v>2.5669073540526253E-2</v>
      </c>
      <c r="AK31" s="16">
        <f>+'BS,CF and P&amp;L'!DY287</f>
        <v>0</v>
      </c>
      <c r="AL31" s="16">
        <f>+'BS,CF and P&amp;L'!EF287</f>
        <v>0</v>
      </c>
      <c r="AM31" s="16">
        <f>+'BS,CF and P&amp;L'!EM287</f>
        <v>0</v>
      </c>
      <c r="AN31" s="16">
        <f>+'BS,CF and P&amp;L'!ET287</f>
        <v>0</v>
      </c>
      <c r="AO31" s="16">
        <f>+'BS,CF and P&amp;L'!EU287</f>
        <v>0</v>
      </c>
      <c r="AP31" s="16">
        <f>+'BS,CF and P&amp;L'!EV287</f>
        <v>0</v>
      </c>
      <c r="AQ31" s="16">
        <f>+'BS,CF and P&amp;L'!EW287</f>
        <v>0</v>
      </c>
      <c r="AR31" s="16">
        <f>+'BS,CF and P&amp;L'!EX287</f>
        <v>0</v>
      </c>
      <c r="AS31" s="16">
        <f>+'BS,CF and P&amp;L'!EY287</f>
        <v>0</v>
      </c>
      <c r="AT31" s="16">
        <f>+'BS,CF and P&amp;L'!EZ287</f>
        <v>0</v>
      </c>
      <c r="AU31" s="16">
        <f>+'BS,CF and P&amp;L'!FA287</f>
        <v>0</v>
      </c>
      <c r="AV31" s="16">
        <f>+'BS,CF and P&amp;L'!FB287</f>
        <v>0</v>
      </c>
      <c r="AW31" s="16">
        <f>+'BS,CF and P&amp;L'!FC287</f>
        <v>0</v>
      </c>
      <c r="AX31" s="16">
        <f>+'BS,CF and P&amp;L'!FD287</f>
        <v>0</v>
      </c>
      <c r="AY31" s="16">
        <f>+'BS,CF and P&amp;L'!FE287</f>
        <v>0</v>
      </c>
      <c r="AZ31" s="16">
        <f>+'BS,CF and P&amp;L'!FF287</f>
        <v>0</v>
      </c>
      <c r="BA31" s="16">
        <f>+'BS,CF and P&amp;L'!FG287</f>
        <v>0</v>
      </c>
      <c r="BB31" s="16">
        <f>+'BS,CF and P&amp;L'!FH287</f>
        <v>0</v>
      </c>
      <c r="BE31" s="19"/>
      <c r="BF31" s="19"/>
      <c r="BG31" s="19"/>
      <c r="BH31" s="19"/>
      <c r="BI31" s="19"/>
    </row>
    <row r="32" spans="2:61" ht="11.25" customHeight="1" x14ac:dyDescent="0.2">
      <c r="B32" s="45" t="s">
        <v>49</v>
      </c>
      <c r="C32" s="46">
        <f>'BS,CF and P&amp;L'!CB115+'BS,CF and P&amp;L'!CB116+'BS,CF and P&amp;L'!CB117</f>
        <v>6.6000000000000005</v>
      </c>
      <c r="D32" s="46">
        <f t="shared" ref="D32:K32" si="11">D33-SUM(D30:D31)</f>
        <v>-7.0999999999999943</v>
      </c>
      <c r="E32" s="46">
        <f t="shared" si="11"/>
        <v>3.0999999999999943</v>
      </c>
      <c r="F32" s="47">
        <f t="shared" si="11"/>
        <v>-564.10000000000014</v>
      </c>
      <c r="G32" s="47">
        <f>G33-SUM(G30:G31)</f>
        <v>-10</v>
      </c>
      <c r="H32" s="47">
        <f t="shared" si="11"/>
        <v>-9.7000000000000028</v>
      </c>
      <c r="I32" s="47">
        <f t="shared" si="11"/>
        <v>-90.400000000000034</v>
      </c>
      <c r="J32" s="47">
        <f t="shared" si="11"/>
        <v>-68.799999999999955</v>
      </c>
      <c r="K32" s="47">
        <f t="shared" si="11"/>
        <v>-21.299999999999955</v>
      </c>
      <c r="L32" s="47">
        <f>L33-SUM(L30:L31)</f>
        <v>-24.500000000000057</v>
      </c>
      <c r="M32" s="47">
        <f>M33-SUM(M30:M31)</f>
        <v>-3817.7000000000003</v>
      </c>
      <c r="N32" s="47">
        <f t="shared" ref="N32:T32" si="12">N33-SUM(N30:N31)</f>
        <v>0</v>
      </c>
      <c r="O32" s="47">
        <f t="shared" si="12"/>
        <v>0</v>
      </c>
      <c r="P32" s="47">
        <f t="shared" si="12"/>
        <v>0</v>
      </c>
      <c r="Q32" s="47">
        <f t="shared" si="12"/>
        <v>0</v>
      </c>
      <c r="R32" s="47">
        <f t="shared" si="12"/>
        <v>0</v>
      </c>
      <c r="S32" s="47">
        <f t="shared" si="12"/>
        <v>0</v>
      </c>
      <c r="T32" s="47">
        <f t="shared" si="12"/>
        <v>0</v>
      </c>
      <c r="U32" s="47">
        <f t="shared" ref="U32:Z32" si="13">U33-SUM(U30:U31)</f>
        <v>0</v>
      </c>
      <c r="V32" s="47">
        <f t="shared" si="13"/>
        <v>0</v>
      </c>
      <c r="W32" s="47">
        <f t="shared" si="13"/>
        <v>0</v>
      </c>
      <c r="X32" s="47">
        <f t="shared" si="13"/>
        <v>0</v>
      </c>
      <c r="Y32" s="47">
        <f t="shared" si="13"/>
        <v>0</v>
      </c>
      <c r="Z32" s="47">
        <f t="shared" si="13"/>
        <v>0</v>
      </c>
      <c r="AA32" s="47">
        <f>AA33-SUM(AA30:AA31)</f>
        <v>0</v>
      </c>
      <c r="AB32" s="19"/>
      <c r="AC32" s="1" t="s">
        <v>56</v>
      </c>
      <c r="AD32" s="31">
        <f>+'BS,CF and P&amp;L'!CB288</f>
        <v>0</v>
      </c>
      <c r="AE32" s="31">
        <f>+'BS,CF and P&amp;L'!CI288</f>
        <v>0</v>
      </c>
      <c r="AF32" s="31">
        <f>+'BS,CF and P&amp;L'!CP288</f>
        <v>0</v>
      </c>
      <c r="AG32" s="16">
        <f>+'BS,CF and P&amp;L'!CW288</f>
        <v>0</v>
      </c>
      <c r="AH32" s="16">
        <f>+'BS,CF and P&amp;L'!DD288</f>
        <v>0</v>
      </c>
      <c r="AI32" s="16">
        <f>+'BS,CF and P&amp;L'!DK288</f>
        <v>0</v>
      </c>
      <c r="AJ32" s="16">
        <f>+'BS,CF and P&amp;L'!DR288</f>
        <v>0</v>
      </c>
      <c r="AK32" s="16">
        <f>+'BS,CF and P&amp;L'!DY288</f>
        <v>0</v>
      </c>
      <c r="AL32" s="16">
        <f>+'BS,CF and P&amp;L'!EF288</f>
        <v>0</v>
      </c>
      <c r="AM32" s="16">
        <f>+'BS,CF and P&amp;L'!EM288</f>
        <v>0</v>
      </c>
      <c r="AN32" s="16">
        <f>+'BS,CF and P&amp;L'!ET288</f>
        <v>0</v>
      </c>
      <c r="AO32" s="16">
        <f>+'BS,CF and P&amp;L'!EU288</f>
        <v>0</v>
      </c>
      <c r="AP32" s="16">
        <f>+'BS,CF and P&amp;L'!EV288</f>
        <v>0</v>
      </c>
      <c r="AQ32" s="16">
        <f>+'BS,CF and P&amp;L'!EW288</f>
        <v>0</v>
      </c>
      <c r="AR32" s="16">
        <f>+'BS,CF and P&amp;L'!EX288</f>
        <v>0</v>
      </c>
      <c r="AS32" s="16">
        <f>+'BS,CF and P&amp;L'!EY288</f>
        <v>0</v>
      </c>
      <c r="AT32" s="16">
        <f>+'BS,CF and P&amp;L'!EZ288</f>
        <v>0</v>
      </c>
      <c r="AU32" s="16">
        <f>+'BS,CF and P&amp;L'!FA288</f>
        <v>0</v>
      </c>
      <c r="AV32" s="16">
        <f>+'BS,CF and P&amp;L'!FB288</f>
        <v>0</v>
      </c>
      <c r="AW32" s="16">
        <f>+'BS,CF and P&amp;L'!FC288</f>
        <v>0</v>
      </c>
      <c r="AX32" s="16">
        <f>+'BS,CF and P&amp;L'!FD288</f>
        <v>0</v>
      </c>
      <c r="AY32" s="16">
        <f>+'BS,CF and P&amp;L'!FE288</f>
        <v>0</v>
      </c>
      <c r="AZ32" s="16">
        <f>+'BS,CF and P&amp;L'!FF288</f>
        <v>0</v>
      </c>
      <c r="BA32" s="16">
        <f>+'BS,CF and P&amp;L'!FG288</f>
        <v>0</v>
      </c>
      <c r="BB32" s="16">
        <f>+'BS,CF and P&amp;L'!FH288</f>
        <v>0</v>
      </c>
      <c r="BE32" s="19"/>
      <c r="BF32" s="19"/>
      <c r="BG32" s="19"/>
      <c r="BH32" s="19"/>
      <c r="BI32" s="19"/>
    </row>
    <row r="33" spans="2:64" ht="11.25" customHeight="1" x14ac:dyDescent="0.2">
      <c r="B33" s="26" t="s">
        <v>57</v>
      </c>
      <c r="C33" s="36">
        <f>SUM(C30:C32)</f>
        <v>-66.600000000000009</v>
      </c>
      <c r="D33" s="36">
        <f>'BS,CF and P&amp;L'!CI118</f>
        <v>-109</v>
      </c>
      <c r="E33" s="36">
        <f>'BS,CF and P&amp;L'!CP118</f>
        <v>-200.6</v>
      </c>
      <c r="F33" s="48">
        <f>'BS,CF and P&amp;L'!CW118</f>
        <v>-865.20000000000016</v>
      </c>
      <c r="G33" s="48">
        <f>'BS,CF and P&amp;L'!DD118</f>
        <v>-203.8</v>
      </c>
      <c r="H33" s="48">
        <f>'BS,CF and P&amp;L'!DK118</f>
        <v>-120.39999999999999</v>
      </c>
      <c r="I33" s="48">
        <f>'BS,CF and P&amp;L'!DR118</f>
        <v>-348.20000000000005</v>
      </c>
      <c r="J33" s="48">
        <f>'BS,CF and P&amp;L'!DY118</f>
        <v>-660.09999999999991</v>
      </c>
      <c r="K33" s="48">
        <f>'BS,CF and P&amp;L'!EF118</f>
        <v>-470.59999999999997</v>
      </c>
      <c r="L33" s="48">
        <f>'BS,CF and P&amp;L'!EM118</f>
        <v>-446.70000000000005</v>
      </c>
      <c r="M33" s="48">
        <f>'BS,CF and P&amp;L'!ET118</f>
        <v>-4192.4242000000004</v>
      </c>
      <c r="N33" s="48">
        <f>'BS,CF and P&amp;L'!EU118</f>
        <v>-101.862944</v>
      </c>
      <c r="O33" s="48">
        <f>'BS,CF and P&amp;L'!EV118</f>
        <v>-114.83101632</v>
      </c>
      <c r="P33" s="48">
        <f>'BS,CF and P&amp;L'!EW118</f>
        <v>-216.69396032</v>
      </c>
      <c r="Q33" s="48">
        <f>'BS,CF and P&amp;L'!EX118</f>
        <v>-109.05116680960001</v>
      </c>
      <c r="R33" s="48">
        <f>'BS,CF and P&amp;L'!EY118</f>
        <v>-107.29112181388801</v>
      </c>
      <c r="S33" s="48">
        <f>'BS,CF and P&amp;L'!EZ118</f>
        <v>-216.342288623488</v>
      </c>
      <c r="T33" s="48">
        <f>'BS,CF and P&amp;L'!FA118</f>
        <v>-433.03624894348798</v>
      </c>
      <c r="U33" s="48">
        <f>'BS,CF and P&amp;L'!FB118</f>
        <v>-101.26586431999999</v>
      </c>
      <c r="V33" s="48">
        <f>'BS,CF and P&amp;L'!FC118</f>
        <v>-114.44435680960001</v>
      </c>
      <c r="W33" s="48">
        <f>'BS,CF and P&amp;L'!FD118</f>
        <v>-215.7102211296</v>
      </c>
      <c r="X33" s="48">
        <f>'BS,CF and P&amp;L'!FE118</f>
        <v>-108.99421181388799</v>
      </c>
      <c r="Y33" s="48">
        <f>'BS,CF and P&amp;L'!FF118</f>
        <v>-107.19350366830466</v>
      </c>
      <c r="Z33" s="48">
        <f>'BS,CF and P&amp;L'!FG118</f>
        <v>-216.18771548219263</v>
      </c>
      <c r="AA33" s="48">
        <f>'BS,CF and P&amp;L'!FH118</f>
        <v>-431.8979366117926</v>
      </c>
      <c r="AB33" s="28"/>
      <c r="AC33" s="1" t="s">
        <v>58</v>
      </c>
      <c r="AD33" s="31">
        <f>'BS,CF and P&amp;L'!CB269</f>
        <v>1.3989540084210411E-2</v>
      </c>
      <c r="AE33" s="31">
        <f>'BS,CF and P&amp;L'!CI269</f>
        <v>1.3699963093020479E-2</v>
      </c>
      <c r="AF33" s="31">
        <f>'BS,CF and P&amp;L'!CP269</f>
        <v>1.4026368731633349E-2</v>
      </c>
      <c r="AG33" s="16">
        <f>'BS,CF and P&amp;L'!CW269</f>
        <v>1.3342872066091804E-2</v>
      </c>
      <c r="AH33" s="16">
        <f>'BS,CF and P&amp;L'!DD269</f>
        <v>3.9537152199517756E-3</v>
      </c>
      <c r="AI33" s="16">
        <f>'BS,CF and P&amp;L'!DK269</f>
        <v>0</v>
      </c>
      <c r="AJ33" s="16">
        <f>'BS,CF and P&amp;L'!DR269</f>
        <v>2.5669073540526253E-2</v>
      </c>
      <c r="AK33" s="16">
        <f>'BS,CF and P&amp;L'!DY269</f>
        <v>0</v>
      </c>
      <c r="AL33" s="16">
        <f>'BS,CF and P&amp;L'!EF269</f>
        <v>0</v>
      </c>
      <c r="AM33" s="16">
        <f>'BS,CF and P&amp;L'!EM269</f>
        <v>0</v>
      </c>
      <c r="AN33" s="16">
        <f>'BS,CF and P&amp;L'!ET269</f>
        <v>0</v>
      </c>
      <c r="AO33" s="16">
        <f>'BS,CF and P&amp;L'!EU269</f>
        <v>0</v>
      </c>
      <c r="AP33" s="16">
        <f>'BS,CF and P&amp;L'!EV269</f>
        <v>0</v>
      </c>
      <c r="AQ33" s="16">
        <f>'BS,CF and P&amp;L'!EW269</f>
        <v>0</v>
      </c>
      <c r="AR33" s="16">
        <f>'BS,CF and P&amp;L'!EX269</f>
        <v>0</v>
      </c>
      <c r="AS33" s="16">
        <f>'BS,CF and P&amp;L'!EY269</f>
        <v>0</v>
      </c>
      <c r="AT33" s="16">
        <f>'BS,CF and P&amp;L'!EZ269</f>
        <v>0</v>
      </c>
      <c r="AU33" s="16">
        <f>'BS,CF and P&amp;L'!FA269</f>
        <v>0</v>
      </c>
      <c r="AV33" s="16">
        <f>'BS,CF and P&amp;L'!FB269</f>
        <v>0</v>
      </c>
      <c r="AW33" s="16">
        <f>'BS,CF and P&amp;L'!FC269</f>
        <v>0</v>
      </c>
      <c r="AX33" s="16">
        <f>'BS,CF and P&amp;L'!FD269</f>
        <v>0</v>
      </c>
      <c r="AY33" s="16">
        <f>'BS,CF and P&amp;L'!FE269</f>
        <v>0</v>
      </c>
      <c r="AZ33" s="16">
        <f>'BS,CF and P&amp;L'!FF269</f>
        <v>0</v>
      </c>
      <c r="BA33" s="16">
        <f>'BS,CF and P&amp;L'!FG269</f>
        <v>0</v>
      </c>
      <c r="BB33" s="16">
        <f>'BS,CF and P&amp;L'!FH269</f>
        <v>0</v>
      </c>
      <c r="BE33" s="28"/>
      <c r="BF33" s="28"/>
      <c r="BG33" s="28"/>
      <c r="BH33" s="28"/>
      <c r="BI33" s="28"/>
    </row>
    <row r="34" spans="2:64" ht="11.25" customHeight="1" x14ac:dyDescent="0.2">
      <c r="B34" s="1" t="s">
        <v>659</v>
      </c>
      <c r="C34" s="9">
        <f>'BS,CF and P&amp;L'!CB120</f>
        <v>-246.5</v>
      </c>
      <c r="D34" s="9">
        <f>'BS,CF and P&amp;L'!CI120</f>
        <v>-176.8</v>
      </c>
      <c r="E34" s="9">
        <f>'BS,CF and P&amp;L'!CP120</f>
        <v>-177.5</v>
      </c>
      <c r="F34" s="44">
        <f>'BS,CF and P&amp;L'!CW120</f>
        <v>-172.1</v>
      </c>
      <c r="G34" s="44">
        <f>'BS,CF and P&amp;L'!DD120</f>
        <v>-158.6</v>
      </c>
      <c r="H34" s="44">
        <f>'BS,CF and P&amp;L'!DK120</f>
        <v>0</v>
      </c>
      <c r="I34" s="44">
        <f>'BS,CF and P&amp;L'!DR120</f>
        <v>-484</v>
      </c>
      <c r="J34" s="44">
        <f>'BS,CF and P&amp;L'!DY120</f>
        <v>-129.6</v>
      </c>
      <c r="K34" s="44">
        <f>'BS,CF and P&amp;L'!EF120</f>
        <v>0</v>
      </c>
      <c r="L34" s="44">
        <f>'BS,CF and P&amp;L'!EM120</f>
        <v>0</v>
      </c>
      <c r="M34" s="44">
        <f>'BS,CF and P&amp;L'!ET120</f>
        <v>0</v>
      </c>
      <c r="N34" s="44">
        <f>'BS,CF and P&amp;L'!EU120</f>
        <v>0</v>
      </c>
      <c r="O34" s="44">
        <f>'BS,CF and P&amp;L'!EV120</f>
        <v>0</v>
      </c>
      <c r="P34" s="44">
        <f>'BS,CF and P&amp;L'!EW120</f>
        <v>0</v>
      </c>
      <c r="Q34" s="44">
        <f>'BS,CF and P&amp;L'!EX120</f>
        <v>0</v>
      </c>
      <c r="R34" s="44">
        <f>'BS,CF and P&amp;L'!EY120</f>
        <v>0</v>
      </c>
      <c r="S34" s="44">
        <f>'BS,CF and P&amp;L'!EZ120</f>
        <v>0</v>
      </c>
      <c r="T34" s="44">
        <f>'BS,CF and P&amp;L'!FA120</f>
        <v>0</v>
      </c>
      <c r="U34" s="44">
        <f>'BS,CF and P&amp;L'!FB120</f>
        <v>0</v>
      </c>
      <c r="V34" s="44">
        <f>'BS,CF and P&amp;L'!FC120</f>
        <v>0</v>
      </c>
      <c r="W34" s="44">
        <f>'BS,CF and P&amp;L'!FD120</f>
        <v>0</v>
      </c>
      <c r="X34" s="44">
        <f>'BS,CF and P&amp;L'!FE120</f>
        <v>0</v>
      </c>
      <c r="Y34" s="44">
        <f>'BS,CF and P&amp;L'!FF120</f>
        <v>0</v>
      </c>
      <c r="Z34" s="44">
        <f>'BS,CF and P&amp;L'!FG120</f>
        <v>0</v>
      </c>
      <c r="AA34" s="44">
        <f>'BS,CF and P&amp;L'!FH120</f>
        <v>0</v>
      </c>
      <c r="AB34" s="19"/>
      <c r="AC34" s="1" t="s">
        <v>59</v>
      </c>
      <c r="AD34" s="31">
        <f>'BS,CF and P&amp;L'!CB271</f>
        <v>0.70000414937759314</v>
      </c>
      <c r="AE34" s="31">
        <f>'BS,CF and P&amp;L'!CI271</f>
        <v>0.67743775100401604</v>
      </c>
      <c r="AF34" s="31">
        <f>'BS,CF and P&amp;L'!CP271</f>
        <v>0.61795319594830622</v>
      </c>
      <c r="AG34" s="16">
        <f>'BS,CF and P&amp;L'!CW271</f>
        <v>0.5307154742096506</v>
      </c>
      <c r="AH34" s="16">
        <f>'BS,CF and P&amp;L'!DD271</f>
        <v>0.12580736543909349</v>
      </c>
      <c r="AI34" s="16">
        <f>'BS,CF and P&amp;L'!DK273</f>
        <v>0</v>
      </c>
      <c r="AJ34" s="16">
        <f>'BS,CF and P&amp;L'!DR273</f>
        <v>0.50286772998227813</v>
      </c>
      <c r="AK34" s="16">
        <f>'BS,CF and P&amp;L'!DY273</f>
        <v>0</v>
      </c>
      <c r="AL34" s="16">
        <f>'BS,CF and P&amp;L'!EF273</f>
        <v>0</v>
      </c>
      <c r="AM34" s="16">
        <f>'BS,CF and P&amp;L'!EM273</f>
        <v>0</v>
      </c>
      <c r="AN34" s="16">
        <f>'BS,CF and P&amp;L'!ET273</f>
        <v>0</v>
      </c>
      <c r="AO34" s="16">
        <f>'BS,CF and P&amp;L'!EU273</f>
        <v>0</v>
      </c>
      <c r="AP34" s="16">
        <f>'BS,CF and P&amp;L'!EV273</f>
        <v>0</v>
      </c>
      <c r="AQ34" s="16">
        <f>'BS,CF and P&amp;L'!EW273</f>
        <v>0</v>
      </c>
      <c r="AR34" s="16">
        <f>'BS,CF and P&amp;L'!EX273</f>
        <v>0</v>
      </c>
      <c r="AS34" s="16">
        <f>'BS,CF and P&amp;L'!EY273</f>
        <v>0</v>
      </c>
      <c r="AT34" s="16">
        <f>'BS,CF and P&amp;L'!EZ273</f>
        <v>0</v>
      </c>
      <c r="AU34" s="16">
        <f>'BS,CF and P&amp;L'!FA273</f>
        <v>0</v>
      </c>
      <c r="AV34" s="16">
        <f>'BS,CF and P&amp;L'!FB273</f>
        <v>0</v>
      </c>
      <c r="AW34" s="16">
        <f>'BS,CF and P&amp;L'!FC273</f>
        <v>0</v>
      </c>
      <c r="AX34" s="16">
        <f>'BS,CF and P&amp;L'!FD273</f>
        <v>0</v>
      </c>
      <c r="AY34" s="16">
        <f>'BS,CF and P&amp;L'!FE273</f>
        <v>0</v>
      </c>
      <c r="AZ34" s="16">
        <f>'BS,CF and P&amp;L'!FF273</f>
        <v>0</v>
      </c>
      <c r="BA34" s="16">
        <f>'BS,CF and P&amp;L'!FG273</f>
        <v>0</v>
      </c>
      <c r="BB34" s="16">
        <f>'BS,CF and P&amp;L'!FH273</f>
        <v>0</v>
      </c>
      <c r="BF34" s="9"/>
    </row>
    <row r="35" spans="2:64" ht="11.25" customHeight="1" x14ac:dyDescent="0.2">
      <c r="B35" s="1" t="s">
        <v>60</v>
      </c>
      <c r="C35" s="9">
        <f>'BS,CF and P&amp;L'!CB121</f>
        <v>-20.2</v>
      </c>
      <c r="D35" s="9">
        <f>'BS,CF and P&amp;L'!CI121</f>
        <v>-99.5</v>
      </c>
      <c r="E35" s="9">
        <f>'BS,CF and P&amp;L'!CP121</f>
        <v>0.2</v>
      </c>
      <c r="F35" s="44">
        <f>'BS,CF and P&amp;L'!CW121</f>
        <v>0</v>
      </c>
      <c r="G35" s="44">
        <f>'BS,CF and P&amp;L'!DD121</f>
        <v>0</v>
      </c>
      <c r="H35" s="44">
        <f>'BS,CF and P&amp;L'!DK121</f>
        <v>0.1</v>
      </c>
      <c r="I35" s="44">
        <f>'BS,CF and P&amp;L'!DR121</f>
        <v>0.3</v>
      </c>
      <c r="J35" s="44">
        <f>'BS,CF and P&amp;L'!DY121</f>
        <v>-78.400000000000006</v>
      </c>
      <c r="K35" s="44">
        <f>'BS,CF and P&amp;L'!EF121</f>
        <v>-271.39999999999998</v>
      </c>
      <c r="L35" s="44">
        <f>'BS,CF and P&amp;L'!EM121</f>
        <v>-149.9</v>
      </c>
      <c r="M35" s="44">
        <f>'BS,CF and P&amp;L'!ET121</f>
        <v>0</v>
      </c>
      <c r="N35" s="44">
        <f>'BS,CF and P&amp;L'!EU121</f>
        <v>0</v>
      </c>
      <c r="O35" s="44">
        <f>'BS,CF and P&amp;L'!EV121</f>
        <v>0</v>
      </c>
      <c r="P35" s="44">
        <f>'BS,CF and P&amp;L'!EW121</f>
        <v>0</v>
      </c>
      <c r="Q35" s="44">
        <f>'BS,CF and P&amp;L'!EX121</f>
        <v>0</v>
      </c>
      <c r="R35" s="44">
        <f>'BS,CF and P&amp;L'!EY121</f>
        <v>0</v>
      </c>
      <c r="S35" s="44">
        <f>'BS,CF and P&amp;L'!EZ121</f>
        <v>0</v>
      </c>
      <c r="T35" s="44">
        <f>'BS,CF and P&amp;L'!FA121</f>
        <v>0</v>
      </c>
      <c r="U35" s="44">
        <f>'BS,CF and P&amp;L'!FB121</f>
        <v>0</v>
      </c>
      <c r="V35" s="44">
        <f>'BS,CF and P&amp;L'!FC121</f>
        <v>0</v>
      </c>
      <c r="W35" s="44">
        <f>'BS,CF and P&amp;L'!FD121</f>
        <v>0</v>
      </c>
      <c r="X35" s="44">
        <f>'BS,CF and P&amp;L'!FE121</f>
        <v>0</v>
      </c>
      <c r="Y35" s="44">
        <f>'BS,CF and P&amp;L'!FF121</f>
        <v>0</v>
      </c>
      <c r="Z35" s="44">
        <f>'BS,CF and P&amp;L'!FG121</f>
        <v>0</v>
      </c>
      <c r="AA35" s="44">
        <f>'BS,CF and P&amp;L'!FH121</f>
        <v>0</v>
      </c>
      <c r="AB35" s="19"/>
      <c r="AC35" s="1" t="s">
        <v>61</v>
      </c>
      <c r="AD35" s="31">
        <f>'BS,CF and P&amp;L'!CB96</f>
        <v>0.26443488943488935</v>
      </c>
      <c r="AE35" s="31">
        <f>'BS,CF and P&amp;L'!CI96</f>
        <v>0.25602094240837697</v>
      </c>
      <c r="AF35" s="31">
        <f>'BS,CF and P&amp;L'!CP96</f>
        <v>0.20867882808181318</v>
      </c>
      <c r="AG35" s="16">
        <f>'BS,CF and P&amp;L'!CW96</f>
        <v>0.14775950085082246</v>
      </c>
      <c r="AH35" s="16">
        <f>'BS,CF and P&amp;L'!DD96</f>
        <v>0.18116446300162375</v>
      </c>
      <c r="AI35" s="16">
        <f>'BS,CF and P&amp;L'!DK96</f>
        <v>0.19323586401268267</v>
      </c>
      <c r="AJ35" s="16">
        <f>'BS,CF and P&amp;L'!DR96</f>
        <v>0.19930340557275544</v>
      </c>
      <c r="AK35" s="16">
        <f>'BS,CF and P&amp;L'!DY96</f>
        <v>0.20087105714662795</v>
      </c>
      <c r="AL35" s="16">
        <f>'BS,CF and P&amp;L'!EF96</f>
        <v>0.23030896431679715</v>
      </c>
      <c r="AM35" s="16">
        <f>'BS,CF and P&amp;L'!EM96</f>
        <v>0.2353429859957275</v>
      </c>
      <c r="AN35" s="16">
        <f>'BS,CF and P&amp;L'!ET96</f>
        <v>0.19028398927355727</v>
      </c>
      <c r="AO35" s="16">
        <f>'BS,CF and P&amp;L'!EU96</f>
        <v>0.22</v>
      </c>
      <c r="AP35" s="16">
        <f>'BS,CF and P&amp;L'!EV96</f>
        <v>0.22</v>
      </c>
      <c r="AQ35" s="16">
        <f>'BS,CF and P&amp;L'!EW96</f>
        <v>0.22012650545504742</v>
      </c>
      <c r="AR35" s="16">
        <f>'BS,CF and P&amp;L'!EX96</f>
        <v>0.22</v>
      </c>
      <c r="AS35" s="16">
        <f>'BS,CF and P&amp;L'!EY96</f>
        <v>0.22</v>
      </c>
      <c r="AT35" s="16">
        <f>'BS,CF and P&amp;L'!EZ96</f>
        <v>0.22011586653382276</v>
      </c>
      <c r="AU35" s="16">
        <f>'BS,CF and P&amp;L'!FA96</f>
        <v>0.22018126143811489</v>
      </c>
      <c r="AV35" s="16">
        <f>'BS,CF and P&amp;L'!FB96</f>
        <v>0.21</v>
      </c>
      <c r="AW35" s="16">
        <f>'BS,CF and P&amp;L'!FC96</f>
        <v>0.21</v>
      </c>
      <c r="AX35" s="16">
        <f>'BS,CF and P&amp;L'!FD96</f>
        <v>0.2101004111144899</v>
      </c>
      <c r="AY35" s="16">
        <f>'BS,CF and P&amp;L'!FE96</f>
        <v>0.21</v>
      </c>
      <c r="AZ35" s="16">
        <f>'BS,CF and P&amp;L'!FF96</f>
        <v>0.21</v>
      </c>
      <c r="BA35" s="16">
        <f>'BS,CF and P&amp;L'!FG96</f>
        <v>0.21009237139906409</v>
      </c>
      <c r="BB35" s="16">
        <f>'BS,CF and P&amp;L'!FH96</f>
        <v>0.21014414027247016</v>
      </c>
      <c r="BE35" s="19"/>
      <c r="BF35" s="19"/>
      <c r="BG35" s="19"/>
      <c r="BH35" s="19"/>
      <c r="BI35" s="19"/>
    </row>
    <row r="36" spans="2:64" ht="11.25" customHeight="1" x14ac:dyDescent="0.2">
      <c r="B36" s="1" t="s">
        <v>62</v>
      </c>
      <c r="C36" s="9">
        <f>'BS,CF and P&amp;L'!CB122</f>
        <v>115</v>
      </c>
      <c r="D36" s="9">
        <f>'BS,CF and P&amp;L'!CI122</f>
        <v>62.300000000000011</v>
      </c>
      <c r="E36" s="9">
        <f>'BS,CF and P&amp;L'!CP122</f>
        <v>325</v>
      </c>
      <c r="F36" s="44">
        <f>'BS,CF and P&amp;L'!CW122</f>
        <v>536.29999999999995</v>
      </c>
      <c r="G36" s="44">
        <f>'BS,CF and P&amp;L'!DD122</f>
        <v>-20</v>
      </c>
      <c r="H36" s="44">
        <f>'BS,CF and P&amp;L'!DK122</f>
        <v>-530</v>
      </c>
      <c r="I36" s="44">
        <f>'BS,CF and P&amp;L'!DR122</f>
        <v>40</v>
      </c>
      <c r="J36" s="44">
        <f>'BS,CF and P&amp;L'!DY122</f>
        <v>190</v>
      </c>
      <c r="K36" s="44">
        <f>'BS,CF and P&amp;L'!EF122</f>
        <v>-230</v>
      </c>
      <c r="L36" s="44">
        <f>'BS,CF and P&amp;L'!EM122</f>
        <v>-7.5</v>
      </c>
      <c r="M36" s="44">
        <f>'BS,CF and P&amp;L'!ET122</f>
        <v>3391.8442456470966</v>
      </c>
      <c r="N36" s="44">
        <f>'BS,CF and P&amp;L'!EU122</f>
        <v>-247.00381034226368</v>
      </c>
      <c r="O36" s="44">
        <f>'BS,CF and P&amp;L'!EV122</f>
        <v>-84.775111880681152</v>
      </c>
      <c r="P36" s="44">
        <f>'BS,CF and P&amp;L'!EW122</f>
        <v>-331.77892222294486</v>
      </c>
      <c r="Q36" s="44">
        <f>'BS,CF and P&amp;L'!EX122</f>
        <v>-168.76206522470821</v>
      </c>
      <c r="R36" s="44">
        <f>'BS,CF and P&amp;L'!EY122</f>
        <v>-66.632486208387846</v>
      </c>
      <c r="S36" s="44">
        <f>'BS,CF and P&amp;L'!EZ122</f>
        <v>-235.39455143309607</v>
      </c>
      <c r="T36" s="44">
        <f>'BS,CF and P&amp;L'!FA122</f>
        <v>-567.17347365604087</v>
      </c>
      <c r="U36" s="44">
        <f>'BS,CF and P&amp;L'!FB122</f>
        <v>-296.39596396699915</v>
      </c>
      <c r="V36" s="44">
        <f>'BS,CF and P&amp;L'!FC122</f>
        <v>-123.11481844016154</v>
      </c>
      <c r="W36" s="44">
        <f>'BS,CF and P&amp;L'!FD122</f>
        <v>-419.51078240716072</v>
      </c>
      <c r="X36" s="44">
        <f>'BS,CF and P&amp;L'!FE122</f>
        <v>-228.01129485250465</v>
      </c>
      <c r="Y36" s="44">
        <f>'BS,CF and P&amp;L'!FF122</f>
        <v>-107.35189325638842</v>
      </c>
      <c r="Z36" s="44">
        <f>'BS,CF and P&amp;L'!FG122</f>
        <v>-335.36318810889304</v>
      </c>
      <c r="AA36" s="44">
        <f>'BS,CF and P&amp;L'!FH122</f>
        <v>-754.87397051605376</v>
      </c>
      <c r="AB36" s="19"/>
      <c r="BE36" s="19"/>
      <c r="BF36" s="16"/>
      <c r="BG36" s="16"/>
      <c r="BH36" s="19"/>
      <c r="BI36" s="19"/>
    </row>
    <row r="37" spans="2:64" ht="11.25" customHeight="1" x14ac:dyDescent="0.2">
      <c r="B37" s="45" t="s">
        <v>49</v>
      </c>
      <c r="C37" s="46">
        <f>'BS,CF and P&amp;L'!CB123</f>
        <v>-2.7</v>
      </c>
      <c r="D37" s="46">
        <f>'BS,CF and P&amp;L'!CI123</f>
        <v>1.3</v>
      </c>
      <c r="E37" s="46">
        <f>'BS,CF and P&amp;L'!CP123</f>
        <v>-35.200000000000003</v>
      </c>
      <c r="F37" s="47">
        <f>'BS,CF and P&amp;L'!CW123</f>
        <v>-7.1</v>
      </c>
      <c r="G37" s="47">
        <f>'BS,CF and P&amp;L'!DD123</f>
        <v>-0.5</v>
      </c>
      <c r="H37" s="47">
        <f>'BS,CF and P&amp;L'!DK123</f>
        <v>-10.3</v>
      </c>
      <c r="I37" s="47">
        <f>'BS,CF and P&amp;L'!DR123</f>
        <v>-5.9</v>
      </c>
      <c r="J37" s="47">
        <f>'BS,CF and P&amp;L'!DY123</f>
        <v>-7.3999999999999995</v>
      </c>
      <c r="K37" s="47">
        <f>'BS,CF and P&amp;L'!EF123</f>
        <v>-5.6000000000000005</v>
      </c>
      <c r="L37" s="47">
        <f>'BS,CF and P&amp;L'!EM123</f>
        <v>-8.5</v>
      </c>
      <c r="M37" s="47">
        <f>'BS,CF and P&amp;L'!ET123</f>
        <v>-56.099999999999994</v>
      </c>
      <c r="N37" s="47">
        <f>'BS,CF and P&amp;L'!EU123</f>
        <v>0</v>
      </c>
      <c r="O37" s="47">
        <f>'BS,CF and P&amp;L'!EV123</f>
        <v>0</v>
      </c>
      <c r="P37" s="47">
        <f>'BS,CF and P&amp;L'!EW123</f>
        <v>0</v>
      </c>
      <c r="Q37" s="47">
        <f>'BS,CF and P&amp;L'!EX123</f>
        <v>0</v>
      </c>
      <c r="R37" s="47">
        <f>'BS,CF and P&amp;L'!EY123</f>
        <v>0</v>
      </c>
      <c r="S37" s="47">
        <f>'BS,CF and P&amp;L'!EZ123</f>
        <v>0</v>
      </c>
      <c r="T37" s="47">
        <f>'BS,CF and P&amp;L'!FA123</f>
        <v>0</v>
      </c>
      <c r="U37" s="47">
        <f>'BS,CF and P&amp;L'!FB123</f>
        <v>0</v>
      </c>
      <c r="V37" s="47">
        <f>'BS,CF and P&amp;L'!FC123</f>
        <v>0</v>
      </c>
      <c r="W37" s="47">
        <f>'BS,CF and P&amp;L'!FD123</f>
        <v>0</v>
      </c>
      <c r="X37" s="47">
        <f>'BS,CF and P&amp;L'!FE123</f>
        <v>0</v>
      </c>
      <c r="Y37" s="47">
        <f>'BS,CF and P&amp;L'!FF123</f>
        <v>0</v>
      </c>
      <c r="Z37" s="47">
        <f>'BS,CF and P&amp;L'!FG123</f>
        <v>0</v>
      </c>
      <c r="AA37" s="47">
        <f>'BS,CF and P&amp;L'!FH123</f>
        <v>0</v>
      </c>
      <c r="AB37" s="19"/>
      <c r="AC37" s="10" t="s">
        <v>63</v>
      </c>
      <c r="AD37" s="11" t="str">
        <f>AD27</f>
        <v>FY16A</v>
      </c>
      <c r="AE37" s="11" t="str">
        <f>AE27</f>
        <v>FY17A</v>
      </c>
      <c r="AF37" s="11" t="str">
        <f>AF27</f>
        <v>FY18A</v>
      </c>
      <c r="AG37" s="11" t="str">
        <f t="shared" ref="AG37:AL37" si="14">AG21</f>
        <v>FY19A</v>
      </c>
      <c r="AH37" s="11" t="str">
        <f t="shared" si="14"/>
        <v>FY20A</v>
      </c>
      <c r="AI37" s="11" t="str">
        <f t="shared" si="14"/>
        <v>FY21A</v>
      </c>
      <c r="AJ37" s="11" t="str">
        <f t="shared" si="14"/>
        <v>FY22A</v>
      </c>
      <c r="AK37" s="11" t="str">
        <f t="shared" si="14"/>
        <v>FY23A</v>
      </c>
      <c r="AL37" s="11" t="str">
        <f t="shared" si="14"/>
        <v>FY24A</v>
      </c>
      <c r="AM37" s="11" t="str">
        <f>AM21</f>
        <v>FY25A</v>
      </c>
      <c r="AN37" s="11" t="str">
        <f>AN21</f>
        <v>FY26E</v>
      </c>
      <c r="AO37" s="11" t="str">
        <f t="shared" ref="AO37:BB37" si="15">AO21</f>
        <v>1Q27E</v>
      </c>
      <c r="AP37" s="11" t="str">
        <f t="shared" si="15"/>
        <v>2Q27E</v>
      </c>
      <c r="AQ37" s="11" t="str">
        <f t="shared" si="15"/>
        <v>1H27E</v>
      </c>
      <c r="AR37" s="11" t="str">
        <f t="shared" si="15"/>
        <v>3Q27E</v>
      </c>
      <c r="AS37" s="11" t="str">
        <f t="shared" si="15"/>
        <v>4Q27E</v>
      </c>
      <c r="AT37" s="11" t="str">
        <f t="shared" si="15"/>
        <v>2H27E</v>
      </c>
      <c r="AU37" s="11" t="str">
        <f t="shared" si="15"/>
        <v>FY27E</v>
      </c>
      <c r="AV37" s="11" t="str">
        <f t="shared" ref="AV37:BA37" si="16">AV21</f>
        <v>1Q28E</v>
      </c>
      <c r="AW37" s="11" t="str">
        <f t="shared" si="16"/>
        <v>2Q28E</v>
      </c>
      <c r="AX37" s="11" t="str">
        <f t="shared" si="16"/>
        <v>1H28E</v>
      </c>
      <c r="AY37" s="11" t="str">
        <f t="shared" si="16"/>
        <v>3Q28E</v>
      </c>
      <c r="AZ37" s="11" t="str">
        <f t="shared" si="16"/>
        <v>4Q28E</v>
      </c>
      <c r="BA37" s="11" t="str">
        <f t="shared" si="16"/>
        <v>2H28E</v>
      </c>
      <c r="BB37" s="11" t="str">
        <f t="shared" si="15"/>
        <v>FY28E</v>
      </c>
      <c r="BE37" s="31"/>
      <c r="BF37" s="19"/>
      <c r="BG37" s="19"/>
      <c r="BH37" s="19"/>
      <c r="BI37" s="19"/>
    </row>
    <row r="38" spans="2:64" ht="11.25" customHeight="1" x14ac:dyDescent="0.2">
      <c r="B38" s="26" t="s">
        <v>64</v>
      </c>
      <c r="C38" s="36">
        <f t="shared" ref="C38:I38" si="17">SUM(C34:C37)</f>
        <v>-154.39999999999998</v>
      </c>
      <c r="D38" s="36">
        <f t="shared" si="17"/>
        <v>-212.7</v>
      </c>
      <c r="E38" s="36">
        <f t="shared" si="17"/>
        <v>112.49999999999999</v>
      </c>
      <c r="F38" s="48">
        <f t="shared" si="17"/>
        <v>357.09999999999991</v>
      </c>
      <c r="G38" s="48">
        <f>SUM(G34:G37)</f>
        <v>-179.1</v>
      </c>
      <c r="H38" s="48">
        <f t="shared" si="17"/>
        <v>-540.19999999999993</v>
      </c>
      <c r="I38" s="48">
        <f t="shared" si="17"/>
        <v>-449.59999999999997</v>
      </c>
      <c r="J38" s="48">
        <f>SUM(J34:J37)</f>
        <v>-25.4</v>
      </c>
      <c r="K38" s="48">
        <f>SUM(K34:K37)</f>
        <v>-507</v>
      </c>
      <c r="L38" s="48">
        <f>SUM(L34:L37)</f>
        <v>-165.9</v>
      </c>
      <c r="M38" s="48">
        <f>SUM(M34:M37)</f>
        <v>3335.7442456470967</v>
      </c>
      <c r="N38" s="48">
        <f t="shared" ref="N38:T38" si="18">SUM(N34:N37)</f>
        <v>-247.00381034226368</v>
      </c>
      <c r="O38" s="48">
        <f t="shared" si="18"/>
        <v>-84.775111880681152</v>
      </c>
      <c r="P38" s="48">
        <f t="shared" si="18"/>
        <v>-331.77892222294486</v>
      </c>
      <c r="Q38" s="48">
        <f t="shared" si="18"/>
        <v>-168.76206522470821</v>
      </c>
      <c r="R38" s="48">
        <f t="shared" si="18"/>
        <v>-66.632486208387846</v>
      </c>
      <c r="S38" s="48">
        <f t="shared" si="18"/>
        <v>-235.39455143309607</v>
      </c>
      <c r="T38" s="48">
        <f t="shared" si="18"/>
        <v>-567.17347365604087</v>
      </c>
      <c r="U38" s="48">
        <f t="shared" ref="U38:Z38" si="19">SUM(U34:U37)</f>
        <v>-296.39596396699915</v>
      </c>
      <c r="V38" s="48">
        <f t="shared" si="19"/>
        <v>-123.11481844016154</v>
      </c>
      <c r="W38" s="48">
        <f t="shared" si="19"/>
        <v>-419.51078240716072</v>
      </c>
      <c r="X38" s="48">
        <f t="shared" si="19"/>
        <v>-228.01129485250465</v>
      </c>
      <c r="Y38" s="48">
        <f t="shared" si="19"/>
        <v>-107.35189325638842</v>
      </c>
      <c r="Z38" s="48">
        <f t="shared" si="19"/>
        <v>-335.36318810889304</v>
      </c>
      <c r="AA38" s="48">
        <f>SUM(AA34:AA37)</f>
        <v>-754.87397051605376</v>
      </c>
      <c r="AB38" s="28"/>
      <c r="AC38" s="1" t="s">
        <v>65</v>
      </c>
      <c r="AD38" s="19">
        <f>'BS,CF and P&amp;L'!CB134</f>
        <v>456.4</v>
      </c>
      <c r="AE38" s="19">
        <f>'BS,CF and P&amp;L'!CI134</f>
        <v>538</v>
      </c>
      <c r="AF38" s="19">
        <f>'BS,CF and P&amp;L'!CP134</f>
        <v>602.79999999999995</v>
      </c>
      <c r="AG38" s="20">
        <f>'BS,CF and P&amp;L'!CW134</f>
        <v>1301.5999999999999</v>
      </c>
      <c r="AH38" s="20">
        <f>'BS,CF and P&amp;L'!DD134</f>
        <v>1210.1999999999998</v>
      </c>
      <c r="AI38" s="20">
        <f>'BS,CF and P&amp;L'!DK134</f>
        <v>650.1</v>
      </c>
      <c r="AJ38" s="20">
        <f>'BS,CF and P&amp;L'!DR134</f>
        <v>752.3</v>
      </c>
      <c r="AK38" s="20">
        <f>'BS,CF and P&amp;L'!DY134</f>
        <v>946</v>
      </c>
      <c r="AL38" s="20">
        <f>'BS,CF and P&amp;L'!EF134</f>
        <v>757.59999999999991</v>
      </c>
      <c r="AM38" s="20">
        <f>'BS,CF and P&amp;L'!EM134</f>
        <v>556.79999999999995</v>
      </c>
      <c r="AN38" s="20">
        <f>'BS,CF and P&amp;L'!ET134</f>
        <v>4164.2442456470972</v>
      </c>
      <c r="AO38" s="20">
        <f>'BS,CF and P&amp;L'!EU134</f>
        <v>3917.2404353048332</v>
      </c>
      <c r="AP38" s="20">
        <f>'BS,CF and P&amp;L'!EV134</f>
        <v>3832.4653234241523</v>
      </c>
      <c r="AQ38" s="20">
        <f>'BS,CF and P&amp;L'!EW134</f>
        <v>3832.4653234241523</v>
      </c>
      <c r="AR38" s="20">
        <f>'BS,CF and P&amp;L'!EX134</f>
        <v>3663.703258199444</v>
      </c>
      <c r="AS38" s="20">
        <f>'BS,CF and P&amp;L'!EY134</f>
        <v>3597.0707719910561</v>
      </c>
      <c r="AT38" s="20">
        <f>'BS,CF and P&amp;L'!EZ134</f>
        <v>3597.0707719910561</v>
      </c>
      <c r="AU38" s="20">
        <f>'BS,CF and P&amp;L'!FA134</f>
        <v>3597.0707719910561</v>
      </c>
      <c r="AV38" s="20">
        <f>'BS,CF and P&amp;L'!FB134</f>
        <v>3300.6748080240568</v>
      </c>
      <c r="AW38" s="20">
        <f>'BS,CF and P&amp;L'!FC134</f>
        <v>3177.5599895838955</v>
      </c>
      <c r="AX38" s="20">
        <f>'BS,CF and P&amp;L'!FD134</f>
        <v>3177.5599895838955</v>
      </c>
      <c r="AY38" s="20">
        <f>'BS,CF and P&amp;L'!FE134</f>
        <v>2949.5486947313907</v>
      </c>
      <c r="AZ38" s="20">
        <f>'BS,CF and P&amp;L'!FF134</f>
        <v>2842.1968014750023</v>
      </c>
      <c r="BA38" s="20">
        <f>'BS,CF and P&amp;L'!FG134</f>
        <v>2842.1968014750023</v>
      </c>
      <c r="BB38" s="20">
        <f>'BS,CF and P&amp;L'!FH134</f>
        <v>2842.1968014750023</v>
      </c>
      <c r="BE38" s="19"/>
      <c r="BF38" s="19"/>
      <c r="BG38" s="19"/>
      <c r="BH38" s="19"/>
      <c r="BI38" s="19"/>
    </row>
    <row r="39" spans="2:64" ht="11.25" customHeight="1" x14ac:dyDescent="0.2">
      <c r="B39" s="1" t="s">
        <v>66</v>
      </c>
      <c r="C39" s="9">
        <f>'BS,CF and P&amp;L'!CB125</f>
        <v>0.7</v>
      </c>
      <c r="D39" s="9">
        <f>'BS,CF and P&amp;L'!CI125</f>
        <v>1.4</v>
      </c>
      <c r="E39" s="9">
        <f>'BS,CF and P&amp;L'!CP125</f>
        <v>-4.2</v>
      </c>
      <c r="F39" s="44">
        <f>'BS,CF and P&amp;L'!CW125</f>
        <v>6.6</v>
      </c>
      <c r="G39" s="44">
        <f>'BS,CF and P&amp;L'!DD125</f>
        <v>-6.2</v>
      </c>
      <c r="H39" s="44">
        <f>'BS,CF and P&amp;L'!DK125</f>
        <v>6.3</v>
      </c>
      <c r="I39" s="44">
        <f>'BS,CF and P&amp;L'!DR125</f>
        <v>-5.9</v>
      </c>
      <c r="J39" s="44">
        <f>'BS,CF and P&amp;L'!DY125</f>
        <v>-8.4</v>
      </c>
      <c r="K39" s="44">
        <f>'BS,CF and P&amp;L'!EF125</f>
        <v>-3.4</v>
      </c>
      <c r="L39" s="44">
        <f>'BS,CF and P&amp;L'!EM125</f>
        <v>-0.4</v>
      </c>
      <c r="M39" s="44">
        <f>'BS,CF and P&amp;L'!ET125</f>
        <v>-1.8</v>
      </c>
      <c r="N39" s="44">
        <f>'BS,CF and P&amp;L'!EU125</f>
        <v>0</v>
      </c>
      <c r="O39" s="44">
        <f>'BS,CF and P&amp;L'!EV125</f>
        <v>0</v>
      </c>
      <c r="P39" s="44">
        <f>'BS,CF and P&amp;L'!EW125</f>
        <v>0</v>
      </c>
      <c r="Q39" s="44">
        <f>'BS,CF and P&amp;L'!EX125</f>
        <v>0</v>
      </c>
      <c r="R39" s="44">
        <f>'BS,CF and P&amp;L'!EY125</f>
        <v>0</v>
      </c>
      <c r="S39" s="44">
        <f>'BS,CF and P&amp;L'!EZ125</f>
        <v>0</v>
      </c>
      <c r="T39" s="44">
        <f>'BS,CF and P&amp;L'!FA125</f>
        <v>0</v>
      </c>
      <c r="U39" s="44">
        <f>'BS,CF and P&amp;L'!FB125</f>
        <v>0</v>
      </c>
      <c r="V39" s="44">
        <f>'BS,CF and P&amp;L'!FC125</f>
        <v>0</v>
      </c>
      <c r="W39" s="44">
        <f>'BS,CF and P&amp;L'!FD125</f>
        <v>0</v>
      </c>
      <c r="X39" s="44">
        <f>'BS,CF and P&amp;L'!FE125</f>
        <v>0</v>
      </c>
      <c r="Y39" s="44">
        <f>'BS,CF and P&amp;L'!FF125</f>
        <v>0</v>
      </c>
      <c r="Z39" s="44">
        <f>'BS,CF and P&amp;L'!FG125</f>
        <v>0</v>
      </c>
      <c r="AA39" s="44">
        <f>'BS,CF and P&amp;L'!FH125</f>
        <v>0</v>
      </c>
      <c r="AB39" s="28"/>
      <c r="AC39" s="1" t="s">
        <v>67</v>
      </c>
      <c r="AD39" s="16">
        <f>'BS,CF and P&amp;L'!CB237</f>
        <v>1.9740484429065739</v>
      </c>
      <c r="AE39" s="16">
        <f>'BS,CF and P&amp;L'!CI237</f>
        <v>1.6513198281154082</v>
      </c>
      <c r="AF39" s="16">
        <f>'BS,CF and P&amp;L'!CP237</f>
        <v>1.5809074219774455</v>
      </c>
      <c r="AG39" s="16">
        <f>'BS,CF and P&amp;L'!CW237</f>
        <v>0.57188049209138836</v>
      </c>
      <c r="AH39" s="16">
        <f>'BS,CF and P&amp;L'!DD237</f>
        <v>0.53894455577822298</v>
      </c>
      <c r="AI39" s="16">
        <f>'BS,CF and P&amp;L'!DK237</f>
        <v>0.37997545151674555</v>
      </c>
      <c r="AJ39" s="16">
        <f>'BS,CF and P&amp;L'!DR237</f>
        <v>0.36078074045655095</v>
      </c>
      <c r="AK39" s="16">
        <f>'BS,CF and P&amp;L'!DY237</f>
        <v>0.3699069367326191</v>
      </c>
      <c r="AL39" s="16">
        <f>'BS,CF and P&amp;L'!EF237</f>
        <v>0.28954710491114083</v>
      </c>
      <c r="AM39" s="16">
        <f>'BS,CF and P&amp;L'!EM237</f>
        <v>0.20483390354265529</v>
      </c>
      <c r="AN39" s="16">
        <f>'BS,CF and P&amp;L'!ET237</f>
        <v>0.38835222627196392</v>
      </c>
      <c r="AO39" s="16">
        <f>'BS,CF and P&amp;L'!EU237</f>
        <v>0.36760039344063733</v>
      </c>
      <c r="AP39" s="16">
        <f>'BS,CF and P&amp;L'!EV237</f>
        <v>0.35650103477491851</v>
      </c>
      <c r="AQ39" s="16">
        <f>'BS,CF and P&amp;L'!EW237</f>
        <v>0.35650103477491851</v>
      </c>
      <c r="AR39" s="16">
        <f>'BS,CF and P&amp;L'!EX237</f>
        <v>0.34015656048860238</v>
      </c>
      <c r="AS39" s="16">
        <f>'BS,CF and P&amp;L'!EY237</f>
        <v>0.32923035021924574</v>
      </c>
      <c r="AT39" s="16">
        <f>'BS,CF and P&amp;L'!EZ237</f>
        <v>0.32923035021924574</v>
      </c>
      <c r="AU39" s="16">
        <f>'BS,CF and P&amp;L'!FA237</f>
        <v>0.32923035021924574</v>
      </c>
      <c r="AV39" s="16">
        <f>'BS,CF and P&amp;L'!FB237</f>
        <v>0.30421347620769895</v>
      </c>
      <c r="AW39" s="16">
        <f>'BS,CF and P&amp;L'!FC237</f>
        <v>0.29014563500096352</v>
      </c>
      <c r="AX39" s="16">
        <f>'BS,CF and P&amp;L'!FD237</f>
        <v>0.29014563500096352</v>
      </c>
      <c r="AY39" s="16">
        <f>'BS,CF and P&amp;L'!FE237</f>
        <v>0.2689428152539779</v>
      </c>
      <c r="AZ39" s="16">
        <f>'BS,CF and P&amp;L'!FF237</f>
        <v>0.2554039661394697</v>
      </c>
      <c r="BA39" s="16">
        <f>'BS,CF and P&amp;L'!FG237</f>
        <v>0.2554039661394697</v>
      </c>
      <c r="BB39" s="16">
        <f>'BS,CF and P&amp;L'!FH237</f>
        <v>0.2554039661394697</v>
      </c>
      <c r="BD39" s="50"/>
      <c r="BE39" s="19"/>
      <c r="BF39" s="16"/>
      <c r="BG39" s="19"/>
      <c r="BH39" s="19"/>
      <c r="BI39" s="19"/>
    </row>
    <row r="40" spans="2:64" ht="11.25" customHeight="1" x14ac:dyDescent="0.2">
      <c r="B40" s="26" t="s">
        <v>68</v>
      </c>
      <c r="C40" s="36">
        <f t="shared" ref="C40:I40" si="20">C39+C38+C33+C29</f>
        <v>40.099999999999966</v>
      </c>
      <c r="D40" s="36">
        <f t="shared" si="20"/>
        <v>-28.199999999999932</v>
      </c>
      <c r="E40" s="36">
        <f t="shared" si="20"/>
        <v>202.69999999999987</v>
      </c>
      <c r="F40" s="48">
        <f t="shared" si="20"/>
        <v>-183.3000000000003</v>
      </c>
      <c r="G40" s="48">
        <f>G39+G38+G33+G29</f>
        <v>62.100000000000023</v>
      </c>
      <c r="H40" s="48">
        <f t="shared" si="20"/>
        <v>132.60000000000014</v>
      </c>
      <c r="I40" s="48">
        <f t="shared" si="20"/>
        <v>-46.5</v>
      </c>
      <c r="J40" s="48">
        <f>J39+J38+J33+J29</f>
        <v>-86.299999999999841</v>
      </c>
      <c r="K40" s="48">
        <f>K39+K38+K33+K29</f>
        <v>-66.799999999999841</v>
      </c>
      <c r="L40" s="48">
        <f>L39+L38+L33+L29</f>
        <v>189.79999999999995</v>
      </c>
      <c r="M40" s="48">
        <f>M39+M38+M33+M29</f>
        <v>-231.40000000000032</v>
      </c>
      <c r="N40" s="48">
        <f t="shared" ref="N40:T40" si="21">N39+N38+N33+N29</f>
        <v>0</v>
      </c>
      <c r="O40" s="48">
        <f t="shared" si="21"/>
        <v>0</v>
      </c>
      <c r="P40" s="48">
        <f t="shared" si="21"/>
        <v>0</v>
      </c>
      <c r="Q40" s="48">
        <f t="shared" si="21"/>
        <v>0</v>
      </c>
      <c r="R40" s="48">
        <f t="shared" si="21"/>
        <v>0</v>
      </c>
      <c r="S40" s="48">
        <f t="shared" si="21"/>
        <v>0</v>
      </c>
      <c r="T40" s="48">
        <f t="shared" si="21"/>
        <v>0</v>
      </c>
      <c r="U40" s="48">
        <f t="shared" ref="U40:Z40" si="22">U39+U38+U33+U29</f>
        <v>0</v>
      </c>
      <c r="V40" s="48">
        <f t="shared" si="22"/>
        <v>0</v>
      </c>
      <c r="W40" s="48">
        <f t="shared" si="22"/>
        <v>0</v>
      </c>
      <c r="X40" s="48">
        <f t="shared" si="22"/>
        <v>0</v>
      </c>
      <c r="Y40" s="48">
        <f t="shared" si="22"/>
        <v>0</v>
      </c>
      <c r="Z40" s="48">
        <f t="shared" si="22"/>
        <v>0</v>
      </c>
      <c r="AA40" s="48">
        <f>AA39+AA38+AA33+AA29</f>
        <v>0</v>
      </c>
      <c r="AB40" s="19"/>
      <c r="AC40" s="1" t="s">
        <v>69</v>
      </c>
      <c r="AD40" s="9">
        <f>'BS,CF and P&amp;L'!CB137</f>
        <v>14.024000000000003</v>
      </c>
      <c r="AE40" s="9">
        <f>'BS,CF and P&amp;L'!CI137</f>
        <v>13.025735294117647</v>
      </c>
      <c r="AF40" s="9">
        <f>'BS,CF and P&amp;L'!CP137</f>
        <v>12.499999999999998</v>
      </c>
      <c r="AG40" s="9">
        <f>'BS,CF and P&amp;L'!CW137</f>
        <v>7.7658349328214973</v>
      </c>
      <c r="AH40" s="9">
        <f>'BS,CF and P&amp;L'!DD137</f>
        <v>8.8188405797101463</v>
      </c>
      <c r="AI40" s="9">
        <f>'BS,CF and P&amp;L'!DK137</f>
        <v>10.345394736842108</v>
      </c>
      <c r="AJ40" s="9">
        <f>'BS,CF and P&amp;L'!DR137</f>
        <v>20.288557213930346</v>
      </c>
      <c r="AK40" s="9">
        <f>'BS,CF and P&amp;L'!DY137</f>
        <v>22.343839541547279</v>
      </c>
      <c r="AL40" s="9">
        <f>'BS,CF and P&amp;L'!EF137</f>
        <v>61.490196078431389</v>
      </c>
      <c r="AM40" s="9">
        <f>'BS,CF and P&amp;L'!EM137</f>
        <v>90.863157894736773</v>
      </c>
      <c r="AN40" s="9">
        <f>'BS,CF and P&amp;L'!ET137</f>
        <v>4.5751807110318898</v>
      </c>
      <c r="AO40" s="9">
        <f>'BS,CF and P&amp;L'!EU137</f>
        <v>4.8113380033360187</v>
      </c>
      <c r="AP40" s="9">
        <f>'BS,CF and P&amp;L'!EV137</f>
        <v>5.0105077108894962</v>
      </c>
      <c r="AQ40" s="9">
        <f>'BS,CF and P&amp;L'!EW137</f>
        <v>4.9079270599447815</v>
      </c>
      <c r="AR40" s="9">
        <f>'BS,CF and P&amp;L'!EX137</f>
        <v>5.3386352744479426</v>
      </c>
      <c r="AS40" s="9">
        <f>'BS,CF and P&amp;L'!EY137</f>
        <v>6.3204527383113165</v>
      </c>
      <c r="AT40" s="9">
        <f>'BS,CF and P&amp;L'!EZ137</f>
        <v>5.8186878471723062</v>
      </c>
      <c r="AU40" s="9">
        <f>'BS,CF and P&amp;L'!FA137</f>
        <v>5.3464937150169778</v>
      </c>
      <c r="AV40" s="9">
        <f>'BS,CF and P&amp;L'!FB137</f>
        <v>6.3203528281523509</v>
      </c>
      <c r="AW40" s="9">
        <f>'BS,CF and P&amp;L'!FC137</f>
        <v>6.9023250511411609</v>
      </c>
      <c r="AX40" s="9">
        <f>'BS,CF and P&amp;L'!FD137</f>
        <v>6.5990651277759476</v>
      </c>
      <c r="AY40" s="9">
        <f>'BS,CF and P&amp;L'!FE137</f>
        <v>7.6404784048666583</v>
      </c>
      <c r="AZ40" s="9">
        <f>'BS,CF and P&amp;L'!FF137</f>
        <v>8.8739841911800479</v>
      </c>
      <c r="BA40" s="9">
        <f>'BS,CF and P&amp;L'!FG137</f>
        <v>8.2347642395263385</v>
      </c>
      <c r="BB40" s="9">
        <f>'BS,CF and P&amp;L'!FH137</f>
        <v>7.3695003640506123</v>
      </c>
      <c r="BE40" s="19"/>
      <c r="BF40" s="19"/>
      <c r="BG40" s="19"/>
      <c r="BH40" s="19"/>
      <c r="BI40" s="19"/>
      <c r="BJ40" s="536"/>
      <c r="BK40" s="536"/>
      <c r="BL40" s="536"/>
    </row>
    <row r="41" spans="2:64" ht="11.25" customHeight="1" x14ac:dyDescent="0.2">
      <c r="AB41" s="28"/>
      <c r="AC41" s="1" t="s">
        <v>70</v>
      </c>
      <c r="AD41" s="19">
        <f>'BS,CF and P&amp;L'!CB138</f>
        <v>1.0550161812297731</v>
      </c>
      <c r="AE41" s="19">
        <f>'BS,CF and P&amp;L'!CI138</f>
        <v>1.2299954275262919</v>
      </c>
      <c r="AF41" s="19">
        <f>'BS,CF and P&amp;L'!CP138</f>
        <v>1.2441692466460268</v>
      </c>
      <c r="AG41" s="19">
        <f>'BS,CF and P&amp;L'!CW138</f>
        <v>2.4877675840978597</v>
      </c>
      <c r="AH41" s="19">
        <f>'BS,CF and P&amp;L'!DD138</f>
        <v>1.9755142017629772</v>
      </c>
      <c r="AI41" s="19">
        <f>'BS,CF and P&amp;L'!DK138</f>
        <v>0.850916230366492</v>
      </c>
      <c r="AJ41" s="19">
        <f>'BS,CF and P&amp;L'!DR138</f>
        <v>0.7696951094741149</v>
      </c>
      <c r="AK41" s="19">
        <f>'BS,CF and P&amp;L'!DY138</f>
        <v>0.99328013439731211</v>
      </c>
      <c r="AL41" s="19">
        <f>'BS,CF and P&amp;L'!EF138</f>
        <v>0.67336236778952963</v>
      </c>
      <c r="AM41" s="19">
        <f>'BS,CF and P&amp;L'!EM138</f>
        <v>0.51584213451917726</v>
      </c>
      <c r="AN41" s="19">
        <f>'BS,CF and P&amp;L'!ET138</f>
        <v>3.3290816502731571</v>
      </c>
      <c r="AO41" s="19">
        <f>'BS,CF and P&amp;L'!EU138</f>
        <v>2.624738253704006</v>
      </c>
      <c r="AP41" s="19">
        <f>'BS,CF and P&amp;L'!EV138</f>
        <v>2.4970968961297921</v>
      </c>
      <c r="AQ41" s="19">
        <f>'BS,CF and P&amp;L'!EW138</f>
        <v>2.5320205280450629</v>
      </c>
      <c r="AR41" s="19">
        <f>'BS,CF and P&amp;L'!EX138</f>
        <v>2.3567642109306397</v>
      </c>
      <c r="AS41" s="19">
        <f>'BS,CF and P&amp;L'!EY138</f>
        <v>2.1123486722755724</v>
      </c>
      <c r="AT41" s="19">
        <f>'BS,CF and P&amp;L'!EZ138</f>
        <v>2.2085360517548298</v>
      </c>
      <c r="AU41" s="19">
        <f>'BS,CF and P&amp;L'!FA138</f>
        <v>2.2894418950909414</v>
      </c>
      <c r="AV41" s="19">
        <f>'BS,CF and P&amp;L'!FB138</f>
        <v>1.9897323397636633</v>
      </c>
      <c r="AW41" s="19">
        <f>'BS,CF and P&amp;L'!FC138</f>
        <v>1.8371705937161804</v>
      </c>
      <c r="AX41" s="19">
        <f>'BS,CF and P&amp;L'!FD138</f>
        <v>1.8755252598085124</v>
      </c>
      <c r="AY41" s="19">
        <f>'BS,CF and P&amp;L'!FE138</f>
        <v>1.6475122775620528</v>
      </c>
      <c r="AZ41" s="19">
        <f>'BS,CF and P&amp;L'!FF138</f>
        <v>1.5007547004528332</v>
      </c>
      <c r="BA41" s="19">
        <f>'BS,CF and P&amp;L'!FG138</f>
        <v>1.5429323754378212</v>
      </c>
      <c r="BB41" s="19">
        <f>'BS,CF and P&amp;L'!FH138</f>
        <v>1.6074415375069424</v>
      </c>
      <c r="BE41" s="28"/>
      <c r="BF41" s="27"/>
      <c r="BG41" s="28"/>
      <c r="BH41" s="28"/>
      <c r="BI41" s="28"/>
    </row>
    <row r="42" spans="2:64" ht="11.25" customHeight="1" x14ac:dyDescent="0.2">
      <c r="B42" s="10" t="s">
        <v>71</v>
      </c>
      <c r="C42" s="11" t="str">
        <f t="shared" ref="C42:I42" si="23">C23</f>
        <v>FY16A</v>
      </c>
      <c r="D42" s="11" t="str">
        <f t="shared" si="23"/>
        <v>FY17A</v>
      </c>
      <c r="E42" s="11" t="str">
        <f t="shared" si="23"/>
        <v>FY18A</v>
      </c>
      <c r="F42" s="11" t="str">
        <f t="shared" si="23"/>
        <v>FY19A</v>
      </c>
      <c r="G42" s="11" t="str">
        <f>G23</f>
        <v>FY20A</v>
      </c>
      <c r="H42" s="11" t="str">
        <f t="shared" si="23"/>
        <v>FY21A</v>
      </c>
      <c r="I42" s="11" t="str">
        <f t="shared" si="23"/>
        <v>FY22A</v>
      </c>
      <c r="J42" s="11" t="str">
        <f>J23</f>
        <v>FY23A</v>
      </c>
      <c r="K42" s="11" t="str">
        <f>K23</f>
        <v>FY24A</v>
      </c>
      <c r="L42" s="11" t="str">
        <f>L23</f>
        <v>FY25A</v>
      </c>
      <c r="M42" s="11" t="str">
        <f>M23</f>
        <v>FY26E</v>
      </c>
      <c r="N42" s="11" t="str">
        <f t="shared" ref="N42:T42" si="24">N23</f>
        <v>1Q27E</v>
      </c>
      <c r="O42" s="11" t="str">
        <f t="shared" si="24"/>
        <v>2Q27E</v>
      </c>
      <c r="P42" s="11" t="str">
        <f t="shared" si="24"/>
        <v>1H27E</v>
      </c>
      <c r="Q42" s="11" t="str">
        <f t="shared" si="24"/>
        <v>3Q27E</v>
      </c>
      <c r="R42" s="11" t="str">
        <f t="shared" si="24"/>
        <v>4Q27E</v>
      </c>
      <c r="S42" s="11" t="str">
        <f t="shared" si="24"/>
        <v>2H27E</v>
      </c>
      <c r="T42" s="11" t="str">
        <f t="shared" si="24"/>
        <v>FY27E</v>
      </c>
      <c r="U42" s="11" t="str">
        <f t="shared" ref="U42:Z42" si="25">U23</f>
        <v>1Q28E</v>
      </c>
      <c r="V42" s="11" t="str">
        <f t="shared" si="25"/>
        <v>2Q28E</v>
      </c>
      <c r="W42" s="11" t="str">
        <f t="shared" si="25"/>
        <v>1H28E</v>
      </c>
      <c r="X42" s="11" t="str">
        <f t="shared" si="25"/>
        <v>3Q28E</v>
      </c>
      <c r="Y42" s="11" t="str">
        <f t="shared" si="25"/>
        <v>4Q28E</v>
      </c>
      <c r="Z42" s="11" t="str">
        <f t="shared" si="25"/>
        <v>2H28E</v>
      </c>
      <c r="AA42" s="11" t="str">
        <f>AA23</f>
        <v>FY28E</v>
      </c>
      <c r="AB42" s="28"/>
      <c r="BE42" s="28"/>
      <c r="BF42" s="28"/>
      <c r="BG42" s="28"/>
      <c r="BH42" s="28"/>
      <c r="BI42" s="28"/>
    </row>
    <row r="43" spans="2:64" ht="11.25" customHeight="1" x14ac:dyDescent="0.2">
      <c r="B43" s="1" t="s">
        <v>72</v>
      </c>
      <c r="C43" s="19">
        <f>'BS,CF and P&amp;L'!CB175</f>
        <v>129.1</v>
      </c>
      <c r="D43" s="19">
        <f>'BS,CF and P&amp;L'!CI175</f>
        <v>192.8</v>
      </c>
      <c r="E43" s="19">
        <f>'BS,CF and P&amp;L'!CP175</f>
        <v>351.6</v>
      </c>
      <c r="F43" s="20">
        <f>'BS,CF and P&amp;L'!CW175</f>
        <v>141.30000000000001</v>
      </c>
      <c r="G43" s="20">
        <f>'BS,CF and P&amp;L'!DD175</f>
        <v>207.4</v>
      </c>
      <c r="H43" s="20">
        <f>'BS,CF and P&amp;L'!DK175</f>
        <v>345</v>
      </c>
      <c r="I43" s="20">
        <f>'BS,CF and P&amp;L'!DR175</f>
        <v>391.6</v>
      </c>
      <c r="J43" s="20">
        <f>'BS,CF and P&amp;L'!DY175</f>
        <v>326.5</v>
      </c>
      <c r="K43" s="20">
        <f>'BS,CF and P&amp;L'!EF175</f>
        <v>594.20000000000005</v>
      </c>
      <c r="L43" s="20">
        <f>'BS,CF and P&amp;L'!EM175</f>
        <v>781.40000000000009</v>
      </c>
      <c r="M43" s="20">
        <f>'BS,CF and P&amp;L'!ET175</f>
        <v>562.20000000000005</v>
      </c>
      <c r="N43" s="20">
        <f>'BS,CF and P&amp;L'!EU175</f>
        <v>562.20000000000005</v>
      </c>
      <c r="O43" s="20">
        <f>'BS,CF and P&amp;L'!EV175</f>
        <v>562.20000000000005</v>
      </c>
      <c r="P43" s="20">
        <f>'BS,CF and P&amp;L'!EW175</f>
        <v>562.20000000000005</v>
      </c>
      <c r="Q43" s="20">
        <f>'BS,CF and P&amp;L'!EX175</f>
        <v>562.20000000000005</v>
      </c>
      <c r="R43" s="20">
        <f>'BS,CF and P&amp;L'!EY175</f>
        <v>562.20000000000005</v>
      </c>
      <c r="S43" s="20">
        <f>'BS,CF and P&amp;L'!EZ175</f>
        <v>562.20000000000005</v>
      </c>
      <c r="T43" s="20">
        <f>'BS,CF and P&amp;L'!FA175</f>
        <v>562.20000000000005</v>
      </c>
      <c r="U43" s="20">
        <f>'BS,CF and P&amp;L'!FB175</f>
        <v>562.20000000000005</v>
      </c>
      <c r="V43" s="20">
        <f>'BS,CF and P&amp;L'!FC175</f>
        <v>562.20000000000005</v>
      </c>
      <c r="W43" s="20">
        <f>'BS,CF and P&amp;L'!FD175</f>
        <v>562.20000000000005</v>
      </c>
      <c r="X43" s="20">
        <f>'BS,CF and P&amp;L'!FE175</f>
        <v>562.20000000000005</v>
      </c>
      <c r="Y43" s="20">
        <f>'BS,CF and P&amp;L'!FF175</f>
        <v>562.20000000000005</v>
      </c>
      <c r="Z43" s="20">
        <f>'BS,CF and P&amp;L'!FG175</f>
        <v>562.20000000000005</v>
      </c>
      <c r="AA43" s="20">
        <f>'BS,CF and P&amp;L'!FH175</f>
        <v>562.20000000000005</v>
      </c>
      <c r="AB43" s="19"/>
      <c r="AC43" s="10" t="s">
        <v>73</v>
      </c>
      <c r="AD43" s="11" t="str">
        <f>AD37</f>
        <v>FY16A</v>
      </c>
      <c r="AE43" s="11" t="str">
        <f>AE37</f>
        <v>FY17A</v>
      </c>
      <c r="AF43" s="11" t="str">
        <f>AF37</f>
        <v>FY18A</v>
      </c>
      <c r="AG43" s="11" t="str">
        <f t="shared" ref="AG43:AL43" si="26">AG21</f>
        <v>FY19A</v>
      </c>
      <c r="AH43" s="11" t="str">
        <f t="shared" si="26"/>
        <v>FY20A</v>
      </c>
      <c r="AI43" s="11" t="str">
        <f t="shared" si="26"/>
        <v>FY21A</v>
      </c>
      <c r="AJ43" s="11" t="str">
        <f t="shared" si="26"/>
        <v>FY22A</v>
      </c>
      <c r="AK43" s="11" t="str">
        <f t="shared" si="26"/>
        <v>FY23A</v>
      </c>
      <c r="AL43" s="11" t="str">
        <f t="shared" si="26"/>
        <v>FY24A</v>
      </c>
      <c r="AM43" s="11" t="str">
        <f>AM21</f>
        <v>FY25A</v>
      </c>
      <c r="AN43" s="11" t="str">
        <f>AN21</f>
        <v>FY26E</v>
      </c>
      <c r="AO43" s="11" t="str">
        <f t="shared" ref="AO43:AU43" si="27">AO21</f>
        <v>1Q27E</v>
      </c>
      <c r="AP43" s="11" t="str">
        <f t="shared" si="27"/>
        <v>2Q27E</v>
      </c>
      <c r="AQ43" s="11" t="str">
        <f t="shared" si="27"/>
        <v>1H27E</v>
      </c>
      <c r="AR43" s="11" t="str">
        <f t="shared" si="27"/>
        <v>3Q27E</v>
      </c>
      <c r="AS43" s="11" t="str">
        <f t="shared" si="27"/>
        <v>4Q27E</v>
      </c>
      <c r="AT43" s="11" t="str">
        <f t="shared" si="27"/>
        <v>2H27E</v>
      </c>
      <c r="AU43" s="11" t="str">
        <f t="shared" si="27"/>
        <v>FY27E</v>
      </c>
      <c r="AV43" s="11" t="str">
        <f t="shared" ref="AV43:BB43" si="28">AV21</f>
        <v>1Q28E</v>
      </c>
      <c r="AW43" s="11" t="str">
        <f t="shared" si="28"/>
        <v>2Q28E</v>
      </c>
      <c r="AX43" s="11" t="str">
        <f t="shared" si="28"/>
        <v>1H28E</v>
      </c>
      <c r="AY43" s="11" t="str">
        <f t="shared" si="28"/>
        <v>3Q28E</v>
      </c>
      <c r="AZ43" s="11" t="str">
        <f t="shared" si="28"/>
        <v>4Q28E</v>
      </c>
      <c r="BA43" s="11" t="str">
        <f t="shared" si="28"/>
        <v>2H28E</v>
      </c>
      <c r="BB43" s="11" t="str">
        <f t="shared" si="28"/>
        <v>FY28E</v>
      </c>
    </row>
    <row r="44" spans="2:64" ht="11.25" customHeight="1" x14ac:dyDescent="0.2">
      <c r="B44" s="1" t="s">
        <v>74</v>
      </c>
      <c r="C44" s="19">
        <f>'BS,CF and P&amp;L'!CB176</f>
        <v>173.3</v>
      </c>
      <c r="D44" s="19">
        <f>'BS,CF and P&amp;L'!CI176</f>
        <v>199.5</v>
      </c>
      <c r="E44" s="19">
        <f>'BS,CF and P&amp;L'!CP176</f>
        <v>202.7</v>
      </c>
      <c r="F44" s="20">
        <f>'BS,CF and P&amp;L'!CW176</f>
        <v>254.6</v>
      </c>
      <c r="G44" s="20">
        <f>'BS,CF and P&amp;L'!DD176</f>
        <v>363.3</v>
      </c>
      <c r="H44" s="20">
        <f>'BS,CF and P&amp;L'!DK176</f>
        <v>333.2</v>
      </c>
      <c r="I44" s="20">
        <f>'BS,CF and P&amp;L'!DR176</f>
        <v>398.4</v>
      </c>
      <c r="J44" s="20">
        <f>'BS,CF and P&amp;L'!DY176</f>
        <v>354.8</v>
      </c>
      <c r="K44" s="20">
        <f>'BS,CF and P&amp;L'!EF176</f>
        <v>366.1</v>
      </c>
      <c r="L44" s="20">
        <f>'BS,CF and P&amp;L'!EM176</f>
        <v>391.8</v>
      </c>
      <c r="M44" s="20">
        <f>'BS,CF and P&amp;L'!ET176</f>
        <v>570.81959316207519</v>
      </c>
      <c r="N44" s="20">
        <f>'BS,CF and P&amp;L'!EU176</f>
        <v>502.0332838904805</v>
      </c>
      <c r="O44" s="20">
        <f>'BS,CF and P&amp;L'!EV176</f>
        <v>406.09071214273223</v>
      </c>
      <c r="P44" s="20">
        <f>'BS,CF and P&amp;L'!EW176</f>
        <v>406.09071214273223</v>
      </c>
      <c r="Q44" s="20">
        <f>'BS,CF and P&amp;L'!EX176</f>
        <v>350.69702283595132</v>
      </c>
      <c r="R44" s="20">
        <f>'BS,CF and P&amp;L'!EY176</f>
        <v>619.17663431703238</v>
      </c>
      <c r="S44" s="20">
        <f>'BS,CF and P&amp;L'!EZ176</f>
        <v>619.17663431703238</v>
      </c>
      <c r="T44" s="20">
        <f>'BS,CF and P&amp;L'!FA176</f>
        <v>619.17663431703238</v>
      </c>
      <c r="U44" s="20">
        <f>'BS,CF and P&amp;L'!FB176</f>
        <v>548.42914381551418</v>
      </c>
      <c r="V44" s="20">
        <f>'BS,CF and P&amp;L'!FC176</f>
        <v>449.30583101516976</v>
      </c>
      <c r="W44" s="20">
        <f>'BS,CF and P&amp;L'!FD176</f>
        <v>449.30583101516976</v>
      </c>
      <c r="X44" s="20">
        <f>'BS,CF and P&amp;L'!FE176</f>
        <v>387.92171425662718</v>
      </c>
      <c r="Y44" s="20">
        <f>'BS,CF and P&amp;L'!FF176</f>
        <v>680.1487386790775</v>
      </c>
      <c r="Z44" s="20">
        <f>'BS,CF and P&amp;L'!FG176</f>
        <v>680.1487386790775</v>
      </c>
      <c r="AA44" s="20">
        <f>'BS,CF and P&amp;L'!FH176</f>
        <v>680.1487386790775</v>
      </c>
      <c r="AB44" s="41"/>
      <c r="AC44" s="1" t="s">
        <v>75</v>
      </c>
      <c r="AD44" s="31">
        <f>'BS,CF and P&amp;L'!CB240</f>
        <v>0.17165658890058511</v>
      </c>
      <c r="AE44" s="31">
        <f>'BS,CF and P&amp;L'!CI240</f>
        <v>0.17482914312501543</v>
      </c>
      <c r="AF44" s="31">
        <f>'BS,CF and P&amp;L'!CP240</f>
        <v>0.17989320989068908</v>
      </c>
      <c r="AG44" s="16">
        <f>'BS,CF and P&amp;L'!CW240</f>
        <v>0.12676232846669588</v>
      </c>
      <c r="AH44" s="16">
        <f>'BS,CF and P&amp;L'!DD240</f>
        <v>0.12078055800220817</v>
      </c>
      <c r="AI44" s="16">
        <f>'BS,CF and P&amp;L'!DK240</f>
        <v>0.15497764034839173</v>
      </c>
      <c r="AJ44" s="16">
        <f>'BS,CF and P&amp;L'!DR240</f>
        <v>0.19577062480497345</v>
      </c>
      <c r="AK44" s="16">
        <f>'BS,CF and P&amp;L'!DY240</f>
        <v>0.17880604886325852</v>
      </c>
      <c r="AL44" s="16">
        <f>'BS,CF and P&amp;L'!EF240</f>
        <v>0.20034711500580299</v>
      </c>
      <c r="AM44" s="16">
        <f>'BS,CF and P&amp;L'!EM240</f>
        <v>0.17021444417056938</v>
      </c>
      <c r="AN44" s="16">
        <f>'BS,CF and P&amp;L'!ET240</f>
        <v>9.7473906277217054E-2</v>
      </c>
      <c r="AO44" s="16">
        <f>'BS,CF and P&amp;L'!EU240</f>
        <v>8.3316776049349284E-2</v>
      </c>
      <c r="AP44" s="16">
        <f>'BS,CF and P&amp;L'!EV240</f>
        <v>8.1454151003388611E-2</v>
      </c>
      <c r="AQ44" s="16">
        <f>'BS,CF and P&amp;L'!EW240</f>
        <v>8.2375126214262018E-2</v>
      </c>
      <c r="AR44" s="16">
        <f>'BS,CF and P&amp;L'!EX240</f>
        <v>8.4835573504603121E-2</v>
      </c>
      <c r="AS44" s="16">
        <f>'BS,CF and P&amp;L'!EY240</f>
        <v>9.5834798826251594E-2</v>
      </c>
      <c r="AT44" s="16">
        <f>'BS,CF and P&amp;L'!EZ240</f>
        <v>9.0194839885006817E-2</v>
      </c>
      <c r="AU44" s="16">
        <f>'BS,CF and P&amp;L'!FA240</f>
        <v>8.6309072427581096E-2</v>
      </c>
      <c r="AV44" s="16">
        <f>'BS,CF and P&amp;L'!FB240</f>
        <v>9.3693947127184984E-2</v>
      </c>
      <c r="AW44" s="16">
        <f>'BS,CF and P&amp;L'!FC240</f>
        <v>9.3681971583156817E-2</v>
      </c>
      <c r="AX44" s="16">
        <f>'BS,CF and P&amp;L'!FD240</f>
        <v>9.3664124206745775E-2</v>
      </c>
      <c r="AY44" s="16">
        <f>'BS,CF and P&amp;L'!FE240</f>
        <v>9.9747827123260954E-2</v>
      </c>
      <c r="AZ44" s="16">
        <f>'BS,CF and P&amp;L'!FF240</f>
        <v>0.10746098012623929</v>
      </c>
      <c r="BA44" s="16">
        <f>'BS,CF and P&amp;L'!FG240</f>
        <v>0.10343966846407714</v>
      </c>
      <c r="BB44" s="16">
        <f>'BS,CF and P&amp;L'!FH240</f>
        <v>9.8640363489793714E-2</v>
      </c>
      <c r="BE44" s="19"/>
      <c r="BF44" s="536"/>
      <c r="BG44" s="536"/>
      <c r="BH44" s="536"/>
      <c r="BI44" s="19"/>
    </row>
    <row r="45" spans="2:64" ht="11.25" customHeight="1" x14ac:dyDescent="0.2">
      <c r="B45" s="1" t="s">
        <v>76</v>
      </c>
      <c r="C45" s="19">
        <f>'BS,CF and P&amp;L'!CB177</f>
        <v>193</v>
      </c>
      <c r="D45" s="19">
        <f>'BS,CF and P&amp;L'!CI177</f>
        <v>202.9</v>
      </c>
      <c r="E45" s="19">
        <f>'BS,CF and P&amp;L'!CP177</f>
        <v>255.7</v>
      </c>
      <c r="F45" s="20">
        <f>'BS,CF and P&amp;L'!CW177</f>
        <v>317.39999999999998</v>
      </c>
      <c r="G45" s="20">
        <f>'BS,CF and P&amp;L'!DD177</f>
        <v>305.10000000000002</v>
      </c>
      <c r="H45" s="20">
        <f>'BS,CF and P&amp;L'!DK177</f>
        <v>218.3</v>
      </c>
      <c r="I45" s="20">
        <f>'BS,CF and P&amp;L'!DR177</f>
        <v>279.7</v>
      </c>
      <c r="J45" s="20">
        <f>'BS,CF and P&amp;L'!DY177</f>
        <v>344.2</v>
      </c>
      <c r="K45" s="20">
        <f>'BS,CF and P&amp;L'!EF177</f>
        <v>337.8</v>
      </c>
      <c r="L45" s="20">
        <f>'BS,CF and P&amp;L'!EM177</f>
        <v>347.1</v>
      </c>
      <c r="M45" s="20">
        <f>'BS,CF and P&amp;L'!ET177</f>
        <v>505.69545887329326</v>
      </c>
      <c r="N45" s="20">
        <f>'BS,CF and P&amp;L'!EU177</f>
        <v>594.76653589624061</v>
      </c>
      <c r="O45" s="20">
        <f>'BS,CF and P&amp;L'!EV177</f>
        <v>720.28322031432629</v>
      </c>
      <c r="P45" s="20">
        <f>'BS,CF and P&amp;L'!EW177</f>
        <v>720.28322031432629</v>
      </c>
      <c r="Q45" s="20">
        <f>'BS,CF and P&amp;L'!EX177</f>
        <v>750.78481609059929</v>
      </c>
      <c r="R45" s="20">
        <f>'BS,CF and P&amp;L'!EY177</f>
        <v>548.53550222420097</v>
      </c>
      <c r="S45" s="20">
        <f>'BS,CF and P&amp;L'!EZ177</f>
        <v>548.53550222420097</v>
      </c>
      <c r="T45" s="20">
        <f>'BS,CF and P&amp;L'!FA177</f>
        <v>548.53550222420097</v>
      </c>
      <c r="U45" s="20">
        <f>'BS,CF and P&amp;L'!FB177</f>
        <v>649.73242316510016</v>
      </c>
      <c r="V45" s="20">
        <f>'BS,CF and P&amp;L'!FC177</f>
        <v>796.93388987400135</v>
      </c>
      <c r="W45" s="20">
        <f>'BS,CF and P&amp;L'!FD177</f>
        <v>796.93388987400135</v>
      </c>
      <c r="X45" s="20">
        <f>'BS,CF and P&amp;L'!FE177</f>
        <v>830.47677605164745</v>
      </c>
      <c r="Y45" s="20">
        <f>'BS,CF and P&amp;L'!FF177</f>
        <v>602.55137109624241</v>
      </c>
      <c r="Z45" s="20">
        <f>'BS,CF and P&amp;L'!FG177</f>
        <v>602.55137109624241</v>
      </c>
      <c r="AA45" s="20">
        <f>'BS,CF and P&amp;L'!FH177</f>
        <v>602.55137109624241</v>
      </c>
      <c r="BE45" s="9"/>
      <c r="BF45" s="9"/>
      <c r="BG45" s="9"/>
      <c r="BH45" s="9"/>
      <c r="BI45" s="9"/>
    </row>
    <row r="46" spans="2:64" ht="11.25" customHeight="1" x14ac:dyDescent="0.2">
      <c r="B46" s="45" t="s">
        <v>660</v>
      </c>
      <c r="C46" s="52">
        <f>'BS,CF and P&amp;L'!CB178</f>
        <v>40.5</v>
      </c>
      <c r="D46" s="52">
        <f>'BS,CF and P&amp;L'!CI178</f>
        <v>36.9</v>
      </c>
      <c r="E46" s="52">
        <f>'BS,CF and P&amp;L'!CP178</f>
        <v>32.6</v>
      </c>
      <c r="F46" s="53">
        <f>'BS,CF and P&amp;L'!CW178</f>
        <v>40.799999999999997</v>
      </c>
      <c r="G46" s="53">
        <f>'BS,CF and P&amp;L'!DD178</f>
        <v>32.6</v>
      </c>
      <c r="H46" s="53">
        <f>'BS,CF and P&amp;L'!DK178</f>
        <v>47.1</v>
      </c>
      <c r="I46" s="53">
        <f>'BS,CF and P&amp;L'!DR178</f>
        <v>54.300000000000004</v>
      </c>
      <c r="J46" s="53">
        <f>'BS,CF and P&amp;L'!DY178</f>
        <v>49.599999999999994</v>
      </c>
      <c r="K46" s="53">
        <f>'BS,CF and P&amp;L'!EF178</f>
        <v>130.29999999999998</v>
      </c>
      <c r="L46" s="53">
        <f>'BS,CF and P&amp;L'!EM178</f>
        <v>181.5</v>
      </c>
      <c r="M46" s="53">
        <f>'BS,CF and P&amp;L'!ET178</f>
        <v>179.8</v>
      </c>
      <c r="N46" s="53">
        <f>'BS,CF and P&amp;L'!EU178</f>
        <v>179.8</v>
      </c>
      <c r="O46" s="53">
        <f>'BS,CF and P&amp;L'!EV178</f>
        <v>179.8</v>
      </c>
      <c r="P46" s="53">
        <f>'BS,CF and P&amp;L'!EW178</f>
        <v>179.8</v>
      </c>
      <c r="Q46" s="53">
        <f>'BS,CF and P&amp;L'!EX178</f>
        <v>179.8</v>
      </c>
      <c r="R46" s="53">
        <f>'BS,CF and P&amp;L'!EY178</f>
        <v>179.8</v>
      </c>
      <c r="S46" s="53">
        <f>'BS,CF and P&amp;L'!EZ178</f>
        <v>179.8</v>
      </c>
      <c r="T46" s="53">
        <f>'BS,CF and P&amp;L'!FA178</f>
        <v>179.8</v>
      </c>
      <c r="U46" s="53">
        <f>'BS,CF and P&amp;L'!FB178</f>
        <v>179.8</v>
      </c>
      <c r="V46" s="53">
        <f>'BS,CF and P&amp;L'!FC178</f>
        <v>179.8</v>
      </c>
      <c r="W46" s="53">
        <f>'BS,CF and P&amp;L'!FD178</f>
        <v>179.8</v>
      </c>
      <c r="X46" s="53">
        <f>'BS,CF and P&amp;L'!FE178</f>
        <v>179.8</v>
      </c>
      <c r="Y46" s="53">
        <f>'BS,CF and P&amp;L'!FF178</f>
        <v>179.8</v>
      </c>
      <c r="Z46" s="53">
        <f>'BS,CF and P&amp;L'!FG178</f>
        <v>179.8</v>
      </c>
      <c r="AA46" s="53">
        <f>'BS,CF and P&amp;L'!FH178</f>
        <v>179.8</v>
      </c>
      <c r="AB46" s="3"/>
      <c r="AC46" s="10" t="s">
        <v>77</v>
      </c>
      <c r="AD46" s="11" t="str">
        <f>AD43</f>
        <v>FY16A</v>
      </c>
      <c r="AE46" s="11" t="str">
        <f>AE43</f>
        <v>FY17A</v>
      </c>
      <c r="AF46" s="11" t="str">
        <f>AF43</f>
        <v>FY18A</v>
      </c>
      <c r="AG46" s="11" t="str">
        <f t="shared" ref="AG46:AL46" si="29">AG21</f>
        <v>FY19A</v>
      </c>
      <c r="AH46" s="11" t="str">
        <f t="shared" si="29"/>
        <v>FY20A</v>
      </c>
      <c r="AI46" s="11" t="str">
        <f t="shared" si="29"/>
        <v>FY21A</v>
      </c>
      <c r="AJ46" s="11" t="str">
        <f t="shared" si="29"/>
        <v>FY22A</v>
      </c>
      <c r="AK46" s="11" t="str">
        <f t="shared" si="29"/>
        <v>FY23A</v>
      </c>
      <c r="AL46" s="11" t="str">
        <f t="shared" si="29"/>
        <v>FY24A</v>
      </c>
      <c r="AM46" s="11" t="str">
        <f>AM21</f>
        <v>FY25A</v>
      </c>
      <c r="AN46" s="11" t="str">
        <f>AN21</f>
        <v>FY26E</v>
      </c>
      <c r="AO46" s="11" t="str">
        <f t="shared" ref="AO46:AU46" si="30">AO21</f>
        <v>1Q27E</v>
      </c>
      <c r="AP46" s="11" t="str">
        <f t="shared" si="30"/>
        <v>2Q27E</v>
      </c>
      <c r="AQ46" s="11" t="str">
        <f t="shared" si="30"/>
        <v>1H27E</v>
      </c>
      <c r="AR46" s="11" t="str">
        <f t="shared" si="30"/>
        <v>3Q27E</v>
      </c>
      <c r="AS46" s="11" t="str">
        <f t="shared" si="30"/>
        <v>4Q27E</v>
      </c>
      <c r="AT46" s="11" t="str">
        <f t="shared" si="30"/>
        <v>2H27E</v>
      </c>
      <c r="AU46" s="11" t="str">
        <f t="shared" si="30"/>
        <v>FY27E</v>
      </c>
      <c r="AV46" s="11" t="str">
        <f t="shared" ref="AV46:BB46" si="31">AV21</f>
        <v>1Q28E</v>
      </c>
      <c r="AW46" s="11" t="str">
        <f t="shared" si="31"/>
        <v>2Q28E</v>
      </c>
      <c r="AX46" s="11" t="str">
        <f t="shared" si="31"/>
        <v>1H28E</v>
      </c>
      <c r="AY46" s="11" t="str">
        <f t="shared" si="31"/>
        <v>3Q28E</v>
      </c>
      <c r="AZ46" s="11" t="str">
        <f t="shared" si="31"/>
        <v>4Q28E</v>
      </c>
      <c r="BA46" s="11" t="str">
        <f t="shared" si="31"/>
        <v>2H28E</v>
      </c>
      <c r="BB46" s="11" t="str">
        <f t="shared" si="31"/>
        <v>FY28E</v>
      </c>
    </row>
    <row r="47" spans="2:64" ht="11.25" customHeight="1" x14ac:dyDescent="0.2">
      <c r="B47" s="26" t="s">
        <v>661</v>
      </c>
      <c r="C47" s="28">
        <f t="shared" ref="C47:I47" si="32">SUM(C43:C46)</f>
        <v>535.9</v>
      </c>
      <c r="D47" s="28">
        <f t="shared" si="32"/>
        <v>632.1</v>
      </c>
      <c r="E47" s="28">
        <f t="shared" si="32"/>
        <v>842.6</v>
      </c>
      <c r="F47" s="29">
        <f t="shared" si="32"/>
        <v>754.09999999999991</v>
      </c>
      <c r="G47" s="29">
        <f>SUM(G43:G46)</f>
        <v>908.40000000000009</v>
      </c>
      <c r="H47" s="29">
        <f t="shared" si="32"/>
        <v>943.6</v>
      </c>
      <c r="I47" s="29">
        <f t="shared" si="32"/>
        <v>1124</v>
      </c>
      <c r="J47" s="29">
        <f>SUM(J43:J46)</f>
        <v>1075.0999999999999</v>
      </c>
      <c r="K47" s="29">
        <f>SUM(K43:K46)</f>
        <v>1428.4</v>
      </c>
      <c r="L47" s="29">
        <f>SUM(L43:L46)</f>
        <v>1701.8000000000002</v>
      </c>
      <c r="M47" s="29">
        <f>SUM(M43:M46)</f>
        <v>1818.5150520353684</v>
      </c>
      <c r="N47" s="29">
        <f t="shared" ref="N47:T47" si="33">SUM(N43:N46)</f>
        <v>1838.7998197867212</v>
      </c>
      <c r="O47" s="29">
        <f t="shared" si="33"/>
        <v>1868.3739324570586</v>
      </c>
      <c r="P47" s="29">
        <f t="shared" si="33"/>
        <v>1868.3739324570586</v>
      </c>
      <c r="Q47" s="29">
        <f t="shared" si="33"/>
        <v>1843.4818389265506</v>
      </c>
      <c r="R47" s="29">
        <f t="shared" si="33"/>
        <v>1909.7121365412333</v>
      </c>
      <c r="S47" s="29">
        <f t="shared" si="33"/>
        <v>1909.7121365412333</v>
      </c>
      <c r="T47" s="29">
        <f t="shared" si="33"/>
        <v>1909.7121365412333</v>
      </c>
      <c r="U47" s="29">
        <f t="shared" ref="U47:Z47" si="34">SUM(U43:U46)</f>
        <v>1940.1615669806145</v>
      </c>
      <c r="V47" s="29">
        <f t="shared" si="34"/>
        <v>1988.2397208891712</v>
      </c>
      <c r="W47" s="29">
        <f t="shared" si="34"/>
        <v>1988.2397208891712</v>
      </c>
      <c r="X47" s="29">
        <f t="shared" si="34"/>
        <v>1960.3984903082746</v>
      </c>
      <c r="Y47" s="29">
        <f t="shared" si="34"/>
        <v>2024.7001097753198</v>
      </c>
      <c r="Z47" s="29">
        <f t="shared" si="34"/>
        <v>2024.7001097753198</v>
      </c>
      <c r="AA47" s="29">
        <f>SUM(AA43:AA46)</f>
        <v>2024.7001097753198</v>
      </c>
      <c r="AB47" s="31"/>
      <c r="AC47" s="1" t="s">
        <v>78</v>
      </c>
      <c r="AD47" s="20">
        <v>234258</v>
      </c>
      <c r="AE47" s="20">
        <v>224522</v>
      </c>
      <c r="AF47" s="20">
        <v>225928</v>
      </c>
      <c r="AG47" s="20">
        <v>208258</v>
      </c>
      <c r="AH47" s="20">
        <v>176260</v>
      </c>
      <c r="AI47" s="20">
        <v>189299</v>
      </c>
      <c r="AJ47" s="20">
        <v>225080</v>
      </c>
      <c r="AK47" s="20">
        <v>179634</v>
      </c>
      <c r="AL47" s="20">
        <v>160098</v>
      </c>
      <c r="AM47" s="20">
        <v>162764.64000000001</v>
      </c>
      <c r="AN47" s="20">
        <v>166986.74600000001</v>
      </c>
      <c r="AO47" s="20">
        <v>45008.60040000001</v>
      </c>
      <c r="AP47" s="20">
        <v>49147.424000000006</v>
      </c>
      <c r="AQ47" s="20">
        <v>94156.024400000024</v>
      </c>
      <c r="AR47" s="20">
        <v>42323.18912000001</v>
      </c>
      <c r="AS47" s="20">
        <v>44016.826480000003</v>
      </c>
      <c r="AT47" s="20">
        <v>86340.015600000013</v>
      </c>
      <c r="AU47" s="20">
        <v>180496.04000000004</v>
      </c>
      <c r="AV47" s="20">
        <v>49509.46044000001</v>
      </c>
      <c r="AW47" s="20">
        <v>50953.395199999999</v>
      </c>
      <c r="AX47" s="20">
        <v>100462.85564000001</v>
      </c>
      <c r="AY47" s="20">
        <v>43912.80457600001</v>
      </c>
      <c r="AZ47" s="20">
        <v>44016.826480000003</v>
      </c>
      <c r="BA47" s="20">
        <v>87929.631056000013</v>
      </c>
      <c r="BB47" s="20">
        <v>188392.48669600004</v>
      </c>
      <c r="BE47" s="9"/>
      <c r="BF47" s="9"/>
      <c r="BG47" s="9"/>
      <c r="BH47" s="9"/>
      <c r="BI47" s="9"/>
    </row>
    <row r="48" spans="2:64" ht="11.25" customHeight="1" x14ac:dyDescent="0.2">
      <c r="B48" s="54" t="s">
        <v>79</v>
      </c>
      <c r="C48" s="19">
        <f>'BS,CF and P&amp;L'!CB182</f>
        <v>149</v>
      </c>
      <c r="D48" s="19">
        <f>'BS,CF and P&amp;L'!CI182</f>
        <v>58.1</v>
      </c>
      <c r="E48" s="19">
        <f>'BS,CF and P&amp;L'!CP182</f>
        <v>52.8</v>
      </c>
      <c r="F48" s="20">
        <f>'BS,CF and P&amp;L'!CW182</f>
        <v>43.7</v>
      </c>
      <c r="G48" s="20">
        <f>'BS,CF and P&amp;L'!DD182</f>
        <v>38.5</v>
      </c>
      <c r="H48" s="20">
        <f>'BS,CF and P&amp;L'!DK182</f>
        <v>42.9</v>
      </c>
      <c r="I48" s="20">
        <f>'BS,CF and P&amp;L'!DR182</f>
        <v>37.799999999999997</v>
      </c>
      <c r="J48" s="20">
        <f>'BS,CF and P&amp;L'!DY182</f>
        <v>28.2</v>
      </c>
      <c r="K48" s="20">
        <f>'BS,CF and P&amp;L'!EF182</f>
        <v>26.4</v>
      </c>
      <c r="L48" s="20">
        <f>'BS,CF and P&amp;L'!EM182</f>
        <v>23.2</v>
      </c>
      <c r="M48" s="20">
        <f>'BS,CF and P&amp;L'!ET182</f>
        <v>21.5</v>
      </c>
      <c r="N48" s="20">
        <f>'BS,CF and P&amp;L'!EU182</f>
        <v>21.5</v>
      </c>
      <c r="O48" s="20">
        <f>'BS,CF and P&amp;L'!EV182</f>
        <v>21.5</v>
      </c>
      <c r="P48" s="20">
        <f>'BS,CF and P&amp;L'!EW182</f>
        <v>21.5</v>
      </c>
      <c r="Q48" s="20">
        <f>'BS,CF and P&amp;L'!EX182</f>
        <v>21.5</v>
      </c>
      <c r="R48" s="20">
        <f>'BS,CF and P&amp;L'!EY182</f>
        <v>21.5</v>
      </c>
      <c r="S48" s="20">
        <f>'BS,CF and P&amp;L'!EZ182</f>
        <v>21.5</v>
      </c>
      <c r="T48" s="20">
        <f>'BS,CF and P&amp;L'!FA182</f>
        <v>21.5</v>
      </c>
      <c r="U48" s="20">
        <f>'BS,CF and P&amp;L'!FB182</f>
        <v>21.5</v>
      </c>
      <c r="V48" s="20">
        <f>'BS,CF and P&amp;L'!FC182</f>
        <v>21.5</v>
      </c>
      <c r="W48" s="20">
        <f>'BS,CF and P&amp;L'!FD182</f>
        <v>21.5</v>
      </c>
      <c r="X48" s="20">
        <f>'BS,CF and P&amp;L'!FE182</f>
        <v>21.5</v>
      </c>
      <c r="Y48" s="20">
        <f>'BS,CF and P&amp;L'!FF182</f>
        <v>21.5</v>
      </c>
      <c r="Z48" s="20">
        <f>'BS,CF and P&amp;L'!FG182</f>
        <v>21.5</v>
      </c>
      <c r="AA48" s="20">
        <f>'BS,CF and P&amp;L'!FH182</f>
        <v>21.5</v>
      </c>
      <c r="AB48" s="31"/>
      <c r="AC48" s="1" t="s">
        <v>80</v>
      </c>
      <c r="AD48" s="31">
        <v>0.14675986190503143</v>
      </c>
      <c r="AE48" s="31">
        <f>+AE47/AD47-1</f>
        <v>-4.1561013924817924E-2</v>
      </c>
      <c r="AF48" s="31">
        <f>+AF47/AE47-1</f>
        <v>6.2621925691024316E-3</v>
      </c>
      <c r="AG48" s="16">
        <f>AG47/AF47-1</f>
        <v>-7.8210757409440168E-2</v>
      </c>
      <c r="AH48" s="16">
        <f>AH47/AG47-1</f>
        <v>-0.15364595837854966</v>
      </c>
      <c r="AI48" s="16">
        <f>AI47/AG47-1</f>
        <v>-9.1036118660507648E-2</v>
      </c>
      <c r="AJ48" s="16">
        <f t="shared" ref="AJ48:AT48" si="35">AJ47/AI47-1</f>
        <v>0.18901843115917139</v>
      </c>
      <c r="AK48" s="16">
        <f t="shared" si="35"/>
        <v>-0.20191043184645463</v>
      </c>
      <c r="AL48" s="16">
        <f t="shared" si="35"/>
        <v>-0.10875446741708139</v>
      </c>
      <c r="AM48" s="16">
        <f t="shared" si="35"/>
        <v>1.6656298017464488E-2</v>
      </c>
      <c r="AN48" s="16">
        <f t="shared" si="35"/>
        <v>2.5939946170126404E-2</v>
      </c>
      <c r="AO48" s="16">
        <f t="shared" si="35"/>
        <v>-0.73046603111842179</v>
      </c>
      <c r="AP48" s="16">
        <f t="shared" si="35"/>
        <v>9.1956283092953006E-2</v>
      </c>
      <c r="AQ48" s="16">
        <f t="shared" si="35"/>
        <v>0.91578757820552337</v>
      </c>
      <c r="AR48" s="16">
        <f t="shared" si="35"/>
        <v>-0.55049940362605199</v>
      </c>
      <c r="AS48" s="16">
        <f t="shared" si="35"/>
        <v>4.0016770834494064E-2</v>
      </c>
      <c r="AT48" s="16">
        <f t="shared" si="35"/>
        <v>0.96152295620926842</v>
      </c>
      <c r="AU48" s="16">
        <f>AU47/AN47-1</f>
        <v>8.0900396729690183E-2</v>
      </c>
      <c r="AV48" s="16">
        <f t="shared" ref="AV48:BA48" si="36">AV47/AU47-1</f>
        <v>-0.72570334263289094</v>
      </c>
      <c r="AW48" s="16">
        <f t="shared" si="36"/>
        <v>2.916482521052477E-2</v>
      </c>
      <c r="AX48" s="16">
        <f t="shared" si="36"/>
        <v>0.97166165759254475</v>
      </c>
      <c r="AY48" s="16">
        <f t="shared" si="36"/>
        <v>-0.5628951188351865</v>
      </c>
      <c r="AZ48" s="16">
        <f t="shared" si="36"/>
        <v>2.3688285228962158E-3</v>
      </c>
      <c r="BA48" s="16">
        <f t="shared" si="36"/>
        <v>0.99763676956476499</v>
      </c>
      <c r="BB48" s="16">
        <f>BB47/AU47-1</f>
        <v>4.3748586927447208E-2</v>
      </c>
      <c r="BE48" s="9"/>
      <c r="BF48" s="9"/>
      <c r="BG48" s="9"/>
      <c r="BH48" s="9"/>
      <c r="BI48" s="9"/>
    </row>
    <row r="49" spans="2:68" ht="11.25" customHeight="1" x14ac:dyDescent="0.2">
      <c r="B49" s="1" t="s">
        <v>81</v>
      </c>
      <c r="C49" s="19">
        <f>'BS,CF and P&amp;L'!CB183</f>
        <v>46.8</v>
      </c>
      <c r="D49" s="19">
        <f>'BS,CF and P&amp;L'!CI183</f>
        <v>40.4</v>
      </c>
      <c r="E49" s="19">
        <f>'BS,CF and P&amp;L'!CP183</f>
        <v>28.8</v>
      </c>
      <c r="F49" s="20">
        <f>'BS,CF and P&amp;L'!CW183</f>
        <v>25.8</v>
      </c>
      <c r="G49" s="20">
        <f>'BS,CF and P&amp;L'!DD183</f>
        <v>20.7</v>
      </c>
      <c r="H49" s="20">
        <f>'BS,CF and P&amp;L'!DK183</f>
        <v>20.3</v>
      </c>
      <c r="I49" s="20">
        <f>'BS,CF and P&amp;L'!DR183</f>
        <v>18.600000000000001</v>
      </c>
      <c r="J49" s="20">
        <f>'BS,CF and P&amp;L'!DY183</f>
        <v>16.399999999999999</v>
      </c>
      <c r="K49" s="20">
        <f>'BS,CF and P&amp;L'!EF183</f>
        <v>13.6</v>
      </c>
      <c r="L49" s="20">
        <f>'BS,CF and P&amp;L'!EM183</f>
        <v>16.5</v>
      </c>
      <c r="M49" s="20">
        <f>'BS,CF and P&amp;L'!ET183</f>
        <v>17.5</v>
      </c>
      <c r="N49" s="20">
        <f>'BS,CF and P&amp;L'!EU183</f>
        <v>17.5</v>
      </c>
      <c r="O49" s="20">
        <f>'BS,CF and P&amp;L'!EV183</f>
        <v>17.5</v>
      </c>
      <c r="P49" s="20">
        <f>'BS,CF and P&amp;L'!EW183</f>
        <v>17.5</v>
      </c>
      <c r="Q49" s="20">
        <f>'BS,CF and P&amp;L'!EX183</f>
        <v>17.5</v>
      </c>
      <c r="R49" s="20">
        <f>'BS,CF and P&amp;L'!EY183</f>
        <v>17.5</v>
      </c>
      <c r="S49" s="20">
        <f>'BS,CF and P&amp;L'!EZ183</f>
        <v>17.5</v>
      </c>
      <c r="T49" s="20">
        <f>'BS,CF and P&amp;L'!FA183</f>
        <v>17.5</v>
      </c>
      <c r="U49" s="20">
        <f>'BS,CF and P&amp;L'!FB183</f>
        <v>17.5</v>
      </c>
      <c r="V49" s="20">
        <f>'BS,CF and P&amp;L'!FC183</f>
        <v>17.5</v>
      </c>
      <c r="W49" s="20">
        <f>'BS,CF and P&amp;L'!FD183</f>
        <v>17.5</v>
      </c>
      <c r="X49" s="20">
        <f>'BS,CF and P&amp;L'!FE183</f>
        <v>17.5</v>
      </c>
      <c r="Y49" s="20">
        <f>'BS,CF and P&amp;L'!FF183</f>
        <v>17.5</v>
      </c>
      <c r="Z49" s="20">
        <f>'BS,CF and P&amp;L'!FG183</f>
        <v>17.5</v>
      </c>
      <c r="AA49" s="20">
        <f>'BS,CF and P&amp;L'!FH183</f>
        <v>17.5</v>
      </c>
      <c r="AB49" s="31"/>
      <c r="AC49" s="1" t="s">
        <v>667</v>
      </c>
      <c r="AD49" s="31">
        <v>7.8142361959783191E-3</v>
      </c>
      <c r="AE49" s="31">
        <v>1.6869713975586897E-2</v>
      </c>
      <c r="AF49" s="31">
        <v>0.16716865695922167</v>
      </c>
      <c r="AG49" s="16">
        <v>3.6006811106046976E-2</v>
      </c>
      <c r="AH49" s="16">
        <v>2.7330042071008309E-2</v>
      </c>
      <c r="AI49" s="16">
        <v>-6.2254944223448239E-2</v>
      </c>
      <c r="AJ49" s="16">
        <v>1.3052929701280469E-3</v>
      </c>
      <c r="AK49" s="16">
        <v>2.3964302851856134E-2</v>
      </c>
      <c r="AL49" s="16">
        <v>2.2426378314183815E-2</v>
      </c>
      <c r="AM49" s="16">
        <v>2.1862861731379857E-2</v>
      </c>
      <c r="AN49" s="16">
        <v>1.4542813978068336E-2</v>
      </c>
      <c r="AO49" s="16">
        <v>1.226277372262774E-2</v>
      </c>
      <c r="AP49" s="16">
        <v>1.0000000000000009E-2</v>
      </c>
      <c r="AQ49" s="16">
        <v>1.1142569430761196E-2</v>
      </c>
      <c r="AR49" s="16">
        <v>1.0000000000000009E-2</v>
      </c>
      <c r="AS49" s="16">
        <v>1.0000000000000009E-2</v>
      </c>
      <c r="AT49" s="16">
        <v>1.0000000000000009E-2</v>
      </c>
      <c r="AU49" s="16">
        <v>1.0557874102333109E-2</v>
      </c>
      <c r="AV49" s="16">
        <v>1.0000000000000009E-2</v>
      </c>
      <c r="AW49" s="16">
        <v>1.0000000000000009E-2</v>
      </c>
      <c r="AX49" s="16">
        <v>1.0000000000000009E-2</v>
      </c>
      <c r="AY49" s="16">
        <v>1.0000000000000009E-2</v>
      </c>
      <c r="AZ49" s="16">
        <v>1.0000000000000009E-2</v>
      </c>
      <c r="BA49" s="16">
        <v>1.0000000000000231E-2</v>
      </c>
      <c r="BB49" s="16">
        <v>1.0000000000000231E-2</v>
      </c>
      <c r="BE49" s="9"/>
      <c r="BF49" s="9"/>
      <c r="BG49" s="9"/>
      <c r="BH49" s="9"/>
      <c r="BI49" s="9"/>
    </row>
    <row r="50" spans="2:68" ht="11.25" customHeight="1" x14ac:dyDescent="0.2">
      <c r="B50" s="55" t="s">
        <v>82</v>
      </c>
      <c r="C50" s="19">
        <f>'BS,CF and P&amp;L'!CB184</f>
        <v>867</v>
      </c>
      <c r="D50" s="19">
        <f>'BS,CF and P&amp;L'!CI184</f>
        <v>879</v>
      </c>
      <c r="E50" s="19">
        <f>'BS,CF and P&amp;L'!CP184</f>
        <v>992.1</v>
      </c>
      <c r="F50" s="20">
        <f>'BS,CF and P&amp;L'!CW184</f>
        <v>1388.4</v>
      </c>
      <c r="G50" s="20">
        <f>'BS,CF and P&amp;L'!DD184</f>
        <v>1383.9</v>
      </c>
      <c r="H50" s="20">
        <f>'BS,CF and P&amp;L'!DK184</f>
        <v>1372.3</v>
      </c>
      <c r="I50" s="20">
        <f>'BS,CF and P&amp;L'!DR184</f>
        <v>1457</v>
      </c>
      <c r="J50" s="20">
        <f>'BS,CF and P&amp;L'!DY184</f>
        <v>1839.6</v>
      </c>
      <c r="K50" s="20">
        <f>'BS,CF and P&amp;L'!EF184</f>
        <v>2037.8</v>
      </c>
      <c r="L50" s="20">
        <f>'BS,CF and P&amp;L'!EM184</f>
        <v>2169</v>
      </c>
      <c r="M50" s="20">
        <f>'BS,CF and P&amp;L'!ET184</f>
        <v>3072.0562</v>
      </c>
      <c r="N50" s="20">
        <f>'BS,CF and P&amp;L'!EU184</f>
        <v>3090.3404639999999</v>
      </c>
      <c r="O50" s="20">
        <f>'BS,CF and P&amp;L'!EV184</f>
        <v>3105.3827099199998</v>
      </c>
      <c r="P50" s="20">
        <f>'BS,CF and P&amp;L'!EW184</f>
        <v>3105.3827099199998</v>
      </c>
      <c r="Q50" s="20">
        <f>'BS,CF and P&amp;L'!EX184</f>
        <v>3121.8699182175997</v>
      </c>
      <c r="R50" s="20">
        <f>'BS,CF and P&amp;L'!EY184</f>
        <v>3138.7971377641275</v>
      </c>
      <c r="S50" s="20">
        <f>'BS,CF and P&amp;L'!EZ184</f>
        <v>3138.7971377641275</v>
      </c>
      <c r="T50" s="20">
        <f>'BS,CF and P&amp;L'!FA184</f>
        <v>3138.7971377641275</v>
      </c>
      <c r="U50" s="20">
        <f>'BS,CF and P&amp;L'!FB184</f>
        <v>3154.7306716841276</v>
      </c>
      <c r="V50" s="20">
        <f>'BS,CF and P&amp;L'!FC184</f>
        <v>3167.3695824817278</v>
      </c>
      <c r="W50" s="20">
        <f>'BS,CF and P&amp;L'!FD184</f>
        <v>3167.3695824817278</v>
      </c>
      <c r="X50" s="20">
        <f>'BS,CF and P&amp;L'!FE184</f>
        <v>3181.3710295282558</v>
      </c>
      <c r="Y50" s="20">
        <f>'BS,CF and P&amp;L'!FF184</f>
        <v>3195.8226536111797</v>
      </c>
      <c r="Z50" s="20">
        <f>'BS,CF and P&amp;L'!FG184</f>
        <v>3195.8226536111797</v>
      </c>
      <c r="AA50" s="20">
        <f>'BS,CF and P&amp;L'!FH184</f>
        <v>3195.8226536111797</v>
      </c>
      <c r="AB50" s="31"/>
      <c r="BE50" s="9"/>
      <c r="BF50" s="9"/>
      <c r="BG50" s="9"/>
      <c r="BH50" s="9"/>
      <c r="BI50" s="9"/>
    </row>
    <row r="51" spans="2:68" ht="11.25" customHeight="1" x14ac:dyDescent="0.2">
      <c r="B51" s="54" t="s">
        <v>83</v>
      </c>
      <c r="C51" s="19">
        <f>'BS,CF and P&amp;L'!CB185</f>
        <v>410.79999999999995</v>
      </c>
      <c r="D51" s="19">
        <f>'BS,CF and P&amp;L'!CI185</f>
        <v>383.5</v>
      </c>
      <c r="E51" s="19">
        <f>'BS,CF and P&amp;L'!CP185</f>
        <v>412.79999999999995</v>
      </c>
      <c r="F51" s="20">
        <f>'BS,CF and P&amp;L'!CW185</f>
        <v>1442.2</v>
      </c>
      <c r="G51" s="20">
        <f>'BS,CF and P&amp;L'!DD185</f>
        <v>1308.5</v>
      </c>
      <c r="H51" s="20">
        <f>'BS,CF and P&amp;L'!DK185</f>
        <v>1274.1999999999998</v>
      </c>
      <c r="I51" s="20">
        <f>'BS,CF and P&amp;L'!DR185</f>
        <v>1179.3000000000002</v>
      </c>
      <c r="J51" s="20">
        <f>'BS,CF and P&amp;L'!DY185</f>
        <v>1054.2</v>
      </c>
      <c r="K51" s="20">
        <f>'BS,CF and P&amp;L'!EF185</f>
        <v>984.4</v>
      </c>
      <c r="L51" s="20">
        <f>'BS,CF and P&amp;L'!EM185</f>
        <v>884.9</v>
      </c>
      <c r="M51" s="20">
        <f>'BS,CF and P&amp;L'!ET185</f>
        <v>346.8</v>
      </c>
      <c r="N51" s="20">
        <f>'BS,CF and P&amp;L'!EU185</f>
        <v>346.8</v>
      </c>
      <c r="O51" s="20">
        <f>'BS,CF and P&amp;L'!EV185</f>
        <v>346.8</v>
      </c>
      <c r="P51" s="20">
        <f>'BS,CF and P&amp;L'!EW185</f>
        <v>346.8</v>
      </c>
      <c r="Q51" s="20">
        <f>'BS,CF and P&amp;L'!EX185</f>
        <v>346.8</v>
      </c>
      <c r="R51" s="20">
        <f>'BS,CF and P&amp;L'!EY185</f>
        <v>346.8</v>
      </c>
      <c r="S51" s="20">
        <f>'BS,CF and P&amp;L'!EZ185</f>
        <v>346.8</v>
      </c>
      <c r="T51" s="20">
        <f>'BS,CF and P&amp;L'!FA185</f>
        <v>346.8</v>
      </c>
      <c r="U51" s="20">
        <f>'BS,CF and P&amp;L'!FB185</f>
        <v>346.8</v>
      </c>
      <c r="V51" s="20">
        <f>'BS,CF and P&amp;L'!FC185</f>
        <v>346.8</v>
      </c>
      <c r="W51" s="20">
        <f>'BS,CF and P&amp;L'!FD185</f>
        <v>346.8</v>
      </c>
      <c r="X51" s="20">
        <f>'BS,CF and P&amp;L'!FE185</f>
        <v>346.8</v>
      </c>
      <c r="Y51" s="20">
        <f>'BS,CF and P&amp;L'!FF185</f>
        <v>346.8</v>
      </c>
      <c r="Z51" s="20">
        <f>'BS,CF and P&amp;L'!FG185</f>
        <v>346.8</v>
      </c>
      <c r="AA51" s="20">
        <f>'BS,CF and P&amp;L'!FH185</f>
        <v>346.8</v>
      </c>
      <c r="AB51" s="31"/>
      <c r="AC51" s="1" t="s">
        <v>84</v>
      </c>
      <c r="AD51" s="20">
        <v>27789</v>
      </c>
      <c r="AE51" s="20">
        <v>30626</v>
      </c>
      <c r="AF51" s="20">
        <v>31392</v>
      </c>
      <c r="AG51" s="20">
        <v>34516</v>
      </c>
      <c r="AH51" s="20">
        <v>37617</v>
      </c>
      <c r="AI51" s="20">
        <v>41032</v>
      </c>
      <c r="AJ51" s="20">
        <v>50964</v>
      </c>
      <c r="AK51" s="20">
        <v>48855.3</v>
      </c>
      <c r="AL51" s="20">
        <v>37869.875</v>
      </c>
      <c r="AM51" s="20">
        <v>29651.122499999998</v>
      </c>
      <c r="AN51" s="20">
        <v>27809.854875000001</v>
      </c>
      <c r="AO51" s="20">
        <v>7752.7394999999997</v>
      </c>
      <c r="AP51" s="20">
        <v>7712.2378124999996</v>
      </c>
      <c r="AQ51" s="20">
        <v>15464.977312499999</v>
      </c>
      <c r="AR51" s="20">
        <v>7117.0093124999985</v>
      </c>
      <c r="AS51" s="20">
        <v>9440.2948500000002</v>
      </c>
      <c r="AT51" s="20">
        <v>16557.304162499997</v>
      </c>
      <c r="AU51" s="20">
        <v>32022.281474999996</v>
      </c>
      <c r="AV51" s="20">
        <v>9303.2874000000011</v>
      </c>
      <c r="AW51" s="20">
        <v>9254.6853749999991</v>
      </c>
      <c r="AX51" s="20">
        <v>18557.972775000002</v>
      </c>
      <c r="AY51" s="20">
        <v>8540.4111749999993</v>
      </c>
      <c r="AZ51" s="20">
        <v>11328.35382</v>
      </c>
      <c r="BA51" s="20">
        <v>19868.764994999998</v>
      </c>
      <c r="BB51" s="20">
        <v>38426.73777</v>
      </c>
    </row>
    <row r="52" spans="2:68" ht="11.25" customHeight="1" x14ac:dyDescent="0.2">
      <c r="B52" s="56" t="s">
        <v>662</v>
      </c>
      <c r="C52" s="52">
        <f>'BS,CF and P&amp;L'!CB187</f>
        <v>30.9</v>
      </c>
      <c r="D52" s="52">
        <f>'BS,CF and P&amp;L'!CI187</f>
        <v>19.600000000000001</v>
      </c>
      <c r="E52" s="52">
        <f>'BS,CF and P&amp;L'!CP187</f>
        <v>21.9</v>
      </c>
      <c r="F52" s="53">
        <f>'BS,CF and P&amp;L'!CW187</f>
        <v>378.4</v>
      </c>
      <c r="G52" s="53">
        <f>'BS,CF and P&amp;L'!DD187</f>
        <v>368.29999999999995</v>
      </c>
      <c r="H52" s="53">
        <f>'BS,CF and P&amp;L'!DK187</f>
        <v>435.70000000000005</v>
      </c>
      <c r="I52" s="53">
        <f>'BS,CF and P&amp;L'!DR187</f>
        <v>426.50000000000006</v>
      </c>
      <c r="J52" s="53">
        <f>'BS,CF and P&amp;L'!DY187</f>
        <v>429.4</v>
      </c>
      <c r="K52" s="53">
        <f>'BS,CF and P&amp;L'!EF187</f>
        <v>422</v>
      </c>
      <c r="L52" s="53">
        <f>'BS,CF and P&amp;L'!EM187</f>
        <v>434.50000000000006</v>
      </c>
      <c r="M52" s="53">
        <f>'BS,CF and P&amp;L'!ET187</f>
        <v>8604.5</v>
      </c>
      <c r="N52" s="53">
        <f>'BS,CF and P&amp;L'!EU187</f>
        <v>8604.5</v>
      </c>
      <c r="O52" s="53">
        <f>'BS,CF and P&amp;L'!EV187</f>
        <v>8604.5</v>
      </c>
      <c r="P52" s="53">
        <f>'BS,CF and P&amp;L'!EW187</f>
        <v>8604.5</v>
      </c>
      <c r="Q52" s="53">
        <f>'BS,CF and P&amp;L'!EX187</f>
        <v>8604.5</v>
      </c>
      <c r="R52" s="53">
        <f>'BS,CF and P&amp;L'!EY187</f>
        <v>8604.5</v>
      </c>
      <c r="S52" s="53">
        <f>'BS,CF and P&amp;L'!EZ187</f>
        <v>8604.5</v>
      </c>
      <c r="T52" s="53">
        <f>'BS,CF and P&amp;L'!FA187</f>
        <v>8604.5</v>
      </c>
      <c r="U52" s="53">
        <f>'BS,CF and P&amp;L'!FB187</f>
        <v>8604.5</v>
      </c>
      <c r="V52" s="53">
        <f>'BS,CF and P&amp;L'!FC187</f>
        <v>8604.5</v>
      </c>
      <c r="W52" s="53">
        <f>'BS,CF and P&amp;L'!FD187</f>
        <v>8604.5</v>
      </c>
      <c r="X52" s="53">
        <f>'BS,CF and P&amp;L'!FE187</f>
        <v>8604.5</v>
      </c>
      <c r="Y52" s="53">
        <f>'BS,CF and P&amp;L'!FF187</f>
        <v>8604.5</v>
      </c>
      <c r="Z52" s="53">
        <f>'BS,CF and P&amp;L'!FG187</f>
        <v>8604.5</v>
      </c>
      <c r="AA52" s="53">
        <f>'BS,CF and P&amp;L'!FH187</f>
        <v>8604.5</v>
      </c>
      <c r="AC52" s="1" t="s">
        <v>85</v>
      </c>
      <c r="AD52" s="31">
        <v>0.10987299305056308</v>
      </c>
      <c r="AE52" s="31">
        <v>0.10209075533484469</v>
      </c>
      <c r="AF52" s="31">
        <v>2.5011428198262964E-2</v>
      </c>
      <c r="AG52" s="16">
        <v>9.9515800203873628E-2</v>
      </c>
      <c r="AH52" s="16">
        <v>8.9842391934175536E-2</v>
      </c>
      <c r="AI52" s="16">
        <v>9.0783422388813539E-2</v>
      </c>
      <c r="AJ52" s="16">
        <v>0.24205498147787097</v>
      </c>
      <c r="AK52" s="16">
        <v>-4.1376265599246453E-2</v>
      </c>
      <c r="AL52" s="16">
        <v>-0.22485636154112254</v>
      </c>
      <c r="AM52" s="16">
        <v>-0.2170261322489182</v>
      </c>
      <c r="AN52" s="16">
        <v>-6.2097737615161019E-2</v>
      </c>
      <c r="AO52" s="16">
        <v>0.10000000000000009</v>
      </c>
      <c r="AP52" s="16">
        <v>0.14999999999999991</v>
      </c>
      <c r="AQ52" s="16">
        <v>0.12437900734419038</v>
      </c>
      <c r="AR52" s="16">
        <v>0.14999999999999991</v>
      </c>
      <c r="AS52" s="16">
        <v>0.19999999999999996</v>
      </c>
      <c r="AT52" s="16">
        <v>0.17798494318938984</v>
      </c>
      <c r="AU52" s="16">
        <v>0.15147244093628132</v>
      </c>
      <c r="AV52" s="16">
        <v>0.20000000000000018</v>
      </c>
      <c r="AW52" s="16">
        <v>0.19999999999999996</v>
      </c>
      <c r="AX52" s="16">
        <v>0.20000000000000018</v>
      </c>
      <c r="AY52" s="16">
        <v>0.20000000000000018</v>
      </c>
      <c r="AZ52" s="16">
        <v>0.19999999999999996</v>
      </c>
      <c r="BA52" s="16">
        <v>0.20000000000000018</v>
      </c>
      <c r="BB52" s="16">
        <v>0.20000000000000018</v>
      </c>
      <c r="BE52" s="28"/>
      <c r="BF52" s="28"/>
      <c r="BG52" s="28"/>
      <c r="BH52" s="28"/>
      <c r="BI52" s="28"/>
    </row>
    <row r="53" spans="2:68" ht="11.25" customHeight="1" x14ac:dyDescent="0.2">
      <c r="B53" s="57" t="s">
        <v>663</v>
      </c>
      <c r="C53" s="28">
        <f t="shared" ref="C53:I53" si="37">SUM(C48:C52)</f>
        <v>1504.5</v>
      </c>
      <c r="D53" s="28">
        <f t="shared" si="37"/>
        <v>1380.6</v>
      </c>
      <c r="E53" s="28">
        <f t="shared" si="37"/>
        <v>1508.4</v>
      </c>
      <c r="F53" s="29">
        <f t="shared" si="37"/>
        <v>3278.5000000000005</v>
      </c>
      <c r="G53" s="29">
        <f>SUM(G48:G52)</f>
        <v>3119.9000000000005</v>
      </c>
      <c r="H53" s="29">
        <f t="shared" si="37"/>
        <v>3145.3999999999996</v>
      </c>
      <c r="I53" s="29">
        <f t="shared" si="37"/>
        <v>3119.2000000000003</v>
      </c>
      <c r="J53" s="29">
        <f>SUM(J48:J52)</f>
        <v>3367.7999999999997</v>
      </c>
      <c r="K53" s="29">
        <f>SUM(K48:K52)</f>
        <v>3484.2000000000003</v>
      </c>
      <c r="L53" s="29">
        <f>SUM(L48:L52)</f>
        <v>3528.1</v>
      </c>
      <c r="M53" s="29">
        <f>SUM(M48:M52)</f>
        <v>12062.3562</v>
      </c>
      <c r="N53" s="29">
        <f t="shared" ref="N53:T53" si="38">SUM(N48:N52)</f>
        <v>12080.640464</v>
      </c>
      <c r="O53" s="29">
        <f t="shared" si="38"/>
        <v>12095.68270992</v>
      </c>
      <c r="P53" s="29">
        <f t="shared" si="38"/>
        <v>12095.68270992</v>
      </c>
      <c r="Q53" s="29">
        <f t="shared" si="38"/>
        <v>12112.1699182176</v>
      </c>
      <c r="R53" s="29">
        <f t="shared" si="38"/>
        <v>12129.097137764127</v>
      </c>
      <c r="S53" s="29">
        <f t="shared" si="38"/>
        <v>12129.097137764127</v>
      </c>
      <c r="T53" s="29">
        <f t="shared" si="38"/>
        <v>12129.097137764127</v>
      </c>
      <c r="U53" s="29">
        <f t="shared" ref="U53:Z53" si="39">SUM(U48:U52)</f>
        <v>12145.030671684128</v>
      </c>
      <c r="V53" s="29">
        <f t="shared" si="39"/>
        <v>12157.669582481729</v>
      </c>
      <c r="W53" s="29">
        <f t="shared" si="39"/>
        <v>12157.669582481729</v>
      </c>
      <c r="X53" s="29">
        <f t="shared" si="39"/>
        <v>12171.671029528256</v>
      </c>
      <c r="Y53" s="29">
        <f t="shared" si="39"/>
        <v>12186.122653611179</v>
      </c>
      <c r="Z53" s="29">
        <f t="shared" si="39"/>
        <v>12186.122653611179</v>
      </c>
      <c r="AA53" s="29">
        <f>SUM(AA48:AA52)</f>
        <v>12186.122653611179</v>
      </c>
      <c r="AB53" s="3"/>
    </row>
    <row r="54" spans="2:68" ht="11.25" customHeight="1" x14ac:dyDescent="0.2">
      <c r="B54" s="58" t="s">
        <v>86</v>
      </c>
      <c r="C54" s="59">
        <f t="shared" ref="C54:I54" si="40">C53+C47</f>
        <v>2040.4</v>
      </c>
      <c r="D54" s="59">
        <f t="shared" si="40"/>
        <v>2012.6999999999998</v>
      </c>
      <c r="E54" s="59">
        <f t="shared" si="40"/>
        <v>2351</v>
      </c>
      <c r="F54" s="60">
        <f t="shared" si="40"/>
        <v>4032.6000000000004</v>
      </c>
      <c r="G54" s="60">
        <f>G53+G47</f>
        <v>4028.3000000000006</v>
      </c>
      <c r="H54" s="60">
        <f t="shared" si="40"/>
        <v>4088.9999999999995</v>
      </c>
      <c r="I54" s="60">
        <f t="shared" si="40"/>
        <v>4243.2000000000007</v>
      </c>
      <c r="J54" s="60">
        <f>J53+J47</f>
        <v>4442.8999999999996</v>
      </c>
      <c r="K54" s="60">
        <f>K53+K47</f>
        <v>4912.6000000000004</v>
      </c>
      <c r="L54" s="60">
        <f>L53+L47</f>
        <v>5229.8999999999996</v>
      </c>
      <c r="M54" s="60">
        <f>M53+M47</f>
        <v>13880.871252035369</v>
      </c>
      <c r="N54" s="60">
        <f t="shared" ref="N54:T54" si="41">N53+N47</f>
        <v>13919.440283786722</v>
      </c>
      <c r="O54" s="60">
        <f t="shared" si="41"/>
        <v>13964.056642377058</v>
      </c>
      <c r="P54" s="60">
        <f t="shared" si="41"/>
        <v>13964.056642377058</v>
      </c>
      <c r="Q54" s="60">
        <f t="shared" si="41"/>
        <v>13955.651757144151</v>
      </c>
      <c r="R54" s="60">
        <f t="shared" si="41"/>
        <v>14038.80927430536</v>
      </c>
      <c r="S54" s="60">
        <f t="shared" si="41"/>
        <v>14038.80927430536</v>
      </c>
      <c r="T54" s="60">
        <f t="shared" si="41"/>
        <v>14038.80927430536</v>
      </c>
      <c r="U54" s="60">
        <f t="shared" ref="U54:Z54" si="42">U53+U47</f>
        <v>14085.192238664742</v>
      </c>
      <c r="V54" s="60">
        <f t="shared" si="42"/>
        <v>14145.9093033709</v>
      </c>
      <c r="W54" s="60">
        <f t="shared" si="42"/>
        <v>14145.9093033709</v>
      </c>
      <c r="X54" s="60">
        <f t="shared" si="42"/>
        <v>14132.06951983653</v>
      </c>
      <c r="Y54" s="60">
        <f t="shared" si="42"/>
        <v>14210.822763386499</v>
      </c>
      <c r="Z54" s="60">
        <f t="shared" si="42"/>
        <v>14210.822763386499</v>
      </c>
      <c r="AA54" s="60">
        <f>AA53+AA47</f>
        <v>14210.822763386499</v>
      </c>
      <c r="AC54" s="1" t="s">
        <v>87</v>
      </c>
      <c r="AD54" s="20">
        <v>745.1</v>
      </c>
      <c r="AE54" s="20">
        <v>792.5</v>
      </c>
      <c r="AF54" s="20">
        <v>862.30000000000007</v>
      </c>
      <c r="AG54" s="20">
        <v>869.5</v>
      </c>
      <c r="AH54" s="20">
        <v>913.5</v>
      </c>
      <c r="AI54" s="20">
        <v>1031.4000000000001</v>
      </c>
      <c r="AJ54" s="20">
        <v>1138.3000000000002</v>
      </c>
      <c r="AK54" s="20">
        <v>926.6</v>
      </c>
      <c r="AL54" s="20">
        <v>1000.7</v>
      </c>
      <c r="AM54" s="20">
        <v>997.3</v>
      </c>
      <c r="AN54" s="20">
        <v>980.24900000000002</v>
      </c>
      <c r="AO54" s="20">
        <v>262.548</v>
      </c>
      <c r="AP54" s="20">
        <v>255.39576</v>
      </c>
      <c r="AQ54" s="20">
        <v>517.94376</v>
      </c>
      <c r="AR54" s="20">
        <v>243.86670000000004</v>
      </c>
      <c r="AS54" s="20">
        <v>240.37728000000001</v>
      </c>
      <c r="AT54" s="20">
        <v>484.24398000000008</v>
      </c>
      <c r="AU54" s="20">
        <v>1002.1877400000001</v>
      </c>
      <c r="AV54" s="20">
        <v>270.42444</v>
      </c>
      <c r="AW54" s="20">
        <v>263.05763280000002</v>
      </c>
      <c r="AX54" s="20">
        <v>533.48207279999997</v>
      </c>
      <c r="AY54" s="20">
        <v>251.18270100000007</v>
      </c>
      <c r="AZ54" s="20">
        <v>230.76218879999999</v>
      </c>
      <c r="BA54" s="20">
        <v>481.94488980000006</v>
      </c>
      <c r="BB54" s="20">
        <v>1015.4269626</v>
      </c>
      <c r="BE54" s="19"/>
      <c r="BF54" s="19"/>
      <c r="BG54" s="19"/>
      <c r="BH54" s="19"/>
      <c r="BI54" s="19"/>
    </row>
    <row r="55" spans="2:68" ht="11.25" customHeight="1" x14ac:dyDescent="0.2">
      <c r="B55" s="1" t="s">
        <v>88</v>
      </c>
      <c r="C55" s="19">
        <f>'BS,CF and P&amp;L'!CB191</f>
        <v>127.2</v>
      </c>
      <c r="D55" s="19">
        <f>'BS,CF and P&amp;L'!CI191</f>
        <v>173.5</v>
      </c>
      <c r="E55" s="19">
        <f>'BS,CF and P&amp;L'!CP191</f>
        <v>193.3</v>
      </c>
      <c r="F55" s="20">
        <f>'BS,CF and P&amp;L'!CW191</f>
        <v>255.5</v>
      </c>
      <c r="G55" s="20">
        <f>'BS,CF and P&amp;L'!DD191</f>
        <v>274.7</v>
      </c>
      <c r="H55" s="20">
        <f>'BS,CF and P&amp;L'!DK191</f>
        <v>307</v>
      </c>
      <c r="I55" s="20">
        <f>'BS,CF and P&amp;L'!DR191</f>
        <v>458</v>
      </c>
      <c r="J55" s="20">
        <f>'BS,CF and P&amp;L'!DY191</f>
        <v>387.7</v>
      </c>
      <c r="K55" s="20">
        <f>'BS,CF and P&amp;L'!EF191</f>
        <v>463.3</v>
      </c>
      <c r="L55" s="20">
        <f>'BS,CF and P&amp;L'!EM191</f>
        <v>446.4</v>
      </c>
      <c r="M55" s="20">
        <f>'BS,CF and P&amp;L'!ET191</f>
        <v>650.36719343427865</v>
      </c>
      <c r="N55" s="20">
        <f>'BS,CF and P&amp;L'!EU191</f>
        <v>780.54370406858436</v>
      </c>
      <c r="O55" s="20">
        <f>'BS,CF and P&amp;L'!EV191</f>
        <v>756.18448427356702</v>
      </c>
      <c r="P55" s="20">
        <f>'BS,CF and P&amp;L'!EW191</f>
        <v>756.18448427356702</v>
      </c>
      <c r="Q55" s="20">
        <f>'BS,CF and P&amp;L'!EX191</f>
        <v>752.36351651494124</v>
      </c>
      <c r="R55" s="20">
        <f>'BS,CF and P&amp;L'!EY191</f>
        <v>705.46311781297402</v>
      </c>
      <c r="S55" s="20">
        <f>'BS,CF and P&amp;L'!EZ191</f>
        <v>705.46311781297402</v>
      </c>
      <c r="T55" s="20">
        <f>'BS,CF and P&amp;L'!FA191</f>
        <v>705.46311781297402</v>
      </c>
      <c r="U55" s="20">
        <f>'BS,CF and P&amp;L'!FB191</f>
        <v>852.67835633445509</v>
      </c>
      <c r="V55" s="20">
        <f>'BS,CF and P&amp;L'!FC191</f>
        <v>836.65567309969606</v>
      </c>
      <c r="W55" s="20">
        <f>'BS,CF and P&amp;L'!FD191</f>
        <v>836.65567309969606</v>
      </c>
      <c r="X55" s="20">
        <f>'BS,CF and P&amp;L'!FE191</f>
        <v>832.22304743415327</v>
      </c>
      <c r="Y55" s="20">
        <f>'BS,CF and P&amp;L'!FF191</f>
        <v>774.93210042455371</v>
      </c>
      <c r="Z55" s="20">
        <f>'BS,CF and P&amp;L'!FG191</f>
        <v>774.93210042455371</v>
      </c>
      <c r="AA55" s="20">
        <f>'BS,CF and P&amp;L'!FH191</f>
        <v>774.93210042455371</v>
      </c>
      <c r="AB55" s="9"/>
      <c r="AC55" s="1" t="s">
        <v>89</v>
      </c>
      <c r="AD55" s="31">
        <v>0.13947086710506196</v>
      </c>
      <c r="AE55" s="31">
        <v>6.3615622064152388E-2</v>
      </c>
      <c r="AF55" s="31">
        <v>8.807570977918E-2</v>
      </c>
      <c r="AG55" s="61">
        <v>8.3497622637132007E-3</v>
      </c>
      <c r="AH55" s="61">
        <v>5.0603795284646313E-2</v>
      </c>
      <c r="AI55" s="62">
        <v>0.12906403940886713</v>
      </c>
      <c r="AJ55" s="62">
        <v>0.10364553034710111</v>
      </c>
      <c r="AK55" s="62">
        <v>-0.18597909162786619</v>
      </c>
      <c r="AL55" s="62">
        <v>7.9969781998704859E-2</v>
      </c>
      <c r="AM55" s="62">
        <v>-3.3976216648347046E-3</v>
      </c>
      <c r="AN55" s="62">
        <v>-1.7097162338313376E-2</v>
      </c>
      <c r="AO55" s="62">
        <v>2.0000000000000018E-2</v>
      </c>
      <c r="AP55" s="62">
        <v>1.9999999999999796E-2</v>
      </c>
      <c r="AQ55" s="62">
        <v>2.0000000000000018E-2</v>
      </c>
      <c r="AR55" s="62">
        <v>2.0000000000000018E-2</v>
      </c>
      <c r="AS55" s="62">
        <v>2.9999999999999805E-2</v>
      </c>
      <c r="AT55" s="62">
        <v>2.4939582314730702E-2</v>
      </c>
      <c r="AU55" s="62">
        <v>2.2380782841910696E-2</v>
      </c>
      <c r="AV55" s="62">
        <v>3.0000000000000027E-2</v>
      </c>
      <c r="AW55" s="62">
        <v>3.0000000000000027E-2</v>
      </c>
      <c r="AX55" s="62">
        <v>3.0000000000000027E-2</v>
      </c>
      <c r="AY55" s="62">
        <v>3.0000000000000027E-2</v>
      </c>
      <c r="AZ55" s="62">
        <v>-4.0000000000000147E-2</v>
      </c>
      <c r="BA55" s="62">
        <v>-4.7477930443244887E-3</v>
      </c>
      <c r="BB55" s="62">
        <v>1.3210321850474882E-2</v>
      </c>
      <c r="BE55" s="19"/>
      <c r="BF55" s="19"/>
      <c r="BG55" s="19"/>
      <c r="BH55" s="19"/>
      <c r="BI55" s="19"/>
    </row>
    <row r="56" spans="2:68" ht="11.25" customHeight="1" x14ac:dyDescent="0.2">
      <c r="B56" s="1" t="s">
        <v>90</v>
      </c>
      <c r="C56" s="9">
        <f>'BS,CF and P&amp;L'!CB192</f>
        <v>50.7</v>
      </c>
      <c r="D56" s="9">
        <f>'BS,CF and P&amp;L'!CI192</f>
        <v>52.4</v>
      </c>
      <c r="E56" s="9">
        <f>'BS,CF and P&amp;L'!CP192</f>
        <v>0</v>
      </c>
      <c r="F56" s="20">
        <f>'BS,CF and P&amp;L'!CW192</f>
        <v>0</v>
      </c>
      <c r="G56" s="20">
        <f>'BS,CF and P&amp;L'!DD192</f>
        <v>0</v>
      </c>
      <c r="H56" s="20">
        <f>'BS,CF and P&amp;L'!DK192</f>
        <v>0</v>
      </c>
      <c r="I56" s="20">
        <f>'BS,CF and P&amp;L'!DR192</f>
        <v>0</v>
      </c>
      <c r="J56" s="20">
        <f>'BS,CF and P&amp;L'!DY192</f>
        <v>0</v>
      </c>
      <c r="K56" s="20">
        <f>'BS,CF and P&amp;L'!EF192</f>
        <v>7.5</v>
      </c>
      <c r="L56" s="20">
        <f>'BS,CF and P&amp;L'!EM192</f>
        <v>9.4</v>
      </c>
      <c r="M56" s="20">
        <f>'BS,CF and P&amp;L'!ET192</f>
        <v>43.8</v>
      </c>
      <c r="N56" s="20">
        <f>'BS,CF and P&amp;L'!EU192</f>
        <v>43.8</v>
      </c>
      <c r="O56" s="20">
        <f>'BS,CF and P&amp;L'!EV192</f>
        <v>43.8</v>
      </c>
      <c r="P56" s="20">
        <f>'BS,CF and P&amp;L'!EW192</f>
        <v>43.8</v>
      </c>
      <c r="Q56" s="20">
        <f>'BS,CF and P&amp;L'!EX192</f>
        <v>43.8</v>
      </c>
      <c r="R56" s="20">
        <f>'BS,CF and P&amp;L'!EY192</f>
        <v>43.8</v>
      </c>
      <c r="S56" s="20">
        <f>'BS,CF and P&amp;L'!EZ192</f>
        <v>43.8</v>
      </c>
      <c r="T56" s="20">
        <f>'BS,CF and P&amp;L'!FA192</f>
        <v>43.8</v>
      </c>
      <c r="U56" s="20">
        <f>'BS,CF and P&amp;L'!FB192</f>
        <v>43.8</v>
      </c>
      <c r="V56" s="20">
        <f>'BS,CF and P&amp;L'!FC192</f>
        <v>43.8</v>
      </c>
      <c r="W56" s="20">
        <f>'BS,CF and P&amp;L'!FD192</f>
        <v>43.8</v>
      </c>
      <c r="X56" s="20">
        <f>'BS,CF and P&amp;L'!FE192</f>
        <v>43.8</v>
      </c>
      <c r="Y56" s="20">
        <f>'BS,CF and P&amp;L'!FF192</f>
        <v>43.8</v>
      </c>
      <c r="Z56" s="20">
        <f>'BS,CF and P&amp;L'!FG192</f>
        <v>43.8</v>
      </c>
      <c r="AA56" s="20">
        <f>'BS,CF and P&amp;L'!FH192</f>
        <v>43.8</v>
      </c>
      <c r="AB56" s="9"/>
      <c r="AC56" s="1" t="s">
        <v>666</v>
      </c>
      <c r="AD56" s="31">
        <v>0.11909426262835354</v>
      </c>
      <c r="AE56" s="31">
        <v>0.14132552962392908</v>
      </c>
      <c r="AF56" s="31">
        <v>0.15150340037621191</v>
      </c>
      <c r="AG56" s="61">
        <v>-9.4445365944378246E-2</v>
      </c>
      <c r="AH56" s="61">
        <v>8.8021269864177132E-2</v>
      </c>
      <c r="AI56" s="62">
        <v>0.22601380478423017</v>
      </c>
      <c r="AJ56" s="62">
        <v>0.20777124025266103</v>
      </c>
      <c r="AK56" s="62">
        <v>0.21339929854541184</v>
      </c>
      <c r="AL56" s="62">
        <v>-6.2252622134391866E-2</v>
      </c>
      <c r="AM56" s="62">
        <v>0.13201965670408056</v>
      </c>
      <c r="AN56" s="62">
        <v>-4.1661214697047977E-2</v>
      </c>
      <c r="AO56" s="62">
        <v>-3.9999999999999925E-2</v>
      </c>
      <c r="AP56" s="62">
        <v>-2.0000000000000018E-2</v>
      </c>
      <c r="AQ56" s="62">
        <v>-2.9837409073669607E-2</v>
      </c>
      <c r="AR56" s="62">
        <v>-2.0000000000000129E-2</v>
      </c>
      <c r="AS56" s="62">
        <v>3.9999999999999813E-2</v>
      </c>
      <c r="AT56" s="62">
        <v>7.8084148912733742E-3</v>
      </c>
      <c r="AU56" s="62">
        <v>-1.3811226210530103E-2</v>
      </c>
      <c r="AV56" s="62">
        <v>4.0000000000000036E-2</v>
      </c>
      <c r="AW56" s="62">
        <v>4.0000000000000036E-2</v>
      </c>
      <c r="AX56" s="62">
        <v>4.0000000000000036E-2</v>
      </c>
      <c r="AY56" s="62">
        <v>4.0000000000000036E-2</v>
      </c>
      <c r="AZ56" s="62">
        <v>4.0000000000000258E-2</v>
      </c>
      <c r="BA56" s="62">
        <v>4.0000000000000036E-2</v>
      </c>
      <c r="BB56" s="62">
        <v>4.0000000000000036E-2</v>
      </c>
      <c r="BE56" s="19"/>
      <c r="BF56" s="19"/>
      <c r="BG56" s="19"/>
      <c r="BH56" s="19"/>
      <c r="BI56" s="19"/>
    </row>
    <row r="57" spans="2:68" ht="11.25" customHeight="1" x14ac:dyDescent="0.2">
      <c r="B57" s="1" t="s">
        <v>91</v>
      </c>
      <c r="C57" s="1">
        <f>'BS,CF and P&amp;L'!CB193</f>
        <v>75.2</v>
      </c>
      <c r="D57" s="1">
        <f>'BS,CF and P&amp;L'!CI193</f>
        <v>69.900000000000006</v>
      </c>
      <c r="E57" s="20">
        <f>'BS,CF and P&amp;L'!CP193</f>
        <v>69.099999999999994</v>
      </c>
      <c r="F57" s="20">
        <f>'BS,CF and P&amp;L'!CW193</f>
        <v>91.7</v>
      </c>
      <c r="G57" s="20">
        <f>'BS,CF and P&amp;L'!DD193</f>
        <v>87.1</v>
      </c>
      <c r="H57" s="20">
        <f>'BS,CF and P&amp;L'!DK193</f>
        <v>112.5</v>
      </c>
      <c r="I57" s="20">
        <f>'BS,CF and P&amp;L'!DR193</f>
        <v>123.3</v>
      </c>
      <c r="J57" s="20">
        <f>'BS,CF and P&amp;L'!DY193</f>
        <v>113.7</v>
      </c>
      <c r="K57" s="20">
        <f>'BS,CF and P&amp;L'!EF193</f>
        <v>150.60000000000002</v>
      </c>
      <c r="L57" s="20">
        <f>'BS,CF and P&amp;L'!EM193</f>
        <v>140.60000000000002</v>
      </c>
      <c r="M57" s="20">
        <f>'BS,CF and P&amp;L'!ET193</f>
        <v>161.89999999999998</v>
      </c>
      <c r="N57" s="20">
        <f>'BS,CF and P&amp;L'!EU193</f>
        <v>161.89999999999998</v>
      </c>
      <c r="O57" s="20">
        <f>'BS,CF and P&amp;L'!EV193</f>
        <v>161.89999999999998</v>
      </c>
      <c r="P57" s="20">
        <f>'BS,CF and P&amp;L'!EW193</f>
        <v>161.89999999999998</v>
      </c>
      <c r="Q57" s="20">
        <f>'BS,CF and P&amp;L'!EX193</f>
        <v>161.89999999999998</v>
      </c>
      <c r="R57" s="20">
        <f>'BS,CF and P&amp;L'!EY193</f>
        <v>161.89999999999998</v>
      </c>
      <c r="S57" s="20">
        <f>'BS,CF and P&amp;L'!EZ193</f>
        <v>161.89999999999998</v>
      </c>
      <c r="T57" s="20">
        <f>'BS,CF and P&amp;L'!FA193</f>
        <v>161.89999999999998</v>
      </c>
      <c r="U57" s="20">
        <f>'BS,CF and P&amp;L'!FB193</f>
        <v>161.89999999999998</v>
      </c>
      <c r="V57" s="20">
        <f>'BS,CF and P&amp;L'!FC193</f>
        <v>161.89999999999998</v>
      </c>
      <c r="W57" s="20">
        <f>'BS,CF and P&amp;L'!FD193</f>
        <v>161.89999999999998</v>
      </c>
      <c r="X57" s="20">
        <f>'BS,CF and P&amp;L'!FE193</f>
        <v>161.89999999999998</v>
      </c>
      <c r="Y57" s="20">
        <f>'BS,CF and P&amp;L'!FF193</f>
        <v>161.89999999999998</v>
      </c>
      <c r="Z57" s="20">
        <f>'BS,CF and P&amp;L'!FG193</f>
        <v>161.89999999999998</v>
      </c>
      <c r="AA57" s="20">
        <f>'BS,CF and P&amp;L'!FH193</f>
        <v>161.89999999999998</v>
      </c>
      <c r="AB57" s="9"/>
      <c r="BE57" s="19"/>
      <c r="BF57" s="19"/>
      <c r="BG57" s="19"/>
      <c r="BH57" s="19"/>
      <c r="BI57" s="19"/>
    </row>
    <row r="58" spans="2:68" ht="11.25" customHeight="1" x14ac:dyDescent="0.2">
      <c r="B58" s="1" t="s">
        <v>92</v>
      </c>
      <c r="C58" s="9">
        <f>'BS,CF and P&amp;L'!CB194</f>
        <v>4.8</v>
      </c>
      <c r="D58" s="9">
        <f>'BS,CF and P&amp;L'!CI194</f>
        <v>1.9</v>
      </c>
      <c r="E58" s="9">
        <f>'BS,CF and P&amp;L'!CP194</f>
        <v>3.2</v>
      </c>
      <c r="F58" s="20">
        <f>'BS,CF and P&amp;L'!CW194</f>
        <v>13.4</v>
      </c>
      <c r="G58" s="20">
        <f>'BS,CF and P&amp;L'!DD194</f>
        <v>8.9</v>
      </c>
      <c r="H58" s="20">
        <f>'BS,CF and P&amp;L'!DK194</f>
        <v>6.6</v>
      </c>
      <c r="I58" s="20">
        <f>'BS,CF and P&amp;L'!DR194</f>
        <v>9.5</v>
      </c>
      <c r="J58" s="20">
        <f>'BS,CF and P&amp;L'!DY194</f>
        <v>15.4</v>
      </c>
      <c r="K58" s="20">
        <f>'BS,CF and P&amp;L'!EF194</f>
        <v>13</v>
      </c>
      <c r="L58" s="20">
        <f>'BS,CF and P&amp;L'!EM194</f>
        <v>10.3</v>
      </c>
      <c r="M58" s="20">
        <f>'BS,CF and P&amp;L'!ET194</f>
        <v>14.4</v>
      </c>
      <c r="N58" s="20">
        <f>'BS,CF and P&amp;L'!EU194</f>
        <v>14.4</v>
      </c>
      <c r="O58" s="20">
        <f>'BS,CF and P&amp;L'!EV194</f>
        <v>14.4</v>
      </c>
      <c r="P58" s="20">
        <f>'BS,CF and P&amp;L'!EW194</f>
        <v>14.4</v>
      </c>
      <c r="Q58" s="20">
        <f>'BS,CF and P&amp;L'!EX194</f>
        <v>14.4</v>
      </c>
      <c r="R58" s="20">
        <f>'BS,CF and P&amp;L'!EY194</f>
        <v>14.4</v>
      </c>
      <c r="S58" s="20">
        <f>'BS,CF and P&amp;L'!EZ194</f>
        <v>14.4</v>
      </c>
      <c r="T58" s="20">
        <f>'BS,CF and P&amp;L'!FA194</f>
        <v>14.4</v>
      </c>
      <c r="U58" s="20">
        <f>'BS,CF and P&amp;L'!FB194</f>
        <v>14.4</v>
      </c>
      <c r="V58" s="20">
        <f>'BS,CF and P&amp;L'!FC194</f>
        <v>14.4</v>
      </c>
      <c r="W58" s="20">
        <f>'BS,CF and P&amp;L'!FD194</f>
        <v>14.4</v>
      </c>
      <c r="X58" s="20">
        <f>'BS,CF and P&amp;L'!FE194</f>
        <v>14.4</v>
      </c>
      <c r="Y58" s="20">
        <f>'BS,CF and P&amp;L'!FF194</f>
        <v>14.4</v>
      </c>
      <c r="Z58" s="20">
        <f>'BS,CF and P&amp;L'!FG194</f>
        <v>14.4</v>
      </c>
      <c r="AA58" s="20">
        <f>'BS,CF and P&amp;L'!FH194</f>
        <v>14.4</v>
      </c>
      <c r="AB58" s="9"/>
      <c r="AC58" s="1" t="s">
        <v>29</v>
      </c>
      <c r="AD58" s="34">
        <v>0.73672773892773891</v>
      </c>
      <c r="AE58" s="34">
        <v>0.75229999999999997</v>
      </c>
      <c r="AF58" s="34">
        <v>0.77346666666666664</v>
      </c>
      <c r="AG58" s="34">
        <v>0.73177916666666665</v>
      </c>
      <c r="AH58" s="34">
        <v>0.68599583333333336</v>
      </c>
      <c r="AI58" s="34">
        <v>0.71213749999999998</v>
      </c>
      <c r="AJ58" s="34">
        <v>0.73963032360868286</v>
      </c>
      <c r="AK58" s="34">
        <v>0.68464217365967373</v>
      </c>
      <c r="AL58" s="34">
        <v>0.65794038461538462</v>
      </c>
      <c r="AM58" s="34">
        <v>0.65129728465958081</v>
      </c>
      <c r="AN58" s="34">
        <v>0.65</v>
      </c>
      <c r="AO58" s="34">
        <v>0.66</v>
      </c>
      <c r="AP58" s="34">
        <v>0.66</v>
      </c>
      <c r="AQ58" s="34">
        <v>0.66</v>
      </c>
      <c r="AR58" s="34">
        <v>0.66</v>
      </c>
      <c r="AS58" s="34">
        <v>0.66</v>
      </c>
      <c r="AT58" s="34">
        <v>0.66</v>
      </c>
      <c r="AU58" s="34">
        <v>0.66</v>
      </c>
      <c r="AV58" s="34">
        <v>0.67</v>
      </c>
      <c r="AW58" s="34">
        <v>0.67</v>
      </c>
      <c r="AX58" s="34">
        <v>0.67</v>
      </c>
      <c r="AY58" s="34">
        <v>0.67</v>
      </c>
      <c r="AZ58" s="34">
        <v>0.67</v>
      </c>
      <c r="BA58" s="34">
        <v>0.67</v>
      </c>
      <c r="BB58" s="34">
        <v>0.67</v>
      </c>
      <c r="BE58" s="19"/>
      <c r="BF58" s="19"/>
      <c r="BG58" s="19"/>
      <c r="BH58" s="19"/>
      <c r="BI58" s="19"/>
    </row>
    <row r="59" spans="2:68" ht="11.25" customHeight="1" x14ac:dyDescent="0.2">
      <c r="B59" s="1" t="s">
        <v>93</v>
      </c>
      <c r="C59" s="9">
        <f>'BS,CF and P&amp;L'!CB195</f>
        <v>125.9</v>
      </c>
      <c r="D59" s="9">
        <f>'BS,CF and P&amp;L'!CI195</f>
        <v>116.4</v>
      </c>
      <c r="E59" s="9">
        <f>'BS,CF and P&amp;L'!CP195</f>
        <v>114.1</v>
      </c>
      <c r="F59" s="20">
        <f>'BS,CF and P&amp;L'!CW195</f>
        <v>110.5</v>
      </c>
      <c r="G59" s="20">
        <f>'BS,CF and P&amp;L'!DD195</f>
        <v>103.9</v>
      </c>
      <c r="H59" s="20">
        <f>'BS,CF and P&amp;L'!DK195</f>
        <v>122.2</v>
      </c>
      <c r="I59" s="20">
        <f>'BS,CF and P&amp;L'!DR195</f>
        <v>132.9</v>
      </c>
      <c r="J59" s="20">
        <f>'BS,CF and P&amp;L'!DY195</f>
        <v>119.4</v>
      </c>
      <c r="K59" s="20">
        <f>'BS,CF and P&amp;L'!EF195</f>
        <v>116.7</v>
      </c>
      <c r="L59" s="20">
        <f>'BS,CF and P&amp;L'!EM195</f>
        <v>119.4</v>
      </c>
      <c r="M59" s="20">
        <f>'BS,CF and P&amp;L'!ET195</f>
        <v>127.3</v>
      </c>
      <c r="N59" s="20">
        <f>'BS,CF and P&amp;L'!EU195</f>
        <v>127.3</v>
      </c>
      <c r="O59" s="20">
        <f>'BS,CF and P&amp;L'!EV195</f>
        <v>127.3</v>
      </c>
      <c r="P59" s="20">
        <f>'BS,CF and P&amp;L'!EW195</f>
        <v>127.3</v>
      </c>
      <c r="Q59" s="20">
        <f>'BS,CF and P&amp;L'!EX195</f>
        <v>127.3</v>
      </c>
      <c r="R59" s="20">
        <f>'BS,CF and P&amp;L'!EY195</f>
        <v>127.3</v>
      </c>
      <c r="S59" s="20">
        <f>'BS,CF and P&amp;L'!EZ195</f>
        <v>127.3</v>
      </c>
      <c r="T59" s="20">
        <f>'BS,CF and P&amp;L'!FA195</f>
        <v>127.3</v>
      </c>
      <c r="U59" s="20">
        <f>'BS,CF and P&amp;L'!FB195</f>
        <v>127.3</v>
      </c>
      <c r="V59" s="20">
        <f>'BS,CF and P&amp;L'!FC195</f>
        <v>127.3</v>
      </c>
      <c r="W59" s="20">
        <f>'BS,CF and P&amp;L'!FD195</f>
        <v>127.3</v>
      </c>
      <c r="X59" s="20">
        <f>'BS,CF and P&amp;L'!FE195</f>
        <v>127.3</v>
      </c>
      <c r="Y59" s="20">
        <f>'BS,CF and P&amp;L'!FF195</f>
        <v>127.3</v>
      </c>
      <c r="Z59" s="20">
        <f>'BS,CF and P&amp;L'!FG195</f>
        <v>127.3</v>
      </c>
      <c r="AA59" s="20">
        <f>'BS,CF and P&amp;L'!FH195</f>
        <v>127.3</v>
      </c>
      <c r="AB59" s="9"/>
      <c r="BE59" s="19"/>
      <c r="BF59" s="19"/>
      <c r="BG59" s="19"/>
      <c r="BH59" s="19"/>
      <c r="BI59" s="19"/>
    </row>
    <row r="60" spans="2:68" ht="11.25" customHeight="1" x14ac:dyDescent="0.2">
      <c r="B60" s="45" t="s">
        <v>49</v>
      </c>
      <c r="C60" s="52">
        <f t="shared" ref="C60:I60" si="43">C61-SUM(C55:C59)</f>
        <v>16</v>
      </c>
      <c r="D60" s="52">
        <f t="shared" si="43"/>
        <v>14.699999999999989</v>
      </c>
      <c r="E60" s="52">
        <f t="shared" si="43"/>
        <v>14.900000000000034</v>
      </c>
      <c r="F60" s="53">
        <f t="shared" si="43"/>
        <v>11.899999999999977</v>
      </c>
      <c r="G60" s="53">
        <f>G61-SUM(G55:G59)</f>
        <v>35.399999999999977</v>
      </c>
      <c r="H60" s="53">
        <f t="shared" si="43"/>
        <v>352.80000000000007</v>
      </c>
      <c r="I60" s="53">
        <f t="shared" si="43"/>
        <v>46.200000000000045</v>
      </c>
      <c r="J60" s="53">
        <f>J61-SUM(J55:J59)</f>
        <v>61.099999999999909</v>
      </c>
      <c r="K60" s="53">
        <f>K61-SUM(K55:K59)</f>
        <v>46.600000000000023</v>
      </c>
      <c r="L60" s="53">
        <f>L61-SUM(L55:L59)</f>
        <v>84.099999999999909</v>
      </c>
      <c r="M60" s="53">
        <f>M61-SUM(M55:M59)</f>
        <v>99.199999999999932</v>
      </c>
      <c r="N60" s="53">
        <f t="shared" ref="N60:T60" si="44">N61-SUM(N55:N59)</f>
        <v>99.200000000000045</v>
      </c>
      <c r="O60" s="53">
        <f t="shared" si="44"/>
        <v>99.200000000000045</v>
      </c>
      <c r="P60" s="53">
        <f t="shared" si="44"/>
        <v>99.200000000000045</v>
      </c>
      <c r="Q60" s="53">
        <f t="shared" si="44"/>
        <v>99.200000000000045</v>
      </c>
      <c r="R60" s="53">
        <f t="shared" si="44"/>
        <v>99.200000000000045</v>
      </c>
      <c r="S60" s="53">
        <f t="shared" si="44"/>
        <v>99.200000000000045</v>
      </c>
      <c r="T60" s="53">
        <f t="shared" si="44"/>
        <v>99.200000000000045</v>
      </c>
      <c r="U60" s="53">
        <f t="shared" ref="U60:Z60" si="45">U61-SUM(U55:U59)</f>
        <v>99.200000000000045</v>
      </c>
      <c r="V60" s="53">
        <f t="shared" si="45"/>
        <v>99.200000000000045</v>
      </c>
      <c r="W60" s="53">
        <f t="shared" si="45"/>
        <v>99.200000000000045</v>
      </c>
      <c r="X60" s="53">
        <f t="shared" si="45"/>
        <v>99.200000000000045</v>
      </c>
      <c r="Y60" s="53">
        <f t="shared" si="45"/>
        <v>99.200000000000045</v>
      </c>
      <c r="Z60" s="53">
        <f t="shared" si="45"/>
        <v>99.200000000000045</v>
      </c>
      <c r="AA60" s="53">
        <f>AA61-SUM(AA55:AA59)</f>
        <v>99.200000000000045</v>
      </c>
      <c r="AB60" s="9"/>
      <c r="AC60" s="10" t="s">
        <v>681</v>
      </c>
      <c r="AD60" s="11"/>
      <c r="AE60" s="11"/>
      <c r="AF60" s="11"/>
      <c r="AG60" s="11"/>
      <c r="AH60" s="11"/>
      <c r="AI60" s="11"/>
      <c r="AJ60" s="11"/>
      <c r="AK60" s="11"/>
      <c r="AL60" s="11" t="str">
        <f>AL46</f>
        <v>FY24A</v>
      </c>
      <c r="AM60" s="11" t="str">
        <f t="shared" ref="AM60:BB60" si="46">AM46</f>
        <v>FY25A</v>
      </c>
      <c r="AN60" s="11" t="str">
        <f t="shared" si="46"/>
        <v>FY26E</v>
      </c>
      <c r="AO60" s="11" t="str">
        <f t="shared" si="46"/>
        <v>1Q27E</v>
      </c>
      <c r="AP60" s="11" t="str">
        <f t="shared" si="46"/>
        <v>2Q27E</v>
      </c>
      <c r="AQ60" s="11" t="str">
        <f t="shared" si="46"/>
        <v>1H27E</v>
      </c>
      <c r="AR60" s="11" t="str">
        <f t="shared" si="46"/>
        <v>3Q27E</v>
      </c>
      <c r="AS60" s="11" t="str">
        <f t="shared" si="46"/>
        <v>4Q27E</v>
      </c>
      <c r="AT60" s="11" t="str">
        <f t="shared" si="46"/>
        <v>2H27E</v>
      </c>
      <c r="AU60" s="11" t="str">
        <f t="shared" si="46"/>
        <v>FY27E</v>
      </c>
      <c r="AV60" s="11" t="str">
        <f t="shared" si="46"/>
        <v>1Q28E</v>
      </c>
      <c r="AW60" s="11" t="str">
        <f t="shared" si="46"/>
        <v>2Q28E</v>
      </c>
      <c r="AX60" s="11" t="str">
        <f t="shared" si="46"/>
        <v>1H28E</v>
      </c>
      <c r="AY60" s="11" t="str">
        <f t="shared" si="46"/>
        <v>3Q28E</v>
      </c>
      <c r="AZ60" s="11" t="str">
        <f t="shared" si="46"/>
        <v>4Q28E</v>
      </c>
      <c r="BA60" s="11" t="str">
        <f t="shared" si="46"/>
        <v>2H28E</v>
      </c>
      <c r="BB60" s="11" t="str">
        <f t="shared" si="46"/>
        <v>FY28E</v>
      </c>
      <c r="BE60" s="707" t="s">
        <v>687</v>
      </c>
      <c r="BF60" s="28"/>
      <c r="BG60" s="28"/>
      <c r="BH60" s="28"/>
      <c r="BI60" s="28"/>
    </row>
    <row r="61" spans="2:68" ht="11.25" customHeight="1" x14ac:dyDescent="0.2">
      <c r="B61" s="26" t="s">
        <v>670</v>
      </c>
      <c r="C61" s="28">
        <f>'BS,CF and P&amp;L'!CB199</f>
        <v>399.80000000000007</v>
      </c>
      <c r="D61" s="28">
        <f>'BS,CF and P&amp;L'!CI199</f>
        <v>428.8</v>
      </c>
      <c r="E61" s="28">
        <f>'BS,CF and P&amp;L'!CP199</f>
        <v>394.59999999999997</v>
      </c>
      <c r="F61" s="29">
        <f>'BS,CF and P&amp;L'!CW199</f>
        <v>482.99999999999994</v>
      </c>
      <c r="G61" s="29">
        <f>'BS,CF and P&amp;L'!DD199</f>
        <v>509.99999999999989</v>
      </c>
      <c r="H61" s="29">
        <f>'BS,CF and P&amp;L'!DK199</f>
        <v>901.10000000000014</v>
      </c>
      <c r="I61" s="29">
        <f>'BS,CF and P&amp;L'!DR199</f>
        <v>769.9</v>
      </c>
      <c r="J61" s="29">
        <f>'BS,CF and P&amp;L'!DY199</f>
        <v>697.29999999999984</v>
      </c>
      <c r="K61" s="29">
        <f>'BS,CF and P&amp;L'!EF199</f>
        <v>797.70000000000016</v>
      </c>
      <c r="L61" s="29">
        <f>'BS,CF and P&amp;L'!EM199</f>
        <v>810.19999999999982</v>
      </c>
      <c r="M61" s="29">
        <f>'BS,CF and P&amp;L'!ET199</f>
        <v>1096.9671934342784</v>
      </c>
      <c r="N61" s="29">
        <f>'BS,CF and P&amp;L'!EU199</f>
        <v>1227.1437040685844</v>
      </c>
      <c r="O61" s="29">
        <f>'BS,CF and P&amp;L'!EV199</f>
        <v>1202.7844842735669</v>
      </c>
      <c r="P61" s="29">
        <f>'BS,CF and P&amp;L'!EW199</f>
        <v>1202.7844842735669</v>
      </c>
      <c r="Q61" s="29">
        <f>'BS,CF and P&amp;L'!EX199</f>
        <v>1198.9635165149411</v>
      </c>
      <c r="R61" s="29">
        <f>'BS,CF and P&amp;L'!EY199</f>
        <v>1152.063117812974</v>
      </c>
      <c r="S61" s="29">
        <f>'BS,CF and P&amp;L'!EZ199</f>
        <v>1152.063117812974</v>
      </c>
      <c r="T61" s="29">
        <f>'BS,CF and P&amp;L'!FA199</f>
        <v>1152.063117812974</v>
      </c>
      <c r="U61" s="29">
        <f>'BS,CF and P&amp;L'!FB199</f>
        <v>1299.2783563344551</v>
      </c>
      <c r="V61" s="29">
        <f>'BS,CF and P&amp;L'!FC199</f>
        <v>1283.2556730996962</v>
      </c>
      <c r="W61" s="29">
        <f>'BS,CF and P&amp;L'!FD199</f>
        <v>1283.2556730996962</v>
      </c>
      <c r="X61" s="29">
        <f>'BS,CF and P&amp;L'!FE199</f>
        <v>1278.8230474341533</v>
      </c>
      <c r="Y61" s="29">
        <f>'BS,CF and P&amp;L'!FF199</f>
        <v>1221.5321004245536</v>
      </c>
      <c r="Z61" s="29">
        <f>'BS,CF and P&amp;L'!FG199</f>
        <v>1221.5321004245536</v>
      </c>
      <c r="AA61" s="29">
        <f>'BS,CF and P&amp;L'!FH199</f>
        <v>1221.5321004245536</v>
      </c>
      <c r="AC61" s="1" t="str">
        <f>'BS,CF and P&amp;L'!B10</f>
        <v>Siding &amp; Triming</v>
      </c>
      <c r="AL61" s="20"/>
      <c r="AM61" s="20"/>
      <c r="AN61" s="20">
        <f>'BS,CF and P&amp;L'!ET10</f>
        <v>2997.880775226693</v>
      </c>
      <c r="AO61" s="20">
        <f>'BS,CF and P&amp;L'!EO10</f>
        <v>766</v>
      </c>
      <c r="AP61" s="20">
        <f>'BS,CF and P&amp;L'!EP10</f>
        <v>1407.8</v>
      </c>
      <c r="AQ61" s="20">
        <f>'BS,CF and P&amp;L'!EQ10</f>
        <v>788.3</v>
      </c>
      <c r="AR61" s="20">
        <f>'BS,CF and P&amp;L'!ER10</f>
        <v>801.78077522669298</v>
      </c>
      <c r="AS61" s="20">
        <f>'BS,CF and P&amp;L'!ES10</f>
        <v>1660.8005152266928</v>
      </c>
      <c r="AT61" s="20">
        <f>'BS,CF and P&amp;L'!ET10</f>
        <v>2997.880775226693</v>
      </c>
      <c r="AU61" s="20">
        <f>'BS,CF and P&amp;L'!FA10</f>
        <v>3471.0539855340812</v>
      </c>
      <c r="AV61" s="20">
        <f>'BS,CF and P&amp;L'!EV10</f>
        <v>898.25016535251655</v>
      </c>
      <c r="AW61" s="20">
        <f>'BS,CF and P&amp;L'!EW10</f>
        <v>1680.9348692494107</v>
      </c>
      <c r="AX61" s="20">
        <f>'BS,CF and P&amp;L'!EX10</f>
        <v>913.80692425285724</v>
      </c>
      <c r="AY61" s="20">
        <f>'BS,CF and P&amp;L'!EY10</f>
        <v>876.31219203181297</v>
      </c>
      <c r="AZ61" s="20">
        <f>'BS,CF and P&amp;L'!EZ10</f>
        <v>1790.1191162846703</v>
      </c>
      <c r="BA61" s="20">
        <f>'BS,CF and P&amp;L'!FA10</f>
        <v>3471.0539855340812</v>
      </c>
      <c r="BB61" s="20">
        <f>'BS,CF and P&amp;L'!FH10</f>
        <v>3816.1764334453956</v>
      </c>
      <c r="BC61" s="20"/>
      <c r="BD61" s="20"/>
      <c r="BE61" s="536">
        <f>(BB61/AN61)^(1/2)-1</f>
        <v>0.12825442131602705</v>
      </c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</row>
    <row r="62" spans="2:68" ht="11.25" customHeight="1" x14ac:dyDescent="0.2">
      <c r="B62" s="1" t="s">
        <v>94</v>
      </c>
      <c r="C62" s="19">
        <f>'BS,CF and P&amp;L'!CB201</f>
        <v>512.79999999999995</v>
      </c>
      <c r="D62" s="19">
        <f>'BS,CF and P&amp;L'!CI201</f>
        <v>564.5</v>
      </c>
      <c r="E62" s="19">
        <f>'BS,CF and P&amp;L'!CP201</f>
        <v>884.4</v>
      </c>
      <c r="F62" s="20">
        <f>'BS,CF and P&amp;L'!CW201</f>
        <v>1380.3</v>
      </c>
      <c r="G62" s="20">
        <f>'BS,CF and P&amp;L'!DD201</f>
        <v>1354.6</v>
      </c>
      <c r="H62" s="20">
        <f>'BS,CF and P&amp;L'!DK201</f>
        <v>858.6</v>
      </c>
      <c r="I62" s="20">
        <f>'BS,CF and P&amp;L'!DR201</f>
        <v>877.3</v>
      </c>
      <c r="J62" s="20">
        <f>'BS,CF and P&amp;L'!DY201</f>
        <v>1059</v>
      </c>
      <c r="K62" s="20">
        <f>'BS,CF and P&amp;L'!EF201</f>
        <v>1115.0999999999999</v>
      </c>
      <c r="L62" s="20">
        <f>'BS,CF and P&amp;L'!EM201</f>
        <v>1110.0999999999999</v>
      </c>
      <c r="M62" s="20">
        <f>'BS,CF and P&amp;L'!ET201</f>
        <v>4464.6442456470968</v>
      </c>
      <c r="N62" s="20">
        <f>'BS,CF and P&amp;L'!EU201</f>
        <v>4217.6404353048329</v>
      </c>
      <c r="O62" s="20">
        <f>'BS,CF and P&amp;L'!EV201</f>
        <v>4132.8653234241519</v>
      </c>
      <c r="P62" s="20">
        <f>'BS,CF and P&amp;L'!EW201</f>
        <v>4132.8653234241519</v>
      </c>
      <c r="Q62" s="20">
        <f>'BS,CF and P&amp;L'!EX201</f>
        <v>3964.1032581994436</v>
      </c>
      <c r="R62" s="20">
        <f>'BS,CF and P&amp;L'!EY201</f>
        <v>3897.4707719910557</v>
      </c>
      <c r="S62" s="20">
        <f>'BS,CF and P&amp;L'!EZ201</f>
        <v>3897.4707719910557</v>
      </c>
      <c r="T62" s="20">
        <f>'BS,CF and P&amp;L'!FA201</f>
        <v>3897.4707719910557</v>
      </c>
      <c r="U62" s="20">
        <f>'BS,CF and P&amp;L'!FB201</f>
        <v>3601.0748080240564</v>
      </c>
      <c r="V62" s="20">
        <f>'BS,CF and P&amp;L'!FC201</f>
        <v>3477.9599895838951</v>
      </c>
      <c r="W62" s="20">
        <f>'BS,CF and P&amp;L'!FD201</f>
        <v>3477.9599895838951</v>
      </c>
      <c r="X62" s="20">
        <f>'BS,CF and P&amp;L'!FE201</f>
        <v>3249.9486947313903</v>
      </c>
      <c r="Y62" s="20">
        <f>'BS,CF and P&amp;L'!FF201</f>
        <v>3142.5968014750019</v>
      </c>
      <c r="Z62" s="20">
        <f>'BS,CF and P&amp;L'!FG201</f>
        <v>3142.5968014750019</v>
      </c>
      <c r="AA62" s="20">
        <f>'BS,CF and P&amp;L'!FH201</f>
        <v>3142.5968014750019</v>
      </c>
      <c r="AB62" s="3"/>
      <c r="AC62" s="1" t="str">
        <f>'BS,CF and P&amp;L'!B14</f>
        <v>Decking, Railing &amp; Accessories</v>
      </c>
      <c r="AL62" s="20"/>
      <c r="AM62" s="20"/>
      <c r="AN62" s="20">
        <f>'BS,CF and P&amp;L'!ET14</f>
        <v>795.34999999999991</v>
      </c>
      <c r="AO62" s="20">
        <f>'BS,CF and P&amp;L'!EO14</f>
        <v>255.8</v>
      </c>
      <c r="AP62" s="20">
        <f>'BS,CF and P&amp;L'!EP14</f>
        <v>255.8</v>
      </c>
      <c r="AQ62" s="20">
        <f>'BS,CF and P&amp;L'!EQ14</f>
        <v>194.1</v>
      </c>
      <c r="AR62" s="20">
        <f>'BS,CF and P&amp;L'!ER14</f>
        <v>345.45</v>
      </c>
      <c r="AS62" s="20">
        <f>'BS,CF and P&amp;L'!ES14</f>
        <v>539.54999999999995</v>
      </c>
      <c r="AT62" s="20">
        <f>'BS,CF and P&amp;L'!ET14</f>
        <v>795.34999999999991</v>
      </c>
      <c r="AU62" s="20">
        <f>'BS,CF and P&amp;L'!FA14</f>
        <v>1203.2786111111113</v>
      </c>
      <c r="AV62" s="20">
        <f>'BS,CF and P&amp;L'!EV14</f>
        <v>274.14555555555557</v>
      </c>
      <c r="AW62" s="20">
        <f>'BS,CF and P&amp;L'!EW14</f>
        <v>616.75111111111119</v>
      </c>
      <c r="AX62" s="20">
        <f>'BS,CF and P&amp;L'!EX14</f>
        <v>212.69388888888889</v>
      </c>
      <c r="AY62" s="20">
        <f>'BS,CF and P&amp;L'!EY14</f>
        <v>373.83361111111111</v>
      </c>
      <c r="AZ62" s="20">
        <f>'BS,CF and P&amp;L'!EZ14</f>
        <v>586.52750000000003</v>
      </c>
      <c r="BA62" s="20">
        <f>'BS,CF and P&amp;L'!FA14</f>
        <v>1203.2786111111113</v>
      </c>
      <c r="BB62" s="20">
        <f>'BS,CF and P&amp;L'!FH14</f>
        <v>1297.4425416666668</v>
      </c>
      <c r="BC62" s="20"/>
      <c r="BD62" s="20"/>
      <c r="BE62" s="536">
        <f>(BB62/AN62)^(1/2)-1</f>
        <v>0.27721768750258957</v>
      </c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</row>
    <row r="63" spans="2:68" ht="11.25" customHeight="1" x14ac:dyDescent="0.2">
      <c r="B63" s="1" t="s">
        <v>95</v>
      </c>
      <c r="C63" s="19">
        <f>'BS,CF and P&amp;L'!CB202</f>
        <v>33.1</v>
      </c>
      <c r="D63" s="19">
        <f>'BS,CF and P&amp;L'!CI202</f>
        <v>37.200000000000003</v>
      </c>
      <c r="E63" s="19">
        <f>'BS,CF and P&amp;L'!CP202</f>
        <v>45.5</v>
      </c>
      <c r="F63" s="20">
        <f>'BS,CF and P&amp;L'!CW202</f>
        <v>39.799999999999997</v>
      </c>
      <c r="G63" s="20">
        <f>'BS,CF and P&amp;L'!DD202</f>
        <v>35.4</v>
      </c>
      <c r="H63" s="20">
        <f>'BS,CF and P&amp;L'!DK202</f>
        <v>33.6</v>
      </c>
      <c r="I63" s="20">
        <f>'BS,CF and P&amp;L'!DR202</f>
        <v>31</v>
      </c>
      <c r="J63" s="20">
        <f>'BS,CF and P&amp;L'!DY202</f>
        <v>30.2</v>
      </c>
      <c r="K63" s="20">
        <f>'BS,CF and P&amp;L'!EF202</f>
        <v>28.9</v>
      </c>
      <c r="L63" s="20">
        <f>'BS,CF and P&amp;L'!EM202</f>
        <v>26.9</v>
      </c>
      <c r="M63" s="20">
        <f>'BS,CF and P&amp;L'!ET202</f>
        <v>42.5</v>
      </c>
      <c r="N63" s="20">
        <f>'BS,CF and P&amp;L'!EU202</f>
        <v>42.5</v>
      </c>
      <c r="O63" s="20">
        <f>'BS,CF and P&amp;L'!EV202</f>
        <v>42.5</v>
      </c>
      <c r="P63" s="20">
        <f>'BS,CF and P&amp;L'!EW202</f>
        <v>42.5</v>
      </c>
      <c r="Q63" s="20">
        <f>'BS,CF and P&amp;L'!EX202</f>
        <v>42.5</v>
      </c>
      <c r="R63" s="20">
        <f>'BS,CF and P&amp;L'!EY202</f>
        <v>42.5</v>
      </c>
      <c r="S63" s="20">
        <f>'BS,CF and P&amp;L'!EZ202</f>
        <v>42.5</v>
      </c>
      <c r="T63" s="20">
        <f>'BS,CF and P&amp;L'!FA202</f>
        <v>42.5</v>
      </c>
      <c r="U63" s="20">
        <f>'BS,CF and P&amp;L'!FB202</f>
        <v>42.5</v>
      </c>
      <c r="V63" s="20">
        <f>'BS,CF and P&amp;L'!FC202</f>
        <v>42.5</v>
      </c>
      <c r="W63" s="20">
        <f>'BS,CF and P&amp;L'!FD202</f>
        <v>42.5</v>
      </c>
      <c r="X63" s="20">
        <f>'BS,CF and P&amp;L'!FE202</f>
        <v>42.5</v>
      </c>
      <c r="Y63" s="20">
        <f>'BS,CF and P&amp;L'!FF202</f>
        <v>42.5</v>
      </c>
      <c r="Z63" s="20">
        <f>'BS,CF and P&amp;L'!FG202</f>
        <v>42.5</v>
      </c>
      <c r="AA63" s="20">
        <f>'BS,CF and P&amp;L'!FH202</f>
        <v>42.5</v>
      </c>
      <c r="AB63" s="20"/>
      <c r="AC63" s="1" t="str">
        <f>'BS,CF and P&amp;L'!B12</f>
        <v>Europe</v>
      </c>
      <c r="AL63" s="20"/>
      <c r="AM63" s="20"/>
      <c r="AN63" s="20">
        <f>'BS,CF and P&amp;L'!ET12</f>
        <v>544.27178000000004</v>
      </c>
      <c r="AO63" s="20">
        <f>'BS,CF and P&amp;L'!EO12</f>
        <v>137.5</v>
      </c>
      <c r="AP63" s="20">
        <f>'BS,CF and P&amp;L'!EP12</f>
        <v>274</v>
      </c>
      <c r="AQ63" s="20">
        <f>'BS,CF and P&amp;L'!EQ12</f>
        <v>130.9</v>
      </c>
      <c r="AR63" s="20">
        <f>'BS,CF and P&amp;L'!ER12</f>
        <v>139.37178</v>
      </c>
      <c r="AS63" s="20">
        <f>'BS,CF and P&amp;L'!ES12</f>
        <v>270.27178000000004</v>
      </c>
      <c r="AT63" s="20">
        <f>'BS,CF and P&amp;L'!ET12</f>
        <v>544.27178000000004</v>
      </c>
      <c r="AU63" s="20">
        <f>'BS,CF and P&amp;L'!FA12</f>
        <v>544.27178000000004</v>
      </c>
      <c r="AV63" s="20">
        <f>'BS,CF and P&amp;L'!EV12</f>
        <v>137.5</v>
      </c>
      <c r="AW63" s="20">
        <f>'BS,CF and P&amp;L'!EW12</f>
        <v>274</v>
      </c>
      <c r="AX63" s="20">
        <f>'BS,CF and P&amp;L'!EX12</f>
        <v>130.9</v>
      </c>
      <c r="AY63" s="20">
        <f>'BS,CF and P&amp;L'!EY12</f>
        <v>139.37178</v>
      </c>
      <c r="AZ63" s="20">
        <f>'BS,CF and P&amp;L'!EZ12</f>
        <v>270.27178000000004</v>
      </c>
      <c r="BA63" s="20">
        <f>'BS,CF and P&amp;L'!FA12</f>
        <v>544.27178000000004</v>
      </c>
      <c r="BB63" s="20">
        <f>'BS,CF and P&amp;L'!FH12</f>
        <v>615.73072746951493</v>
      </c>
      <c r="BC63" s="20"/>
      <c r="BD63" s="20"/>
      <c r="BE63" s="536">
        <f>(BB63/AN63)^(1/2)-1</f>
        <v>6.3622473452062955E-2</v>
      </c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</row>
    <row r="64" spans="2:68" ht="11.25" customHeight="1" x14ac:dyDescent="0.2">
      <c r="B64" s="1" t="s">
        <v>96</v>
      </c>
      <c r="C64" s="19">
        <f>'BS,CF and P&amp;L'!CB203</f>
        <v>82.1</v>
      </c>
      <c r="D64" s="19">
        <f>'BS,CF and P&amp;L'!CI203</f>
        <v>94.8</v>
      </c>
      <c r="E64" s="19">
        <f>'BS,CF and P&amp;L'!CP203</f>
        <v>66.400000000000006</v>
      </c>
      <c r="F64" s="20">
        <f>'BS,CF and P&amp;L'!CW203</f>
        <v>80.400000000000006</v>
      </c>
      <c r="G64" s="20">
        <f>'BS,CF and P&amp;L'!DD203</f>
        <v>103.2</v>
      </c>
      <c r="H64" s="20">
        <f>'BS,CF and P&amp;L'!DK203</f>
        <v>86.3</v>
      </c>
      <c r="I64" s="20">
        <f>'BS,CF and P&amp;L'!DR203</f>
        <v>89.2</v>
      </c>
      <c r="J64" s="20">
        <f>'BS,CF and P&amp;L'!DY203</f>
        <v>95.899999999999991</v>
      </c>
      <c r="K64" s="20">
        <f>'BS,CF and P&amp;L'!EF203</f>
        <v>107.5</v>
      </c>
      <c r="L64" s="20">
        <f>'BS,CF and P&amp;L'!EM203</f>
        <v>121.1</v>
      </c>
      <c r="M64" s="20">
        <f>'BS,CF and P&amp;L'!ET203</f>
        <v>564.6</v>
      </c>
      <c r="N64" s="20">
        <f>'BS,CF and P&amp;L'!EU203</f>
        <v>564.6</v>
      </c>
      <c r="O64" s="20">
        <f>'BS,CF and P&amp;L'!EV203</f>
        <v>564.6</v>
      </c>
      <c r="P64" s="20">
        <f>'BS,CF and P&amp;L'!EW203</f>
        <v>564.6</v>
      </c>
      <c r="Q64" s="20">
        <f>'BS,CF and P&amp;L'!EX203</f>
        <v>564.6</v>
      </c>
      <c r="R64" s="20">
        <f>'BS,CF and P&amp;L'!EY203</f>
        <v>564.6</v>
      </c>
      <c r="S64" s="20">
        <f>'BS,CF and P&amp;L'!EZ203</f>
        <v>564.6</v>
      </c>
      <c r="T64" s="20">
        <f>'BS,CF and P&amp;L'!FA203</f>
        <v>564.6</v>
      </c>
      <c r="U64" s="20">
        <f>'BS,CF and P&amp;L'!FB203</f>
        <v>564.6</v>
      </c>
      <c r="V64" s="20">
        <f>'BS,CF and P&amp;L'!FC203</f>
        <v>564.6</v>
      </c>
      <c r="W64" s="20">
        <f>'BS,CF and P&amp;L'!FD203</f>
        <v>564.6</v>
      </c>
      <c r="X64" s="20">
        <f>'BS,CF and P&amp;L'!FE203</f>
        <v>564.6</v>
      </c>
      <c r="Y64" s="20">
        <f>'BS,CF and P&amp;L'!FF203</f>
        <v>564.6</v>
      </c>
      <c r="Z64" s="20">
        <f>'BS,CF and P&amp;L'!FG203</f>
        <v>564.6</v>
      </c>
      <c r="AA64" s="20">
        <f>'BS,CF and P&amp;L'!FH203</f>
        <v>564.6</v>
      </c>
      <c r="AB64" s="31"/>
      <c r="AC64" s="1" t="str">
        <f>'BS,CF and P&amp;L'!B11</f>
        <v>A&amp;NZ</v>
      </c>
      <c r="AL64" s="20"/>
      <c r="AM64" s="20"/>
      <c r="AN64" s="20">
        <f>'BS,CF and P&amp;L'!ET11</f>
        <v>509.79110163128598</v>
      </c>
      <c r="AO64" s="20">
        <f>'BS,CF and P&amp;L'!EO11</f>
        <v>132.9</v>
      </c>
      <c r="AP64" s="20">
        <f>'BS,CF and P&amp;L'!EP11</f>
        <v>254.5</v>
      </c>
      <c r="AQ64" s="20">
        <f>'BS,CF and P&amp;L'!EQ11</f>
        <v>126.5</v>
      </c>
      <c r="AR64" s="20">
        <f>'BS,CF and P&amp;L'!ER11</f>
        <v>128.79110163128595</v>
      </c>
      <c r="AS64" s="20">
        <f>'BS,CF and P&amp;L'!ES11</f>
        <v>255.29110163128595</v>
      </c>
      <c r="AT64" s="20">
        <f>'BS,CF and P&amp;L'!ET11</f>
        <v>509.79110163128598</v>
      </c>
      <c r="AU64" s="20">
        <f>'BS,CF and P&amp;L'!FA11</f>
        <v>571.43564641585021</v>
      </c>
      <c r="AV64" s="20">
        <f>'BS,CF and P&amp;L'!EV11</f>
        <v>148.96004286962767</v>
      </c>
      <c r="AW64" s="20">
        <f>'BS,CF and P&amp;L'!EW11</f>
        <v>285.00317504169351</v>
      </c>
      <c r="AX64" s="20">
        <f>'BS,CF and P&amp;L'!EX11</f>
        <v>140.65117692903323</v>
      </c>
      <c r="AY64" s="20">
        <f>'BS,CF and P&amp;L'!EY11</f>
        <v>145.78129444512342</v>
      </c>
      <c r="AZ64" s="20">
        <f>'BS,CF and P&amp;L'!EZ11</f>
        <v>286.43247137415665</v>
      </c>
      <c r="BA64" s="20">
        <f>'BS,CF and P&amp;L'!FA11</f>
        <v>571.43564641585021</v>
      </c>
      <c r="BB64" s="20">
        <f>'BS,CF and P&amp;L'!FH11</f>
        <v>644.70134869716799</v>
      </c>
      <c r="BC64" s="20"/>
      <c r="BD64" s="20"/>
      <c r="BE64" s="536">
        <f>(BB64/AN64)^(1/2)-1</f>
        <v>0.12456137817446966</v>
      </c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</row>
    <row r="65" spans="2:68" ht="11.25" customHeight="1" x14ac:dyDescent="0.2">
      <c r="B65" s="1" t="s">
        <v>93</v>
      </c>
      <c r="C65" s="19">
        <f>'BS,CF and P&amp;L'!CB204</f>
        <v>1176.3</v>
      </c>
      <c r="D65" s="19">
        <f>'BS,CF and P&amp;L'!CI204</f>
        <v>1043.3</v>
      </c>
      <c r="E65" s="19">
        <f>'BS,CF and P&amp;L'!CP204</f>
        <v>1101</v>
      </c>
      <c r="F65" s="20">
        <f>'BS,CF and P&amp;L'!CW204</f>
        <v>979.1</v>
      </c>
      <c r="G65" s="20">
        <f>'BS,CF and P&amp;L'!DD204</f>
        <v>882.5</v>
      </c>
      <c r="H65" s="20">
        <f>'BS,CF and P&amp;L'!DK204</f>
        <v>1013.6</v>
      </c>
      <c r="I65" s="20">
        <f>'BS,CF and P&amp;L'!DR204</f>
        <v>1010.8</v>
      </c>
      <c r="J65" s="20">
        <f>'BS,CF and P&amp;L'!DY204</f>
        <v>857.7</v>
      </c>
      <c r="K65" s="20">
        <f>'BS,CF and P&amp;L'!EF204</f>
        <v>873</v>
      </c>
      <c r="L65" s="20">
        <f>'BS,CF and P&amp;L'!EM204</f>
        <v>864.2</v>
      </c>
      <c r="M65" s="20">
        <f>'BS,CF and P&amp;L'!ET204</f>
        <v>850.96</v>
      </c>
      <c r="N65" s="20">
        <f>'BS,CF and P&amp;L'!EU204</f>
        <v>825.96</v>
      </c>
      <c r="O65" s="20">
        <f>'BS,CF and P&amp;L'!EV204</f>
        <v>800.96</v>
      </c>
      <c r="P65" s="20">
        <f>'BS,CF and P&amp;L'!EW204</f>
        <v>800.96</v>
      </c>
      <c r="Q65" s="20">
        <f>'BS,CF and P&amp;L'!EX204</f>
        <v>775.96</v>
      </c>
      <c r="R65" s="20">
        <f>'BS,CF and P&amp;L'!EY204</f>
        <v>750.96</v>
      </c>
      <c r="S65" s="20">
        <f>'BS,CF and P&amp;L'!EZ204</f>
        <v>750.96</v>
      </c>
      <c r="T65" s="20">
        <f>'BS,CF and P&amp;L'!FA204</f>
        <v>750.96</v>
      </c>
      <c r="U65" s="20">
        <f>'BS,CF and P&amp;L'!FB204</f>
        <v>725.96</v>
      </c>
      <c r="V65" s="20">
        <f>'BS,CF and P&amp;L'!FC204</f>
        <v>700.96</v>
      </c>
      <c r="W65" s="20">
        <f>'BS,CF and P&amp;L'!FD204</f>
        <v>700.96</v>
      </c>
      <c r="X65" s="20">
        <f>'BS,CF and P&amp;L'!FE204</f>
        <v>675.96</v>
      </c>
      <c r="Y65" s="20">
        <f>'BS,CF and P&amp;L'!FF204</f>
        <v>650.96</v>
      </c>
      <c r="Z65" s="20">
        <f>'BS,CF and P&amp;L'!FG204</f>
        <v>650.96</v>
      </c>
      <c r="AA65" s="20">
        <f>'BS,CF and P&amp;L'!FH204</f>
        <v>650.96</v>
      </c>
      <c r="AB65" s="31"/>
      <c r="AC65" s="26" t="s">
        <v>635</v>
      </c>
      <c r="AD65" s="28"/>
      <c r="AE65" s="28"/>
      <c r="AF65" s="28"/>
      <c r="AG65" s="28"/>
      <c r="AH65" s="28"/>
      <c r="AI65" s="28"/>
      <c r="AJ65" s="26"/>
      <c r="AK65" s="26"/>
      <c r="AL65" s="29"/>
      <c r="AM65" s="29"/>
      <c r="AN65" s="29">
        <f>'BS,CF and P&amp;L'!ET16</f>
        <v>4847.2936568579789</v>
      </c>
      <c r="AO65" s="29">
        <f>'BS,CF and P&amp;L'!EO16</f>
        <v>1292.2</v>
      </c>
      <c r="AP65" s="29">
        <f>'BS,CF and P&amp;L'!EP16</f>
        <v>1936.3</v>
      </c>
      <c r="AQ65" s="29">
        <f>'BS,CF and P&amp;L'!EQ16</f>
        <v>1239.8</v>
      </c>
      <c r="AR65" s="29">
        <f>'BS,CF and P&amp;L'!ER16</f>
        <v>1415.3936568579791</v>
      </c>
      <c r="AS65" s="29">
        <f>'BS,CF and P&amp;L'!ES16</f>
        <v>2725.913396857979</v>
      </c>
      <c r="AT65" s="29">
        <f>'BS,CF and P&amp;L'!ET16</f>
        <v>4847.2936568579789</v>
      </c>
      <c r="AU65" s="29">
        <f>'BS,CF and P&amp;L'!FA16</f>
        <v>5790.040023061043</v>
      </c>
      <c r="AV65" s="29">
        <f>'BS,CF and P&amp;L'!EV16</f>
        <v>1458.8557637776998</v>
      </c>
      <c r="AW65" s="29">
        <f>'BS,CF and P&amp;L'!EW16</f>
        <v>2856.6891554022154</v>
      </c>
      <c r="AX65" s="29">
        <f>'BS,CF and P&amp;L'!EX16</f>
        <v>1398.0519900707795</v>
      </c>
      <c r="AY65" s="29">
        <f>'BS,CF and P&amp;L'!EY16</f>
        <v>1535.2988775880476</v>
      </c>
      <c r="AZ65" s="29">
        <f>'BS,CF and P&amp;L'!EZ16</f>
        <v>2933.3508676588272</v>
      </c>
      <c r="BA65" s="29">
        <f>'BS,CF and P&amp;L'!FA16</f>
        <v>5790.040023061043</v>
      </c>
      <c r="BB65" s="29">
        <f>'BS,CF and P&amp;L'!FH16</f>
        <v>6374.0510512787459</v>
      </c>
      <c r="BC65" s="29"/>
      <c r="BD65" s="29"/>
      <c r="BE65" s="708">
        <f>(BB65/AN65)^(1/2)-1</f>
        <v>0.14672189118765644</v>
      </c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</row>
    <row r="66" spans="2:68" ht="11.25" customHeight="1" x14ac:dyDescent="0.2">
      <c r="B66" s="1" t="s">
        <v>81</v>
      </c>
      <c r="C66" s="19">
        <f>'BS,CF and P&amp;L'!CB205</f>
        <v>46.8</v>
      </c>
      <c r="D66" s="19">
        <f>'BS,CF and P&amp;L'!CI205</f>
        <v>40.4</v>
      </c>
      <c r="E66" s="19">
        <f>'BS,CF and P&amp;L'!CP205</f>
        <v>28.8</v>
      </c>
      <c r="F66" s="20">
        <f>'BS,CF and P&amp;L'!CW205</f>
        <v>25.8</v>
      </c>
      <c r="G66" s="20">
        <f>'BS,CF and P&amp;L'!DD205</f>
        <v>20.7</v>
      </c>
      <c r="H66" s="20">
        <f>'BS,CF and P&amp;L'!DK205</f>
        <v>20.3</v>
      </c>
      <c r="I66" s="20">
        <f>'BS,CF and P&amp;L'!DR205</f>
        <v>18.600000000000001</v>
      </c>
      <c r="J66" s="20">
        <f>'BS,CF and P&amp;L'!DY205</f>
        <v>16.399999999999999</v>
      </c>
      <c r="K66" s="20">
        <f>'BS,CF and P&amp;L'!EF205</f>
        <v>13.6</v>
      </c>
      <c r="L66" s="20">
        <f>'BS,CF and P&amp;L'!EM205</f>
        <v>16.5</v>
      </c>
      <c r="M66" s="20">
        <f>'BS,CF and P&amp;L'!ET205</f>
        <v>17.5</v>
      </c>
      <c r="N66" s="20">
        <f>'BS,CF and P&amp;L'!EU205</f>
        <v>17.5</v>
      </c>
      <c r="O66" s="20">
        <f>'BS,CF and P&amp;L'!EV205</f>
        <v>17.5</v>
      </c>
      <c r="P66" s="20">
        <f>'BS,CF and P&amp;L'!EW205</f>
        <v>17.5</v>
      </c>
      <c r="Q66" s="20">
        <f>'BS,CF and P&amp;L'!EX205</f>
        <v>17.5</v>
      </c>
      <c r="R66" s="20">
        <f>'BS,CF and P&amp;L'!EY205</f>
        <v>17.5</v>
      </c>
      <c r="S66" s="20">
        <f>'BS,CF and P&amp;L'!EZ205</f>
        <v>17.5</v>
      </c>
      <c r="T66" s="20">
        <f>'BS,CF and P&amp;L'!FA205</f>
        <v>17.5</v>
      </c>
      <c r="U66" s="20">
        <f>'BS,CF and P&amp;L'!FB205</f>
        <v>17.5</v>
      </c>
      <c r="V66" s="20">
        <f>'BS,CF and P&amp;L'!FC205</f>
        <v>17.5</v>
      </c>
      <c r="W66" s="20">
        <f>'BS,CF and P&amp;L'!FD205</f>
        <v>17.5</v>
      </c>
      <c r="X66" s="20">
        <f>'BS,CF and P&amp;L'!FE205</f>
        <v>17.5</v>
      </c>
      <c r="Y66" s="20">
        <f>'BS,CF and P&amp;L'!FF205</f>
        <v>17.5</v>
      </c>
      <c r="Z66" s="20">
        <f>'BS,CF and P&amp;L'!FG205</f>
        <v>17.5</v>
      </c>
      <c r="AA66" s="20">
        <f>'BS,CF and P&amp;L'!FH205</f>
        <v>17.5</v>
      </c>
      <c r="AB66" s="20"/>
      <c r="BE66" s="19"/>
      <c r="BF66" s="19"/>
      <c r="BG66" s="19"/>
      <c r="BH66" s="19"/>
      <c r="BI66" s="19"/>
    </row>
    <row r="67" spans="2:68" ht="11.25" customHeight="1" x14ac:dyDescent="0.2">
      <c r="B67" s="45" t="s">
        <v>49</v>
      </c>
      <c r="C67" s="52">
        <f>'BS,CF and P&amp;L'!CB206</f>
        <v>14.7</v>
      </c>
      <c r="D67" s="52">
        <f>'BS,CF and P&amp;L'!CI206</f>
        <v>15.9</v>
      </c>
      <c r="E67" s="52">
        <f>'BS,CF and P&amp;L'!CP206</f>
        <v>51.8</v>
      </c>
      <c r="F67" s="53">
        <f>'BS,CF and P&amp;L'!CW206</f>
        <v>69.8</v>
      </c>
      <c r="G67" s="53">
        <f>'BS,CF and P&amp;L'!DD206</f>
        <v>86.6</v>
      </c>
      <c r="H67" s="53">
        <f>'BS,CF and P&amp;L'!DK206</f>
        <v>114.69999999999999</v>
      </c>
      <c r="I67" s="53">
        <f>'BS,CF and P&amp;L'!DR206</f>
        <v>113.5</v>
      </c>
      <c r="J67" s="53">
        <f>'BS,CF and P&amp;L'!DY206</f>
        <v>111.2</v>
      </c>
      <c r="K67" s="53">
        <f>'BS,CF and P&amp;L'!EF206</f>
        <v>117.9</v>
      </c>
      <c r="L67" s="53">
        <f>'BS,CF and P&amp;L'!EM206</f>
        <v>119.4</v>
      </c>
      <c r="M67" s="53">
        <f>'BS,CF and P&amp;L'!ET206</f>
        <v>272.8</v>
      </c>
      <c r="N67" s="53">
        <f>'BS,CF and P&amp;L'!EU206</f>
        <v>272.8</v>
      </c>
      <c r="O67" s="53">
        <f>'BS,CF and P&amp;L'!EV206</f>
        <v>272.8</v>
      </c>
      <c r="P67" s="53">
        <f>'BS,CF and P&amp;L'!EW206</f>
        <v>272.8</v>
      </c>
      <c r="Q67" s="53">
        <f>'BS,CF and P&amp;L'!EX206</f>
        <v>272.8</v>
      </c>
      <c r="R67" s="53">
        <f>'BS,CF and P&amp;L'!EY206</f>
        <v>272.8</v>
      </c>
      <c r="S67" s="53">
        <f>'BS,CF and P&amp;L'!EZ206</f>
        <v>272.8</v>
      </c>
      <c r="T67" s="53">
        <f>'BS,CF and P&amp;L'!FA206</f>
        <v>272.8</v>
      </c>
      <c r="U67" s="53">
        <f>'BS,CF and P&amp;L'!FB206</f>
        <v>272.8</v>
      </c>
      <c r="V67" s="53">
        <f>'BS,CF and P&amp;L'!FC206</f>
        <v>272.8</v>
      </c>
      <c r="W67" s="53">
        <f>'BS,CF and P&amp;L'!FD206</f>
        <v>272.8</v>
      </c>
      <c r="X67" s="53">
        <f>'BS,CF and P&amp;L'!FE206</f>
        <v>272.8</v>
      </c>
      <c r="Y67" s="53">
        <f>'BS,CF and P&amp;L'!FF206</f>
        <v>272.8</v>
      </c>
      <c r="Z67" s="53">
        <f>'BS,CF and P&amp;L'!FG206</f>
        <v>272.8</v>
      </c>
      <c r="AA67" s="53">
        <f>'BS,CF and P&amp;L'!FH206</f>
        <v>272.8</v>
      </c>
      <c r="AB67" s="31"/>
      <c r="AC67" s="1" t="str">
        <f>AC61</f>
        <v>Siding &amp; Triming</v>
      </c>
      <c r="AL67" s="20"/>
      <c r="AM67" s="20"/>
      <c r="AN67" s="20">
        <f>'BS,CF and P&amp;L'!ET31</f>
        <v>957.72326895894025</v>
      </c>
      <c r="AO67" s="20">
        <f>'BS,CF and P&amp;L'!EI31</f>
        <v>503.50000000000006</v>
      </c>
      <c r="AP67" s="20">
        <f>'BS,CF and P&amp;L'!EJ31</f>
        <v>250.5</v>
      </c>
      <c r="AQ67" s="20">
        <f>'BS,CF and P&amp;L'!EK31</f>
        <v>247.59999999999997</v>
      </c>
      <c r="AR67" s="20">
        <f>'BS,CF and P&amp;L'!EL31</f>
        <v>498.09999999999997</v>
      </c>
      <c r="AS67" s="20">
        <f>'BS,CF and P&amp;L'!EM31</f>
        <v>1001.6</v>
      </c>
      <c r="AT67" s="20">
        <f>'BS,CF and P&amp;L'!EN31</f>
        <v>205.8</v>
      </c>
      <c r="AU67" s="20">
        <f>'BS,CF and P&amp;L'!FA31</f>
        <v>1088.926191454701</v>
      </c>
      <c r="AV67" s="20">
        <f>'BS,CF and P&amp;L'!EP31</f>
        <v>429.80000000000007</v>
      </c>
      <c r="AW67" s="20">
        <f>'BS,CF and P&amp;L'!EQ31</f>
        <v>268.60000000000002</v>
      </c>
      <c r="AX67" s="20">
        <f>'BS,CF and P&amp;L'!ER31</f>
        <v>259.32326895894022</v>
      </c>
      <c r="AY67" s="20">
        <f>'BS,CF and P&amp;L'!ES31</f>
        <v>543.39066895894018</v>
      </c>
      <c r="AZ67" s="20">
        <f>'BS,CF and P&amp;L'!ET31</f>
        <v>957.72326895894025</v>
      </c>
      <c r="BA67" s="20">
        <f>'BS,CF and P&amp;L'!EU31</f>
        <v>240.38970927217414</v>
      </c>
      <c r="BB67" s="20">
        <f>'BS,CF and P&amp;L'!FH31</f>
        <v>1200.2328143254617</v>
      </c>
      <c r="BE67" s="536">
        <f t="shared" ref="BE67:BE72" si="47">(BB67/AN67)^(1/2)-1</f>
        <v>0.11947069290387868</v>
      </c>
      <c r="BF67" s="19"/>
      <c r="BG67" s="19"/>
      <c r="BH67" s="19"/>
      <c r="BI67" s="19"/>
    </row>
    <row r="68" spans="2:68" ht="11.25" customHeight="1" x14ac:dyDescent="0.2">
      <c r="B68" s="26" t="s">
        <v>664</v>
      </c>
      <c r="C68" s="28">
        <f t="shared" ref="C68:I68" si="48">SUM(C62:C67)</f>
        <v>1865.8</v>
      </c>
      <c r="D68" s="28">
        <f t="shared" si="48"/>
        <v>1796.1000000000001</v>
      </c>
      <c r="E68" s="28">
        <f t="shared" si="48"/>
        <v>2177.9000000000005</v>
      </c>
      <c r="F68" s="29">
        <f t="shared" si="48"/>
        <v>2575.2000000000003</v>
      </c>
      <c r="G68" s="29">
        <f>SUM(G62:G67)</f>
        <v>2482.9999999999995</v>
      </c>
      <c r="H68" s="29">
        <f t="shared" si="48"/>
        <v>2127.1</v>
      </c>
      <c r="I68" s="29">
        <f t="shared" si="48"/>
        <v>2140.3999999999996</v>
      </c>
      <c r="J68" s="29">
        <f>SUM(J62:J67)</f>
        <v>2170.4</v>
      </c>
      <c r="K68" s="29">
        <f>SUM(K62:K67)</f>
        <v>2256</v>
      </c>
      <c r="L68" s="29">
        <f>SUM(L62:L67)</f>
        <v>2258.2000000000003</v>
      </c>
      <c r="M68" s="29">
        <f>SUM(M62:M67)</f>
        <v>6213.0042456470974</v>
      </c>
      <c r="N68" s="29">
        <f t="shared" ref="N68:T68" si="49">SUM(N62:N67)</f>
        <v>5941.0004353048334</v>
      </c>
      <c r="O68" s="29">
        <f t="shared" si="49"/>
        <v>5831.2253234241525</v>
      </c>
      <c r="P68" s="29">
        <f t="shared" si="49"/>
        <v>5831.2253234241525</v>
      </c>
      <c r="Q68" s="29">
        <f t="shared" si="49"/>
        <v>5637.4632581994438</v>
      </c>
      <c r="R68" s="29">
        <f t="shared" si="49"/>
        <v>5545.8307719910563</v>
      </c>
      <c r="S68" s="29">
        <f t="shared" si="49"/>
        <v>5545.8307719910563</v>
      </c>
      <c r="T68" s="29">
        <f t="shared" si="49"/>
        <v>5545.8307719910563</v>
      </c>
      <c r="U68" s="29">
        <f t="shared" ref="U68:Z68" si="50">SUM(U62:U67)</f>
        <v>5224.434808024057</v>
      </c>
      <c r="V68" s="29">
        <f t="shared" si="50"/>
        <v>5076.3199895838952</v>
      </c>
      <c r="W68" s="29">
        <f t="shared" si="50"/>
        <v>5076.3199895838952</v>
      </c>
      <c r="X68" s="29">
        <f t="shared" si="50"/>
        <v>4823.3086947313905</v>
      </c>
      <c r="Y68" s="29">
        <f t="shared" si="50"/>
        <v>4690.9568014750021</v>
      </c>
      <c r="Z68" s="29">
        <f t="shared" si="50"/>
        <v>4690.9568014750021</v>
      </c>
      <c r="AA68" s="29">
        <f>SUM(AA62:AA67)</f>
        <v>4690.9568014750021</v>
      </c>
      <c r="AB68" s="19"/>
      <c r="AC68" s="1" t="str">
        <f>AC62</f>
        <v>Decking, Railing &amp; Accessories</v>
      </c>
      <c r="AL68" s="20"/>
      <c r="AM68" s="20"/>
      <c r="AN68" s="20">
        <f>'BS,CF and P&amp;L'!ET34</f>
        <v>222.29875000000001</v>
      </c>
      <c r="AO68" s="20">
        <f>'BS,CF and P&amp;L'!EI34</f>
        <v>141.9616</v>
      </c>
      <c r="AP68" s="20">
        <f>'BS,CF and P&amp;L'!EJ34</f>
        <v>44.022599999999997</v>
      </c>
      <c r="AQ68" s="20">
        <f>'BS,CF and P&amp;L'!EK34</f>
        <v>87.140920000000008</v>
      </c>
      <c r="AR68" s="20">
        <f>'BS,CF and P&amp;L'!EL34</f>
        <v>126.79340586438001</v>
      </c>
      <c r="AS68" s="20">
        <f>'BS,CF and P&amp;L'!EM34</f>
        <v>0</v>
      </c>
      <c r="AT68" s="20">
        <f>'BS,CF and P&amp;L'!EN34</f>
        <v>0</v>
      </c>
      <c r="AU68" s="20">
        <f>'BS,CF and P&amp;L'!FA34</f>
        <v>349.38942500000007</v>
      </c>
      <c r="AV68" s="20">
        <f>'BS,CF and P&amp;L'!EP34</f>
        <v>78.599999999999994</v>
      </c>
      <c r="AW68" s="20">
        <f>'BS,CF and P&amp;L'!EQ34</f>
        <v>48.7</v>
      </c>
      <c r="AX68" s="20">
        <f>'BS,CF and P&amp;L'!ER34</f>
        <v>94.998750000000001</v>
      </c>
      <c r="AY68" s="20">
        <f>'BS,CF and P&amp;L'!ES34</f>
        <v>143.69875000000002</v>
      </c>
      <c r="AZ68" s="20">
        <f>'BS,CF and P&amp;L'!ET34</f>
        <v>222.29875000000001</v>
      </c>
      <c r="BA68" s="20">
        <f>'BS,CF and P&amp;L'!EU34</f>
        <v>100.30015</v>
      </c>
      <c r="BB68" s="20">
        <f>'BS,CF and P&amp;L'!FH34</f>
        <v>382.15889625</v>
      </c>
      <c r="BE68" s="536">
        <f t="shared" si="47"/>
        <v>0.31115331297998239</v>
      </c>
      <c r="BF68" s="19"/>
      <c r="BG68" s="19"/>
      <c r="BH68" s="19"/>
      <c r="BI68" s="19"/>
    </row>
    <row r="69" spans="2:68" ht="11.25" customHeight="1" x14ac:dyDescent="0.2">
      <c r="B69" s="65" t="s">
        <v>99</v>
      </c>
      <c r="C69" s="59">
        <f t="shared" ref="C69:I69" si="51">C68+C61</f>
        <v>2265.6</v>
      </c>
      <c r="D69" s="59">
        <f t="shared" si="51"/>
        <v>2224.9</v>
      </c>
      <c r="E69" s="59">
        <f t="shared" si="51"/>
        <v>2572.5000000000005</v>
      </c>
      <c r="F69" s="60">
        <f t="shared" si="51"/>
        <v>3058.2000000000003</v>
      </c>
      <c r="G69" s="60">
        <f>G68+G61</f>
        <v>2992.9999999999995</v>
      </c>
      <c r="H69" s="60">
        <f t="shared" si="51"/>
        <v>3028.2</v>
      </c>
      <c r="I69" s="60">
        <f t="shared" si="51"/>
        <v>2910.2999999999997</v>
      </c>
      <c r="J69" s="60">
        <f>J68+J61</f>
        <v>2867.7</v>
      </c>
      <c r="K69" s="60">
        <f>K68+K61</f>
        <v>3053.7000000000003</v>
      </c>
      <c r="L69" s="60">
        <f>L68+L61</f>
        <v>3068.4</v>
      </c>
      <c r="M69" s="60">
        <f>M68+M61</f>
        <v>7309.971439081376</v>
      </c>
      <c r="N69" s="60">
        <f t="shared" ref="N69:T69" si="52">N68+N61</f>
        <v>7168.1441393734176</v>
      </c>
      <c r="O69" s="60">
        <f t="shared" si="52"/>
        <v>7034.0098076977192</v>
      </c>
      <c r="P69" s="60">
        <f t="shared" si="52"/>
        <v>7034.0098076977192</v>
      </c>
      <c r="Q69" s="60">
        <f t="shared" si="52"/>
        <v>6836.4267747143849</v>
      </c>
      <c r="R69" s="60">
        <f t="shared" si="52"/>
        <v>6697.8938898040306</v>
      </c>
      <c r="S69" s="60">
        <f t="shared" si="52"/>
        <v>6697.8938898040306</v>
      </c>
      <c r="T69" s="60">
        <f t="shared" si="52"/>
        <v>6697.8938898040306</v>
      </c>
      <c r="U69" s="60">
        <f t="shared" ref="U69:Z69" si="53">U68+U61</f>
        <v>6523.7131643585126</v>
      </c>
      <c r="V69" s="60">
        <f t="shared" si="53"/>
        <v>6359.5756626835919</v>
      </c>
      <c r="W69" s="60">
        <f t="shared" si="53"/>
        <v>6359.5756626835919</v>
      </c>
      <c r="X69" s="60">
        <f t="shared" si="53"/>
        <v>6102.131742165544</v>
      </c>
      <c r="Y69" s="60">
        <f t="shared" si="53"/>
        <v>5912.4889018995555</v>
      </c>
      <c r="Z69" s="60">
        <f t="shared" si="53"/>
        <v>5912.4889018995555</v>
      </c>
      <c r="AA69" s="60">
        <f>AA68+AA61</f>
        <v>5912.4889018995555</v>
      </c>
      <c r="AB69" s="31"/>
      <c r="AC69" s="1" t="str">
        <f>AC63</f>
        <v>Europe</v>
      </c>
      <c r="AL69" s="20"/>
      <c r="AM69" s="20"/>
      <c r="AN69" s="20">
        <f>'BS,CF and P&amp;L'!ET33</f>
        <v>81.921639999999996</v>
      </c>
      <c r="AO69" s="20">
        <f>'BS,CF and P&amp;L'!EI33</f>
        <v>36.700000000000003</v>
      </c>
      <c r="AP69" s="20">
        <f>'BS,CF and P&amp;L'!EJ33</f>
        <v>11.9</v>
      </c>
      <c r="AQ69" s="20">
        <f>'BS,CF and P&amp;L'!EK33</f>
        <v>21.799999999999997</v>
      </c>
      <c r="AR69" s="20">
        <f>'BS,CF and P&amp;L'!EL33</f>
        <v>33.699999999999996</v>
      </c>
      <c r="AS69" s="20">
        <f>'BS,CF and P&amp;L'!EM33</f>
        <v>70.400000000000006</v>
      </c>
      <c r="AT69" s="20">
        <f>'BS,CF and P&amp;L'!EN33</f>
        <v>21.9</v>
      </c>
      <c r="AU69" s="20">
        <f>'BS,CF and P&amp;L'!FA33</f>
        <v>89.953550191259453</v>
      </c>
      <c r="AV69" s="20">
        <f>'BS,CF and P&amp;L'!EP33</f>
        <v>42.9</v>
      </c>
      <c r="AW69" s="20">
        <f>'BS,CF and P&amp;L'!EQ33</f>
        <v>16.600000000000001</v>
      </c>
      <c r="AX69" s="20">
        <f>'BS,CF and P&amp;L'!ER33</f>
        <v>22.42164</v>
      </c>
      <c r="AY69" s="20">
        <f>'BS,CF and P&amp;L'!ES33</f>
        <v>39.021640000000005</v>
      </c>
      <c r="AZ69" s="20">
        <f>'BS,CF and P&amp;L'!ET33</f>
        <v>81.921639999999996</v>
      </c>
      <c r="BA69" s="20">
        <f>'BS,CF and P&amp;L'!EU33</f>
        <v>21.314823999999998</v>
      </c>
      <c r="BB69" s="20">
        <f>'BS,CF and P&amp;L'!FH33</f>
        <v>95.244937629487296</v>
      </c>
      <c r="BE69" s="536">
        <f t="shared" si="47"/>
        <v>7.8255375431373064E-2</v>
      </c>
      <c r="BF69" s="19"/>
      <c r="BG69" s="19"/>
      <c r="BH69" s="19"/>
      <c r="BI69" s="19"/>
    </row>
    <row r="70" spans="2:68" ht="11.25" customHeight="1" x14ac:dyDescent="0.2">
      <c r="B70" s="65" t="s">
        <v>100</v>
      </c>
      <c r="C70" s="59"/>
      <c r="D70" s="59">
        <f t="shared" ref="D70:J70" si="54">D54-D69</f>
        <v>-212.20000000000027</v>
      </c>
      <c r="E70" s="59">
        <f t="shared" si="54"/>
        <v>-221.50000000000045</v>
      </c>
      <c r="F70" s="60">
        <f t="shared" si="54"/>
        <v>974.40000000000009</v>
      </c>
      <c r="G70" s="60">
        <f>G54-G69</f>
        <v>1035.3000000000011</v>
      </c>
      <c r="H70" s="60">
        <f t="shared" si="54"/>
        <v>1060.7999999999997</v>
      </c>
      <c r="I70" s="60">
        <f t="shared" si="54"/>
        <v>1332.900000000001</v>
      </c>
      <c r="J70" s="60">
        <f t="shared" si="54"/>
        <v>1575.1999999999998</v>
      </c>
      <c r="K70" s="60">
        <f>K54-K69</f>
        <v>1858.9</v>
      </c>
      <c r="L70" s="60">
        <f>L54-L69</f>
        <v>2161.4999999999995</v>
      </c>
      <c r="M70" s="60">
        <f>M54-M69</f>
        <v>6570.8998129539932</v>
      </c>
      <c r="N70" s="60">
        <f t="shared" ref="N70:T70" si="55">N54-N69</f>
        <v>6751.2961444133043</v>
      </c>
      <c r="O70" s="60">
        <f t="shared" si="55"/>
        <v>6930.0468346793386</v>
      </c>
      <c r="P70" s="60">
        <f t="shared" si="55"/>
        <v>6930.0468346793386</v>
      </c>
      <c r="Q70" s="60">
        <f t="shared" si="55"/>
        <v>7119.224982429766</v>
      </c>
      <c r="R70" s="60">
        <f t="shared" si="55"/>
        <v>7340.9153845013298</v>
      </c>
      <c r="S70" s="60">
        <f t="shared" si="55"/>
        <v>7340.9153845013298</v>
      </c>
      <c r="T70" s="60">
        <f t="shared" si="55"/>
        <v>7340.9153845013298</v>
      </c>
      <c r="U70" s="60">
        <f t="shared" ref="U70:Z70" si="56">U54-U69</f>
        <v>7561.4790743062294</v>
      </c>
      <c r="V70" s="60">
        <f t="shared" si="56"/>
        <v>7786.3336406873077</v>
      </c>
      <c r="W70" s="60">
        <f t="shared" si="56"/>
        <v>7786.3336406873077</v>
      </c>
      <c r="X70" s="60">
        <f t="shared" si="56"/>
        <v>8029.9377776709862</v>
      </c>
      <c r="Y70" s="60">
        <f t="shared" si="56"/>
        <v>8298.3338614869426</v>
      </c>
      <c r="Z70" s="60">
        <f t="shared" si="56"/>
        <v>8298.3338614869426</v>
      </c>
      <c r="AA70" s="60">
        <f>AA54-AA69</f>
        <v>8298.3338614869426</v>
      </c>
      <c r="AB70" s="31"/>
      <c r="AC70" s="1" t="str">
        <f>AC64</f>
        <v>A&amp;NZ</v>
      </c>
      <c r="AL70" s="20"/>
      <c r="AM70" s="20"/>
      <c r="AN70" s="20">
        <f>'BS,CF and P&amp;L'!ET32</f>
        <v>170.56510399417459</v>
      </c>
      <c r="AO70" s="20">
        <f>'BS,CF and P&amp;L'!EI32</f>
        <v>100</v>
      </c>
      <c r="AP70" s="20">
        <f>'BS,CF and P&amp;L'!EJ32</f>
        <v>39.699999999999996</v>
      </c>
      <c r="AQ70" s="20">
        <f>'BS,CF and P&amp;L'!EK32</f>
        <v>40.800000000000004</v>
      </c>
      <c r="AR70" s="20">
        <f>'BS,CF and P&amp;L'!EL32</f>
        <v>80.5</v>
      </c>
      <c r="AS70" s="20">
        <f>'BS,CF and P&amp;L'!EM32</f>
        <v>180.5</v>
      </c>
      <c r="AT70" s="20">
        <f>'BS,CF and P&amp;L'!EN32</f>
        <v>43</v>
      </c>
      <c r="AU70" s="20">
        <f>'BS,CF and P&amp;L'!FA32</f>
        <v>192.02691907609244</v>
      </c>
      <c r="AV70" s="20">
        <f>'BS,CF and P&amp;L'!EP32</f>
        <v>86.5</v>
      </c>
      <c r="AW70" s="20">
        <f>'BS,CF and P&amp;L'!EQ32</f>
        <v>41.2</v>
      </c>
      <c r="AX70" s="20">
        <f>'BS,CF and P&amp;L'!ER32</f>
        <v>42.865103994174582</v>
      </c>
      <c r="AY70" s="20">
        <f>'BS,CF and P&amp;L'!ES32</f>
        <v>84.065103994174592</v>
      </c>
      <c r="AZ70" s="20">
        <f>'BS,CF and P&amp;L'!ET32</f>
        <v>170.56510399417459</v>
      </c>
      <c r="BA70" s="20">
        <f>'BS,CF and P&amp;L'!EU32</f>
        <v>48.294862019354682</v>
      </c>
      <c r="BB70" s="20">
        <f>'BS,CF and P&amp;L'!FH32</f>
        <v>220.91214632344324</v>
      </c>
      <c r="BE70" s="536">
        <f t="shared" si="47"/>
        <v>0.13805881203809256</v>
      </c>
      <c r="BF70" s="28"/>
      <c r="BG70" s="28"/>
      <c r="BH70" s="28"/>
      <c r="BI70" s="28"/>
    </row>
    <row r="71" spans="2:68" ht="11.25" customHeight="1" x14ac:dyDescent="0.2">
      <c r="B71" s="1" t="s">
        <v>101</v>
      </c>
      <c r="C71" s="19">
        <f>'BS,CF and P&amp;L'!CB211</f>
        <v>231.4</v>
      </c>
      <c r="D71" s="19">
        <f>'BS,CF and P&amp;L'!CI211</f>
        <v>229.1</v>
      </c>
      <c r="E71" s="19">
        <f>'BS,CF and P&amp;L'!CP211</f>
        <v>229.5</v>
      </c>
      <c r="F71" s="20">
        <f>'BS,CF and P&amp;L'!CW211</f>
        <v>230</v>
      </c>
      <c r="G71" s="20">
        <f>'BS,CF and P&amp;L'!DD211</f>
        <v>230.6</v>
      </c>
      <c r="H71" s="20">
        <f>'BS,CF and P&amp;L'!DK211</f>
        <v>231.4</v>
      </c>
      <c r="I71" s="20">
        <f>'BS,CF and P&amp;L'!DR211</f>
        <v>232.1</v>
      </c>
      <c r="J71" s="20">
        <f>'BS,CF and P&amp;L'!DY211</f>
        <v>230</v>
      </c>
      <c r="K71" s="20">
        <f>'BS,CF and P&amp;L'!EF211</f>
        <v>224.7</v>
      </c>
      <c r="L71" s="20">
        <f>'BS,CF and P&amp;L'!EM211</f>
        <v>222.1</v>
      </c>
      <c r="M71" s="20">
        <f>'BS,CF and P&amp;L'!ET211</f>
        <v>326.39999999999998</v>
      </c>
      <c r="N71" s="20">
        <f>'BS,CF and P&amp;L'!EU211</f>
        <v>326.39999999999998</v>
      </c>
      <c r="O71" s="20">
        <f>'BS,CF and P&amp;L'!EV211</f>
        <v>326.39999999999998</v>
      </c>
      <c r="P71" s="20">
        <f>'BS,CF and P&amp;L'!EW211</f>
        <v>326.39999999999998</v>
      </c>
      <c r="Q71" s="20">
        <f>'BS,CF and P&amp;L'!EX211</f>
        <v>326.39999999999998</v>
      </c>
      <c r="R71" s="20">
        <f>'BS,CF and P&amp;L'!EY211</f>
        <v>326.39999999999998</v>
      </c>
      <c r="S71" s="20">
        <f>'BS,CF and P&amp;L'!EZ211</f>
        <v>326.39999999999998</v>
      </c>
      <c r="T71" s="20">
        <f>'BS,CF and P&amp;L'!FA211</f>
        <v>326.39999999999998</v>
      </c>
      <c r="U71" s="20">
        <f>'BS,CF and P&amp;L'!FB211</f>
        <v>326.39999999999998</v>
      </c>
      <c r="V71" s="20">
        <f>'BS,CF and P&amp;L'!FC211</f>
        <v>326.39999999999998</v>
      </c>
      <c r="W71" s="20">
        <f>'BS,CF and P&amp;L'!FD211</f>
        <v>326.39999999999998</v>
      </c>
      <c r="X71" s="20">
        <f>'BS,CF and P&amp;L'!FE211</f>
        <v>326.39999999999998</v>
      </c>
      <c r="Y71" s="20">
        <f>'BS,CF and P&amp;L'!FF211</f>
        <v>326.39999999999998</v>
      </c>
      <c r="Z71" s="20">
        <f>'BS,CF and P&amp;L'!FG211</f>
        <v>326.39999999999998</v>
      </c>
      <c r="AA71" s="20">
        <f>'BS,CF and P&amp;L'!FH211</f>
        <v>326.39999999999998</v>
      </c>
      <c r="AB71" s="31"/>
      <c r="AC71" s="1" t="s">
        <v>49</v>
      </c>
      <c r="AL71" s="20"/>
      <c r="AM71" s="20"/>
      <c r="AN71" s="20">
        <f t="shared" ref="AN71:BB71" si="57">AN72-AN70-AN69-AN68-AN67</f>
        <v>-181.64000000000021</v>
      </c>
      <c r="AO71" s="20">
        <f t="shared" si="57"/>
        <v>-409.05387870847119</v>
      </c>
      <c r="AP71" s="20">
        <f t="shared" si="57"/>
        <v>37.569491540783361</v>
      </c>
      <c r="AQ71" s="20">
        <f t="shared" si="57"/>
        <v>359.4588928323123</v>
      </c>
      <c r="AR71" s="20">
        <f t="shared" si="57"/>
        <v>-350.45638808304665</v>
      </c>
      <c r="AS71" s="20">
        <f t="shared" si="57"/>
        <v>-826.78065508285204</v>
      </c>
      <c r="AT71" s="20">
        <f t="shared" si="57"/>
        <v>543.65636269848142</v>
      </c>
      <c r="AU71" s="20">
        <f t="shared" si="57"/>
        <v>-149.13991019125933</v>
      </c>
      <c r="AV71" s="20">
        <f t="shared" si="57"/>
        <v>-223.08658075486366</v>
      </c>
      <c r="AW71" s="20">
        <f t="shared" si="57"/>
        <v>57.298602564774683</v>
      </c>
      <c r="AX71" s="20">
        <f t="shared" si="57"/>
        <v>427.50325885679632</v>
      </c>
      <c r="AY71" s="20">
        <f t="shared" si="57"/>
        <v>-362.60003030418869</v>
      </c>
      <c r="AZ71" s="20">
        <f t="shared" si="57"/>
        <v>-959.04751032178774</v>
      </c>
      <c r="BA71" s="20">
        <f t="shared" si="57"/>
        <v>510.73783998872443</v>
      </c>
      <c r="BB71" s="20">
        <f t="shared" si="57"/>
        <v>-130.39938743822813</v>
      </c>
      <c r="BE71" s="536">
        <f t="shared" si="47"/>
        <v>-0.15271010092184378</v>
      </c>
      <c r="BF71" s="19"/>
      <c r="BG71" s="19"/>
      <c r="BH71" s="19"/>
      <c r="BI71" s="19"/>
    </row>
    <row r="72" spans="2:68" ht="11.25" customHeight="1" x14ac:dyDescent="0.2">
      <c r="B72" s="1" t="s">
        <v>102</v>
      </c>
      <c r="C72" s="19">
        <f>'BS,CF and P&amp;L'!CB212</f>
        <v>164.4</v>
      </c>
      <c r="D72" s="19">
        <f>'BS,CF and P&amp;L'!CI212</f>
        <v>173.8</v>
      </c>
      <c r="E72" s="19">
        <f>'BS,CF and P&amp;L'!CP212</f>
        <v>185.6</v>
      </c>
      <c r="F72" s="20">
        <f>'BS,CF and P&amp;L'!CW212</f>
        <v>197.6</v>
      </c>
      <c r="G72" s="20">
        <f>'BS,CF and P&amp;L'!DD212</f>
        <v>207.3</v>
      </c>
      <c r="H72" s="20">
        <f>'BS,CF and P&amp;L'!DK212</f>
        <v>224.6</v>
      </c>
      <c r="I72" s="20">
        <f>'BS,CF and P&amp;L'!DR212</f>
        <v>230.4</v>
      </c>
      <c r="J72" s="20">
        <f>'BS,CF and P&amp;L'!DY212</f>
        <v>237.9</v>
      </c>
      <c r="K72" s="20">
        <f>'BS,CF and P&amp;L'!EF212</f>
        <v>256.5</v>
      </c>
      <c r="L72" s="20">
        <f>'BS,CF and P&amp;L'!EM212</f>
        <v>271.89999999999998</v>
      </c>
      <c r="M72" s="20">
        <f>'BS,CF and P&amp;L'!ET212</f>
        <v>4308.3</v>
      </c>
      <c r="N72" s="20">
        <f>'BS,CF and P&amp;L'!EU212</f>
        <v>4308.3</v>
      </c>
      <c r="O72" s="20">
        <f>'BS,CF and P&amp;L'!EV212</f>
        <v>4308.3</v>
      </c>
      <c r="P72" s="20">
        <f>'BS,CF and P&amp;L'!EW212</f>
        <v>4308.3</v>
      </c>
      <c r="Q72" s="20">
        <f>'BS,CF and P&amp;L'!EX212</f>
        <v>4308.3</v>
      </c>
      <c r="R72" s="20">
        <f>'BS,CF and P&amp;L'!EY212</f>
        <v>4308.3</v>
      </c>
      <c r="S72" s="20">
        <f>'BS,CF and P&amp;L'!EZ212</f>
        <v>4308.3</v>
      </c>
      <c r="T72" s="20">
        <f>'BS,CF and P&amp;L'!FA212</f>
        <v>4308.3</v>
      </c>
      <c r="U72" s="20">
        <f>'BS,CF and P&amp;L'!FB212</f>
        <v>4308.3</v>
      </c>
      <c r="V72" s="20">
        <f>'BS,CF and P&amp;L'!FC212</f>
        <v>4308.3</v>
      </c>
      <c r="W72" s="20">
        <f>'BS,CF and P&amp;L'!FD212</f>
        <v>4308.3</v>
      </c>
      <c r="X72" s="20">
        <f>'BS,CF and P&amp;L'!FE212</f>
        <v>4308.3</v>
      </c>
      <c r="Y72" s="20">
        <f>'BS,CF and P&amp;L'!FF212</f>
        <v>4308.3</v>
      </c>
      <c r="Z72" s="20">
        <f>'BS,CF and P&amp;L'!FG212</f>
        <v>4308.3</v>
      </c>
      <c r="AA72" s="20">
        <f>'BS,CF and P&amp;L'!FH212</f>
        <v>4308.3</v>
      </c>
      <c r="AB72" s="66"/>
      <c r="AC72" s="26" t="s">
        <v>682</v>
      </c>
      <c r="AD72" s="26"/>
      <c r="AE72" s="26"/>
      <c r="AF72" s="26"/>
      <c r="AG72" s="26"/>
      <c r="AH72" s="26"/>
      <c r="AI72" s="26"/>
      <c r="AJ72" s="26"/>
      <c r="AK72" s="26"/>
      <c r="AL72" s="29"/>
      <c r="AM72" s="29"/>
      <c r="AN72" s="29">
        <f t="shared" ref="AN72:BB72" si="58">M8</f>
        <v>1250.8687629531146</v>
      </c>
      <c r="AO72" s="29">
        <f t="shared" si="58"/>
        <v>373.10772129152883</v>
      </c>
      <c r="AP72" s="29">
        <f t="shared" si="58"/>
        <v>383.69209154078334</v>
      </c>
      <c r="AQ72" s="29">
        <f t="shared" si="58"/>
        <v>756.79981283231223</v>
      </c>
      <c r="AR72" s="29">
        <f t="shared" si="58"/>
        <v>388.63701778133333</v>
      </c>
      <c r="AS72" s="29">
        <f t="shared" si="58"/>
        <v>425.71934491714796</v>
      </c>
      <c r="AT72" s="29">
        <f t="shared" si="58"/>
        <v>814.35636269848135</v>
      </c>
      <c r="AU72" s="29">
        <f t="shared" si="58"/>
        <v>1571.1561755307937</v>
      </c>
      <c r="AV72" s="29">
        <f t="shared" si="58"/>
        <v>414.71341924513638</v>
      </c>
      <c r="AW72" s="29">
        <f t="shared" si="58"/>
        <v>432.39860256477471</v>
      </c>
      <c r="AX72" s="29">
        <f t="shared" si="58"/>
        <v>847.11202180991108</v>
      </c>
      <c r="AY72" s="29">
        <f t="shared" si="58"/>
        <v>447.57613264892609</v>
      </c>
      <c r="AZ72" s="29">
        <f t="shared" si="58"/>
        <v>473.46125263132717</v>
      </c>
      <c r="BA72" s="29">
        <f t="shared" si="58"/>
        <v>921.03738528025337</v>
      </c>
      <c r="BB72" s="29">
        <f t="shared" si="58"/>
        <v>1768.1494070901642</v>
      </c>
      <c r="BE72" s="708">
        <f t="shared" si="47"/>
        <v>0.18892266474231278</v>
      </c>
      <c r="BF72" s="3"/>
      <c r="BG72" s="3"/>
      <c r="BH72" s="3"/>
      <c r="BI72" s="3"/>
    </row>
    <row r="73" spans="2:68" ht="11.25" customHeight="1" x14ac:dyDescent="0.2">
      <c r="B73" s="1" t="s">
        <v>103</v>
      </c>
      <c r="C73" s="19">
        <f>'BS,CF and P&amp;L'!CB213</f>
        <v>-621.79999999999995</v>
      </c>
      <c r="D73" s="19">
        <f>'BS,CF and P&amp;L'!CI213</f>
        <v>-612.9</v>
      </c>
      <c r="E73" s="19">
        <f>'BS,CF and P&amp;L'!CP213</f>
        <v>-635.29999999999995</v>
      </c>
      <c r="F73" s="20">
        <f>'BS,CF and P&amp;L'!CW213</f>
        <v>577.1</v>
      </c>
      <c r="G73" s="20">
        <f>'BS,CF and P&amp;L'!DD213</f>
        <v>659.5</v>
      </c>
      <c r="H73" s="20">
        <f>'BS,CF and P&amp;L'!DK213</f>
        <v>611.4</v>
      </c>
      <c r="I73" s="20">
        <f>'BS,CF and P&amp;L'!DR213</f>
        <v>892.4</v>
      </c>
      <c r="J73" s="20">
        <f>'BS,CF and P&amp;L'!DY213</f>
        <v>1196.8</v>
      </c>
      <c r="K73" s="20">
        <f>'BS,CF and P&amp;L'!EF213</f>
        <v>1446</v>
      </c>
      <c r="L73" s="20">
        <f>'BS,CF and P&amp;L'!EM213</f>
        <v>1725.7</v>
      </c>
      <c r="M73" s="20">
        <f>'BS,CF and P&amp;L'!ET213</f>
        <v>1975.3998129539937</v>
      </c>
      <c r="N73" s="20">
        <f>'BS,CF and P&amp;L'!EU213</f>
        <v>2155.7961444133043</v>
      </c>
      <c r="O73" s="20">
        <f>'BS,CF and P&amp;L'!EV213</f>
        <v>2334.54683467934</v>
      </c>
      <c r="P73" s="20">
        <f>'BS,CF and P&amp;L'!EW213</f>
        <v>2334.54683467934</v>
      </c>
      <c r="Q73" s="20">
        <f>'BS,CF and P&amp;L'!EX213</f>
        <v>2523.724982429766</v>
      </c>
      <c r="R73" s="20">
        <f>'BS,CF and P&amp;L'!EY213</f>
        <v>2745.4153845013316</v>
      </c>
      <c r="S73" s="20">
        <f>'BS,CF and P&amp;L'!EZ213</f>
        <v>2745.4153845013316</v>
      </c>
      <c r="T73" s="20">
        <f>'BS,CF and P&amp;L'!FA213</f>
        <v>2745.4153845013316</v>
      </c>
      <c r="U73" s="20">
        <f>'BS,CF and P&amp;L'!FB213</f>
        <v>2965.9790743062304</v>
      </c>
      <c r="V73" s="20">
        <f>'BS,CF and P&amp;L'!FC213</f>
        <v>3190.8336406873077</v>
      </c>
      <c r="W73" s="20">
        <f>'BS,CF and P&amp;L'!FD213</f>
        <v>3190.8336406873077</v>
      </c>
      <c r="X73" s="20">
        <f>'BS,CF and P&amp;L'!FE213</f>
        <v>3434.4377776709866</v>
      </c>
      <c r="Y73" s="20">
        <f>'BS,CF and P&amp;L'!FF213</f>
        <v>3702.833861486944</v>
      </c>
      <c r="Z73" s="20">
        <f>'BS,CF and P&amp;L'!FG213</f>
        <v>3702.833861486944</v>
      </c>
      <c r="AA73" s="20">
        <f>'BS,CF and P&amp;L'!FH213</f>
        <v>3702.833861486944</v>
      </c>
      <c r="BE73" s="536"/>
      <c r="BF73" s="19"/>
      <c r="BG73" s="19"/>
      <c r="BH73" s="19"/>
      <c r="BI73" s="19"/>
    </row>
    <row r="74" spans="2:68" ht="11.25" customHeight="1" x14ac:dyDescent="0.2">
      <c r="B74" s="1" t="s">
        <v>104</v>
      </c>
      <c r="C74" s="19">
        <f>'BS,CF and P&amp;L'!CB215</f>
        <v>0.8</v>
      </c>
      <c r="D74" s="19">
        <f>'BS,CF and P&amp;L'!CI215</f>
        <v>-2.2000000000000002</v>
      </c>
      <c r="E74" s="19">
        <f>'BS,CF and P&amp;L'!CP215</f>
        <v>-1.3</v>
      </c>
      <c r="F74" s="20">
        <f>'BS,CF and P&amp;L'!CW215</f>
        <v>-30.3</v>
      </c>
      <c r="G74" s="20">
        <f>'BS,CF and P&amp;L'!DD215</f>
        <v>-62.1</v>
      </c>
      <c r="H74" s="20">
        <f>'BS,CF and P&amp;L'!DK215</f>
        <v>-6.6</v>
      </c>
      <c r="I74" s="20">
        <f>'BS,CF and P&amp;L'!DR215</f>
        <v>-22</v>
      </c>
      <c r="J74" s="20">
        <f>'BS,CF and P&amp;L'!DY215</f>
        <v>-53.3</v>
      </c>
      <c r="K74" s="20">
        <f>'BS,CF and P&amp;L'!EF215</f>
        <v>-68.3</v>
      </c>
      <c r="L74" s="20">
        <f>'BS,CF and P&amp;L'!EM215</f>
        <v>-58.2</v>
      </c>
      <c r="M74" s="20">
        <f>'BS,CF and P&amp;L'!ET215</f>
        <v>-39.200000000000003</v>
      </c>
      <c r="N74" s="20">
        <f>'BS,CF and P&amp;L'!EU215</f>
        <v>-39.200000000000003</v>
      </c>
      <c r="O74" s="20">
        <f>'BS,CF and P&amp;L'!EV215</f>
        <v>-39.200000000000003</v>
      </c>
      <c r="P74" s="20">
        <f>'BS,CF and P&amp;L'!EW215</f>
        <v>-39.200000000000003</v>
      </c>
      <c r="Q74" s="20">
        <f>'BS,CF and P&amp;L'!EX215</f>
        <v>-39.200000000000003</v>
      </c>
      <c r="R74" s="20">
        <f>'BS,CF and P&amp;L'!EY215</f>
        <v>-39.200000000000003</v>
      </c>
      <c r="S74" s="20">
        <f>'BS,CF and P&amp;L'!EZ215</f>
        <v>-39.200000000000003</v>
      </c>
      <c r="T74" s="20">
        <f>'BS,CF and P&amp;L'!FA215</f>
        <v>-39.200000000000003</v>
      </c>
      <c r="U74" s="20">
        <f>'BS,CF and P&amp;L'!FB215</f>
        <v>-39.200000000000003</v>
      </c>
      <c r="V74" s="20">
        <f>'BS,CF and P&amp;L'!FC215</f>
        <v>-39.200000000000003</v>
      </c>
      <c r="W74" s="20">
        <f>'BS,CF and P&amp;L'!FD215</f>
        <v>-39.200000000000003</v>
      </c>
      <c r="X74" s="20">
        <f>'BS,CF and P&amp;L'!FE215</f>
        <v>-39.200000000000003</v>
      </c>
      <c r="Y74" s="20">
        <f>'BS,CF and P&amp;L'!FF215</f>
        <v>-39.200000000000003</v>
      </c>
      <c r="Z74" s="20">
        <f>'BS,CF and P&amp;L'!FG215</f>
        <v>-39.200000000000003</v>
      </c>
      <c r="AA74" s="20">
        <f>'BS,CF and P&amp;L'!FH215</f>
        <v>-39.200000000000003</v>
      </c>
      <c r="BE74" s="41"/>
      <c r="BF74" s="41"/>
      <c r="BG74" s="41"/>
      <c r="BH74" s="41"/>
      <c r="BI74" s="41"/>
    </row>
    <row r="75" spans="2:68" ht="11.25" customHeight="1" x14ac:dyDescent="0.2">
      <c r="B75" s="65" t="s">
        <v>105</v>
      </c>
      <c r="C75" s="59">
        <f t="shared" ref="C75:I75" si="59">SUM(C71:C74)</f>
        <v>-225.19999999999993</v>
      </c>
      <c r="D75" s="59">
        <f t="shared" si="59"/>
        <v>-212.2</v>
      </c>
      <c r="E75" s="59">
        <f t="shared" si="59"/>
        <v>-221.49999999999994</v>
      </c>
      <c r="F75" s="60">
        <f t="shared" si="59"/>
        <v>974.40000000000009</v>
      </c>
      <c r="G75" s="60">
        <f>SUM(G71:G74)</f>
        <v>1035.3000000000002</v>
      </c>
      <c r="H75" s="60">
        <f t="shared" si="59"/>
        <v>1060.8000000000002</v>
      </c>
      <c r="I75" s="60">
        <f t="shared" si="59"/>
        <v>1332.9</v>
      </c>
      <c r="J75" s="60">
        <f>SUM(J71:J74)</f>
        <v>1611.3999999999999</v>
      </c>
      <c r="K75" s="60">
        <f>SUM(K71:K74)</f>
        <v>1858.9</v>
      </c>
      <c r="L75" s="60">
        <f>SUM(L71:L74)</f>
        <v>2161.5</v>
      </c>
      <c r="M75" s="60">
        <f>SUM(M71:M74)</f>
        <v>6570.8998129539932</v>
      </c>
      <c r="N75" s="60">
        <f t="shared" ref="N75:T75" si="60">SUM(N71:N74)</f>
        <v>6751.2961444133043</v>
      </c>
      <c r="O75" s="60">
        <f t="shared" si="60"/>
        <v>6930.0468346793396</v>
      </c>
      <c r="P75" s="60">
        <f t="shared" si="60"/>
        <v>6930.0468346793396</v>
      </c>
      <c r="Q75" s="60">
        <f t="shared" si="60"/>
        <v>7119.224982429766</v>
      </c>
      <c r="R75" s="60">
        <f t="shared" si="60"/>
        <v>7340.9153845013316</v>
      </c>
      <c r="S75" s="60">
        <f t="shared" si="60"/>
        <v>7340.9153845013316</v>
      </c>
      <c r="T75" s="60">
        <f t="shared" si="60"/>
        <v>7340.9153845013316</v>
      </c>
      <c r="U75" s="60">
        <f t="shared" ref="U75:Z75" si="61">SUM(U71:U74)</f>
        <v>7561.4790743062304</v>
      </c>
      <c r="V75" s="60">
        <f t="shared" si="61"/>
        <v>7786.3336406873077</v>
      </c>
      <c r="W75" s="60">
        <f t="shared" si="61"/>
        <v>7786.3336406873077</v>
      </c>
      <c r="X75" s="60">
        <f t="shared" si="61"/>
        <v>8029.9377776709871</v>
      </c>
      <c r="Y75" s="60">
        <f t="shared" si="61"/>
        <v>8298.3338614869426</v>
      </c>
      <c r="Z75" s="60">
        <f t="shared" si="61"/>
        <v>8298.3338614869426</v>
      </c>
      <c r="AA75" s="60">
        <f>SUM(AA71:AA74)</f>
        <v>8298.3338614869426</v>
      </c>
      <c r="BE75" s="16"/>
      <c r="BF75" s="16"/>
      <c r="BG75" s="16"/>
      <c r="BH75" s="16"/>
      <c r="BI75" s="16"/>
    </row>
    <row r="76" spans="2:68" ht="11.25" customHeight="1" x14ac:dyDescent="0.2">
      <c r="B76" s="64" t="s">
        <v>665</v>
      </c>
      <c r="BE76" s="9"/>
      <c r="BF76" s="9"/>
      <c r="BG76" s="9"/>
      <c r="BH76" s="9"/>
      <c r="BI76" s="9"/>
    </row>
    <row r="77" spans="2:68" ht="11.25" customHeight="1" x14ac:dyDescent="0.2">
      <c r="BE77" s="19"/>
      <c r="BF77" s="19"/>
      <c r="BG77" s="19"/>
      <c r="BH77" s="19"/>
      <c r="BI77" s="19"/>
    </row>
    <row r="78" spans="2:68" x14ac:dyDescent="0.2">
      <c r="BE78" s="19"/>
      <c r="BF78" s="19"/>
      <c r="BG78" s="19"/>
      <c r="BH78" s="19"/>
      <c r="BI78" s="19"/>
    </row>
    <row r="79" spans="2:68" x14ac:dyDescent="0.2">
      <c r="BE79" s="19"/>
      <c r="BF79" s="19"/>
      <c r="BG79" s="19"/>
      <c r="BH79" s="19"/>
      <c r="BI79" s="19"/>
    </row>
    <row r="80" spans="2:68" x14ac:dyDescent="0.2">
      <c r="BE80" s="19"/>
      <c r="BF80" s="19"/>
      <c r="BG80" s="19"/>
      <c r="BH80" s="19"/>
      <c r="BI80" s="19"/>
    </row>
    <row r="81" spans="3:61" x14ac:dyDescent="0.2">
      <c r="BE81" s="31"/>
      <c r="BF81" s="31"/>
      <c r="BG81" s="31"/>
      <c r="BH81" s="31"/>
      <c r="BI81" s="31"/>
    </row>
    <row r="82" spans="3:61" x14ac:dyDescent="0.2">
      <c r="AC82" s="709" t="s">
        <v>646</v>
      </c>
      <c r="BC82" s="31"/>
      <c r="BD82" s="31"/>
      <c r="BE82" s="31"/>
      <c r="BF82" s="31"/>
      <c r="BG82" s="31"/>
      <c r="BH82" s="31"/>
      <c r="BI82" s="31"/>
    </row>
    <row r="83" spans="3:61" x14ac:dyDescent="0.2">
      <c r="AC83" s="1" t="str">
        <f>AC67</f>
        <v>Siding &amp; Triming</v>
      </c>
      <c r="AM83" s="536"/>
      <c r="AN83" s="536">
        <f t="shared" ref="AN83:BB83" si="62">AN67/AN61</f>
        <v>0.31946676361287896</v>
      </c>
      <c r="AO83" s="536">
        <f t="shared" si="62"/>
        <v>0.65731070496083555</v>
      </c>
      <c r="AP83" s="536">
        <f t="shared" si="62"/>
        <v>0.17793720698962923</v>
      </c>
      <c r="AQ83" s="536">
        <f t="shared" si="62"/>
        <v>0.31409361918051498</v>
      </c>
      <c r="AR83" s="536">
        <f t="shared" si="62"/>
        <v>0.62124213424694397</v>
      </c>
      <c r="AS83" s="536">
        <f t="shared" si="62"/>
        <v>0.603082664544625</v>
      </c>
      <c r="AT83" s="536">
        <f t="shared" si="62"/>
        <v>6.864849386294819E-2</v>
      </c>
      <c r="AU83" s="536">
        <f t="shared" si="62"/>
        <v>0.31371629366552506</v>
      </c>
      <c r="AV83" s="536">
        <f t="shared" si="62"/>
        <v>0.47848585681175565</v>
      </c>
      <c r="AW83" s="536">
        <f t="shared" si="62"/>
        <v>0.15979203294172736</v>
      </c>
      <c r="AX83" s="536">
        <f t="shared" si="62"/>
        <v>0.28378343616838642</v>
      </c>
      <c r="AY83" s="536">
        <f t="shared" si="62"/>
        <v>0.62008799363961531</v>
      </c>
      <c r="AZ83" s="536">
        <f t="shared" si="62"/>
        <v>0.53500533023001362</v>
      </c>
      <c r="BA83" s="536">
        <f t="shared" si="62"/>
        <v>6.9255537445980134E-2</v>
      </c>
      <c r="BB83" s="536">
        <f t="shared" si="62"/>
        <v>0.31451187733525304</v>
      </c>
    </row>
    <row r="84" spans="3:61" x14ac:dyDescent="0.2">
      <c r="AC84" s="1" t="str">
        <f>AC68</f>
        <v>Decking, Railing &amp; Accessories</v>
      </c>
      <c r="AM84" s="536"/>
      <c r="AN84" s="536">
        <f t="shared" ref="AN84:BB84" si="63">AN68/AN62</f>
        <v>0.27949801973973726</v>
      </c>
      <c r="AO84" s="536">
        <f t="shared" si="63"/>
        <v>0.55497107114933542</v>
      </c>
      <c r="AP84" s="536">
        <f t="shared" si="63"/>
        <v>0.17209773260359654</v>
      </c>
      <c r="AQ84" s="536">
        <f t="shared" si="63"/>
        <v>0.44894858320453379</v>
      </c>
      <c r="AR84" s="536">
        <f t="shared" si="63"/>
        <v>0.36703837274389928</v>
      </c>
      <c r="AS84" s="536">
        <f t="shared" si="63"/>
        <v>0</v>
      </c>
      <c r="AT84" s="536">
        <f t="shared" si="63"/>
        <v>0</v>
      </c>
      <c r="AU84" s="536">
        <f t="shared" si="63"/>
        <v>0.29036452719571965</v>
      </c>
      <c r="AV84" s="536">
        <f t="shared" si="63"/>
        <v>0.28670900697520779</v>
      </c>
      <c r="AW84" s="536">
        <f t="shared" si="63"/>
        <v>7.8962160136629933E-2</v>
      </c>
      <c r="AX84" s="536">
        <f t="shared" si="63"/>
        <v>0.446645413727083</v>
      </c>
      <c r="AY84" s="536">
        <f t="shared" si="63"/>
        <v>0.38439226899073492</v>
      </c>
      <c r="AZ84" s="536">
        <f t="shared" si="63"/>
        <v>0.37900823064562189</v>
      </c>
      <c r="BA84" s="536">
        <f t="shared" si="63"/>
        <v>8.3355715853190904E-2</v>
      </c>
      <c r="BB84" s="536">
        <f t="shared" si="63"/>
        <v>0.29454783851860361</v>
      </c>
    </row>
    <row r="85" spans="3:61" x14ac:dyDescent="0.2">
      <c r="AC85" s="1" t="str">
        <f>AC69</f>
        <v>Europe</v>
      </c>
      <c r="AM85" s="536"/>
      <c r="AN85" s="536">
        <f t="shared" ref="AN85:BB85" si="64">AN69/AN63</f>
        <v>0.15051605284404052</v>
      </c>
      <c r="AO85" s="536">
        <f t="shared" si="64"/>
        <v>0.26690909090909093</v>
      </c>
      <c r="AP85" s="536">
        <f t="shared" si="64"/>
        <v>4.3430656934306568E-2</v>
      </c>
      <c r="AQ85" s="536">
        <f t="shared" si="64"/>
        <v>0.16653934300993123</v>
      </c>
      <c r="AR85" s="536">
        <f t="shared" si="64"/>
        <v>0.24179930829612706</v>
      </c>
      <c r="AS85" s="536">
        <f t="shared" si="64"/>
        <v>0.2604785449668478</v>
      </c>
      <c r="AT85" s="536">
        <f t="shared" si="64"/>
        <v>4.0237250588299835E-2</v>
      </c>
      <c r="AU85" s="536">
        <f t="shared" si="64"/>
        <v>0.16527322102068095</v>
      </c>
      <c r="AV85" s="536">
        <f t="shared" si="64"/>
        <v>0.312</v>
      </c>
      <c r="AW85" s="536">
        <f t="shared" si="64"/>
        <v>6.0583941605839423E-2</v>
      </c>
      <c r="AX85" s="536">
        <f t="shared" si="64"/>
        <v>0.17128831168831168</v>
      </c>
      <c r="AY85" s="536">
        <f t="shared" si="64"/>
        <v>0.27998236084808564</v>
      </c>
      <c r="AZ85" s="536">
        <f t="shared" si="64"/>
        <v>0.30310837483661812</v>
      </c>
      <c r="BA85" s="536">
        <f t="shared" si="64"/>
        <v>3.9162096554041431E-2</v>
      </c>
      <c r="BB85" s="536">
        <f t="shared" si="64"/>
        <v>0.15468602325714353</v>
      </c>
    </row>
    <row r="86" spans="3:61" x14ac:dyDescent="0.2">
      <c r="AC86" s="1" t="str">
        <f>AC70</f>
        <v>A&amp;NZ</v>
      </c>
      <c r="AJ86" s="31"/>
      <c r="AK86" s="31"/>
      <c r="AL86" s="31"/>
      <c r="AM86" s="536"/>
      <c r="AN86" s="536">
        <f t="shared" ref="AN86:BB86" si="65">AN70/AN64</f>
        <v>0.334578425257682</v>
      </c>
      <c r="AO86" s="536">
        <f t="shared" si="65"/>
        <v>0.7524454477050414</v>
      </c>
      <c r="AP86" s="536">
        <f t="shared" si="65"/>
        <v>0.15599214145383103</v>
      </c>
      <c r="AQ86" s="536">
        <f t="shared" si="65"/>
        <v>0.32252964426877473</v>
      </c>
      <c r="AR86" s="536">
        <f t="shared" si="65"/>
        <v>0.62504318217932631</v>
      </c>
      <c r="AS86" s="536">
        <f t="shared" si="65"/>
        <v>0.70703600261279032</v>
      </c>
      <c r="AT86" s="536">
        <f t="shared" si="65"/>
        <v>8.4348274935368311E-2</v>
      </c>
      <c r="AU86" s="536">
        <f t="shared" si="65"/>
        <v>0.33604294775889587</v>
      </c>
      <c r="AV86" s="536">
        <f t="shared" si="65"/>
        <v>0.58069263631795709</v>
      </c>
      <c r="AW86" s="536">
        <f t="shared" si="65"/>
        <v>0.14455979304080666</v>
      </c>
      <c r="AX86" s="536">
        <f t="shared" si="65"/>
        <v>0.3047617867840704</v>
      </c>
      <c r="AY86" s="536">
        <f t="shared" si="65"/>
        <v>0.57665219885819641</v>
      </c>
      <c r="AZ86" s="536">
        <f t="shared" si="65"/>
        <v>0.59548103319393353</v>
      </c>
      <c r="BA86" s="536">
        <f t="shared" si="65"/>
        <v>8.4514962134877247E-2</v>
      </c>
      <c r="BB86" s="536">
        <f t="shared" si="65"/>
        <v>0.3426581110305868</v>
      </c>
    </row>
    <row r="87" spans="3:61" x14ac:dyDescent="0.2">
      <c r="AC87" s="26" t="str">
        <f>AC72</f>
        <v>Total EBITDA</v>
      </c>
      <c r="AD87" s="25"/>
      <c r="AE87" s="25"/>
      <c r="AF87" s="25"/>
      <c r="AG87" s="25"/>
      <c r="AH87" s="25"/>
      <c r="AI87" s="25"/>
      <c r="AJ87" s="26"/>
      <c r="AK87" s="26"/>
      <c r="AL87" s="26"/>
      <c r="AM87" s="708"/>
      <c r="AN87" s="708">
        <f t="shared" ref="AN87:BB87" si="66">AN72/AN65</f>
        <v>0.25805508217629403</v>
      </c>
      <c r="AO87" s="708">
        <f t="shared" si="66"/>
        <v>0.28873836967306055</v>
      </c>
      <c r="AP87" s="708">
        <f t="shared" si="66"/>
        <v>0.19815735761027906</v>
      </c>
      <c r="AQ87" s="708">
        <f t="shared" si="66"/>
        <v>0.61042088468487843</v>
      </c>
      <c r="AR87" s="708">
        <f t="shared" si="66"/>
        <v>0.27457874768498364</v>
      </c>
      <c r="AS87" s="708">
        <f t="shared" si="66"/>
        <v>0.15617493402683039</v>
      </c>
      <c r="AT87" s="708">
        <f t="shared" si="66"/>
        <v>0.16800227515540042</v>
      </c>
      <c r="AU87" s="708">
        <f t="shared" si="66"/>
        <v>0.27135497669671799</v>
      </c>
      <c r="AV87" s="708">
        <f t="shared" si="66"/>
        <v>0.28427307862926626</v>
      </c>
      <c r="AW87" s="708">
        <f t="shared" si="66"/>
        <v>0.15136354676429398</v>
      </c>
      <c r="AX87" s="708">
        <f t="shared" si="66"/>
        <v>0.60592311861522696</v>
      </c>
      <c r="AY87" s="708">
        <f t="shared" si="66"/>
        <v>0.2915237802766244</v>
      </c>
      <c r="AZ87" s="708">
        <f t="shared" si="66"/>
        <v>0.16140628039127389</v>
      </c>
      <c r="BA87" s="708">
        <f t="shared" si="66"/>
        <v>0.15907271480194793</v>
      </c>
      <c r="BB87" s="708">
        <f t="shared" si="66"/>
        <v>0.2773980617452762</v>
      </c>
    </row>
    <row r="89" spans="3:61" x14ac:dyDescent="0.2">
      <c r="AC89" s="709" t="s">
        <v>688</v>
      </c>
    </row>
    <row r="90" spans="3:61" x14ac:dyDescent="0.2">
      <c r="AC90" s="1" t="str">
        <f>AC67</f>
        <v>Siding &amp; Triming</v>
      </c>
      <c r="AM90" s="536"/>
      <c r="AN90" s="536">
        <f t="shared" ref="AN90:BB90" si="67">AN67/AN$72</f>
        <v>0.76564648292751225</v>
      </c>
      <c r="AO90" s="536">
        <f t="shared" si="67"/>
        <v>1.3494762270186009</v>
      </c>
      <c r="AP90" s="536">
        <f t="shared" si="67"/>
        <v>0.6528672483033805</v>
      </c>
      <c r="AQ90" s="536">
        <f t="shared" si="67"/>
        <v>0.32716709994068388</v>
      </c>
      <c r="AR90" s="536">
        <f t="shared" si="67"/>
        <v>1.2816586614511745</v>
      </c>
      <c r="AS90" s="536">
        <f t="shared" si="67"/>
        <v>2.3527237180047056</v>
      </c>
      <c r="AT90" s="536">
        <f t="shared" si="67"/>
        <v>0.25271491625368225</v>
      </c>
      <c r="AU90" s="536">
        <f t="shared" si="67"/>
        <v>0.69307317020016934</v>
      </c>
      <c r="AV90" s="536">
        <f t="shared" si="67"/>
        <v>1.0363783279121384</v>
      </c>
      <c r="AW90" s="536">
        <f t="shared" si="67"/>
        <v>0.62118609636293376</v>
      </c>
      <c r="AX90" s="536">
        <f t="shared" si="67"/>
        <v>0.30612630004338603</v>
      </c>
      <c r="AY90" s="536">
        <f t="shared" si="67"/>
        <v>1.2140742754600142</v>
      </c>
      <c r="AZ90" s="536">
        <f t="shared" si="67"/>
        <v>2.0228123497672916</v>
      </c>
      <c r="BA90" s="536">
        <f t="shared" si="67"/>
        <v>0.26099886184210463</v>
      </c>
      <c r="BB90" s="536">
        <f t="shared" si="67"/>
        <v>0.67880735050590524</v>
      </c>
      <c r="BC90" s="21"/>
    </row>
    <row r="91" spans="3:61" x14ac:dyDescent="0.2">
      <c r="AC91" s="1" t="str">
        <f t="shared" ref="AC91:AC95" si="68">AC68</f>
        <v>Decking, Railing &amp; Accessories</v>
      </c>
      <c r="AM91" s="536"/>
      <c r="AN91" s="536">
        <f t="shared" ref="AM91:BB95" si="69">AN68/AN$72</f>
        <v>0.17771548589572725</v>
      </c>
      <c r="AO91" s="536">
        <f t="shared" si="69"/>
        <v>0.38048421916489333</v>
      </c>
      <c r="AP91" s="536">
        <f t="shared" si="69"/>
        <v>0.11473418652758642</v>
      </c>
      <c r="AQ91" s="536">
        <f t="shared" si="69"/>
        <v>0.1151439502526783</v>
      </c>
      <c r="AR91" s="536">
        <f t="shared" si="69"/>
        <v>0.3262514893414511</v>
      </c>
      <c r="AS91" s="536">
        <f t="shared" si="69"/>
        <v>0</v>
      </c>
      <c r="AT91" s="536">
        <f t="shared" si="69"/>
        <v>0</v>
      </c>
      <c r="AU91" s="536">
        <f t="shared" si="69"/>
        <v>0.22237727250886669</v>
      </c>
      <c r="AV91" s="536">
        <f t="shared" si="69"/>
        <v>0.18952847039063297</v>
      </c>
      <c r="AW91" s="536">
        <f t="shared" si="69"/>
        <v>0.11262756103080741</v>
      </c>
      <c r="AX91" s="536">
        <f t="shared" si="69"/>
        <v>0.11214425902849173</v>
      </c>
      <c r="AY91" s="536">
        <f t="shared" si="69"/>
        <v>0.32105990359569903</v>
      </c>
      <c r="AZ91" s="536">
        <f t="shared" si="69"/>
        <v>0.46951835818568805</v>
      </c>
      <c r="BA91" s="536">
        <f t="shared" si="69"/>
        <v>0.10889910833476174</v>
      </c>
      <c r="BB91" s="536">
        <f t="shared" si="69"/>
        <v>0.21613495710123118</v>
      </c>
      <c r="BC91" s="67"/>
    </row>
    <row r="92" spans="3:61" x14ac:dyDescent="0.2">
      <c r="K92" s="536"/>
      <c r="AC92" s="1" t="str">
        <f t="shared" si="68"/>
        <v>Europe</v>
      </c>
      <c r="AM92" s="536"/>
      <c r="AN92" s="536">
        <f t="shared" si="69"/>
        <v>6.5491794524147537E-2</v>
      </c>
      <c r="AO92" s="536">
        <f t="shared" si="69"/>
        <v>9.8363013965407461E-2</v>
      </c>
      <c r="AP92" s="536">
        <f t="shared" si="69"/>
        <v>3.1014452115010891E-2</v>
      </c>
      <c r="AQ92" s="536">
        <f t="shared" si="69"/>
        <v>2.8805503952774269E-2</v>
      </c>
      <c r="AR92" s="536">
        <f t="shared" si="69"/>
        <v>8.6713304338294675E-2</v>
      </c>
      <c r="AS92" s="536">
        <f t="shared" si="69"/>
        <v>0.16536716228787068</v>
      </c>
      <c r="AT92" s="536">
        <f t="shared" si="69"/>
        <v>2.6892403624662976E-2</v>
      </c>
      <c r="AU92" s="536">
        <f t="shared" si="69"/>
        <v>5.7253092717450493E-2</v>
      </c>
      <c r="AV92" s="536">
        <f t="shared" si="69"/>
        <v>0.10344492849565083</v>
      </c>
      <c r="AW92" s="536">
        <f t="shared" si="69"/>
        <v>3.8390503349310129E-2</v>
      </c>
      <c r="AX92" s="536">
        <f t="shared" si="69"/>
        <v>2.6468329362266254E-2</v>
      </c>
      <c r="AY92" s="536">
        <f t="shared" si="69"/>
        <v>8.7184362957548861E-2</v>
      </c>
      <c r="AZ92" s="536">
        <f t="shared" si="69"/>
        <v>0.17302712639040474</v>
      </c>
      <c r="BA92" s="536">
        <f t="shared" si="69"/>
        <v>2.3142191989866209E-2</v>
      </c>
      <c r="BB92" s="536">
        <f t="shared" si="69"/>
        <v>5.3867018956407921E-2</v>
      </c>
      <c r="BC92" s="21"/>
    </row>
    <row r="93" spans="3:61" x14ac:dyDescent="0.2">
      <c r="C93" s="68"/>
      <c r="M93" s="536"/>
      <c r="AC93" s="1" t="str">
        <f t="shared" si="68"/>
        <v>A&amp;NZ</v>
      </c>
      <c r="AJ93" s="31"/>
      <c r="AK93" s="31"/>
      <c r="AL93" s="31"/>
      <c r="AM93" s="536"/>
      <c r="AN93" s="536">
        <f t="shared" si="69"/>
        <v>0.13635731344949076</v>
      </c>
      <c r="AO93" s="536">
        <f t="shared" si="69"/>
        <v>0.26801911162236364</v>
      </c>
      <c r="AP93" s="536">
        <f t="shared" si="69"/>
        <v>0.10346838226604473</v>
      </c>
      <c r="AQ93" s="536">
        <f t="shared" si="69"/>
        <v>5.3911218407027083E-2</v>
      </c>
      <c r="AR93" s="536">
        <f t="shared" si="69"/>
        <v>0.20713415427990273</v>
      </c>
      <c r="AS93" s="536">
        <f t="shared" si="69"/>
        <v>0.42398824990000933</v>
      </c>
      <c r="AT93" s="536">
        <f t="shared" si="69"/>
        <v>5.2802436340662472E-2</v>
      </c>
      <c r="AU93" s="536">
        <f t="shared" si="69"/>
        <v>0.12222013448867919</v>
      </c>
      <c r="AV93" s="536">
        <f t="shared" si="69"/>
        <v>0.20857776957747778</v>
      </c>
      <c r="AW93" s="536">
        <f t="shared" si="69"/>
        <v>9.5282454095878141E-2</v>
      </c>
      <c r="AX93" s="536">
        <f t="shared" si="69"/>
        <v>5.0601458709782492E-2</v>
      </c>
      <c r="AY93" s="536">
        <f t="shared" si="69"/>
        <v>0.1878230268818073</v>
      </c>
      <c r="AZ93" s="536">
        <f t="shared" si="69"/>
        <v>0.36025145256604452</v>
      </c>
      <c r="BA93" s="536">
        <f t="shared" si="69"/>
        <v>5.2435289588879733E-2</v>
      </c>
      <c r="BB93" s="536">
        <f t="shared" si="69"/>
        <v>0.12493975081381692</v>
      </c>
      <c r="BC93" s="69"/>
    </row>
    <row r="94" spans="3:61" x14ac:dyDescent="0.2">
      <c r="AC94" s="1" t="str">
        <f t="shared" si="68"/>
        <v>Other</v>
      </c>
      <c r="AD94" s="25"/>
      <c r="AE94" s="25"/>
      <c r="AF94" s="25"/>
      <c r="AG94" s="25"/>
      <c r="AH94" s="25"/>
      <c r="AI94" s="25"/>
      <c r="AJ94" s="26"/>
      <c r="AK94" s="26"/>
      <c r="AL94" s="26"/>
      <c r="AM94" s="536"/>
      <c r="AN94" s="536">
        <f t="shared" si="69"/>
        <v>-0.14521107679687778</v>
      </c>
      <c r="AO94" s="536">
        <f t="shared" si="69"/>
        <v>-1.0963425717712654</v>
      </c>
      <c r="AP94" s="536">
        <f t="shared" si="69"/>
        <v>9.7915730787977495E-2</v>
      </c>
      <c r="AQ94" s="536">
        <f t="shared" si="69"/>
        <v>0.47497222744683648</v>
      </c>
      <c r="AR94" s="536">
        <f t="shared" si="69"/>
        <v>-0.90175760941082295</v>
      </c>
      <c r="AS94" s="536">
        <f t="shared" si="69"/>
        <v>-1.9420791301925855</v>
      </c>
      <c r="AT94" s="536">
        <f t="shared" si="69"/>
        <v>0.66759024378099241</v>
      </c>
      <c r="AU94" s="536">
        <f t="shared" si="69"/>
        <v>-9.4923669915165779E-2</v>
      </c>
      <c r="AV94" s="536">
        <f t="shared" si="69"/>
        <v>-0.53792949637589993</v>
      </c>
      <c r="AW94" s="536">
        <f t="shared" si="69"/>
        <v>0.13251338516107061</v>
      </c>
      <c r="AX94" s="536">
        <f t="shared" si="69"/>
        <v>0.5046596528560735</v>
      </c>
      <c r="AY94" s="536">
        <f t="shared" si="69"/>
        <v>-0.81014156889506939</v>
      </c>
      <c r="AZ94" s="536">
        <f t="shared" si="69"/>
        <v>-2.0256092869094293</v>
      </c>
      <c r="BA94" s="536">
        <f t="shared" si="69"/>
        <v>0.55452454824438757</v>
      </c>
      <c r="BB94" s="536">
        <f t="shared" si="69"/>
        <v>-7.3749077377361361E-2</v>
      </c>
      <c r="BC94" s="69"/>
    </row>
    <row r="95" spans="3:61" x14ac:dyDescent="0.2">
      <c r="AC95" s="26" t="str">
        <f t="shared" si="68"/>
        <v>Total EBITDA</v>
      </c>
      <c r="AD95" s="26"/>
      <c r="AE95" s="26"/>
      <c r="AF95" s="26"/>
      <c r="AG95" s="26"/>
      <c r="AH95" s="26"/>
      <c r="AI95" s="26"/>
      <c r="AJ95" s="26"/>
      <c r="AK95" s="26"/>
      <c r="AL95" s="26"/>
      <c r="AM95" s="708" t="e">
        <f t="shared" si="69"/>
        <v>#DIV/0!</v>
      </c>
      <c r="AN95" s="708">
        <f t="shared" si="69"/>
        <v>1</v>
      </c>
      <c r="AO95" s="708">
        <f t="shared" si="69"/>
        <v>1</v>
      </c>
      <c r="AP95" s="708">
        <f t="shared" si="69"/>
        <v>1</v>
      </c>
      <c r="AQ95" s="708">
        <f t="shared" si="69"/>
        <v>1</v>
      </c>
      <c r="AR95" s="708">
        <f t="shared" si="69"/>
        <v>1</v>
      </c>
      <c r="AS95" s="708">
        <f t="shared" si="69"/>
        <v>1</v>
      </c>
      <c r="AT95" s="708">
        <f t="shared" si="69"/>
        <v>1</v>
      </c>
      <c r="AU95" s="708">
        <f t="shared" si="69"/>
        <v>1</v>
      </c>
      <c r="AV95" s="708">
        <f t="shared" si="69"/>
        <v>1</v>
      </c>
      <c r="AW95" s="708">
        <f t="shared" si="69"/>
        <v>1</v>
      </c>
      <c r="AX95" s="708">
        <f t="shared" si="69"/>
        <v>1</v>
      </c>
      <c r="AY95" s="708">
        <f t="shared" si="69"/>
        <v>1</v>
      </c>
      <c r="AZ95" s="708">
        <f t="shared" si="69"/>
        <v>1</v>
      </c>
      <c r="BA95" s="708">
        <f t="shared" si="69"/>
        <v>1</v>
      </c>
      <c r="BB95" s="708">
        <f t="shared" si="69"/>
        <v>1</v>
      </c>
    </row>
    <row r="96" spans="3:61" x14ac:dyDescent="0.2">
      <c r="BC96" s="70"/>
    </row>
    <row r="97" spans="29:55" x14ac:dyDescent="0.2">
      <c r="BC97" s="34"/>
    </row>
    <row r="98" spans="29:55" x14ac:dyDescent="0.2">
      <c r="BC98" s="63"/>
    </row>
    <row r="99" spans="29:55" x14ac:dyDescent="0.2">
      <c r="BC99" s="12"/>
    </row>
    <row r="100" spans="29:55" x14ac:dyDescent="0.2">
      <c r="AC100" s="71"/>
      <c r="AD100" s="12"/>
      <c r="AE100" s="12"/>
      <c r="AF100" s="12"/>
      <c r="AG100" s="12"/>
      <c r="AH100" s="12"/>
      <c r="AI100" s="73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</row>
    <row r="101" spans="29:55" x14ac:dyDescent="0.2">
      <c r="AC101" s="71"/>
      <c r="AD101" s="12"/>
      <c r="AE101" s="12"/>
      <c r="AF101" s="12"/>
      <c r="AG101" s="12"/>
      <c r="AH101" s="12"/>
      <c r="AI101" s="73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9"/>
    </row>
    <row r="102" spans="29:55" x14ac:dyDescent="0.2">
      <c r="AC102" s="71"/>
      <c r="AD102" s="9"/>
      <c r="AE102" s="9"/>
      <c r="AF102" s="9"/>
      <c r="AG102" s="9"/>
      <c r="AH102" s="9"/>
      <c r="AI102" s="33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67"/>
    </row>
    <row r="103" spans="29:55" x14ac:dyDescent="0.2">
      <c r="AC103" s="71"/>
      <c r="AD103" s="67"/>
      <c r="AE103" s="67"/>
      <c r="AF103" s="67"/>
      <c r="AG103" s="67"/>
      <c r="AH103" s="67"/>
      <c r="AI103" s="74"/>
      <c r="AJ103" s="67"/>
      <c r="AK103" s="67"/>
      <c r="AL103" s="67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  <c r="AX103" s="67"/>
      <c r="AY103" s="67"/>
      <c r="AZ103" s="67"/>
      <c r="BA103" s="67"/>
      <c r="BB103" s="67"/>
      <c r="BC103" s="51"/>
    </row>
    <row r="104" spans="29:55" x14ac:dyDescent="0.2">
      <c r="AC104" s="71"/>
      <c r="AD104" s="51"/>
      <c r="AE104" s="51"/>
      <c r="AF104" s="51"/>
      <c r="AG104" s="51"/>
      <c r="AH104" s="51"/>
      <c r="AI104" s="75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63"/>
    </row>
    <row r="105" spans="29:55" x14ac:dyDescent="0.2">
      <c r="AC105" s="71"/>
      <c r="AD105" s="63"/>
      <c r="AE105" s="63"/>
      <c r="AF105" s="63"/>
      <c r="AG105" s="63"/>
      <c r="AH105" s="63"/>
      <c r="AI105" s="72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76"/>
    </row>
    <row r="106" spans="29:55" x14ac:dyDescent="0.2">
      <c r="AC106" s="71"/>
      <c r="AD106" s="76"/>
      <c r="AE106" s="76"/>
      <c r="AF106" s="76"/>
      <c r="AG106" s="76"/>
      <c r="AH106" s="76"/>
      <c r="AI106" s="77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8"/>
    </row>
    <row r="107" spans="29:55" x14ac:dyDescent="0.2"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</row>
    <row r="108" spans="29:55" x14ac:dyDescent="0.2">
      <c r="AC108" s="79"/>
      <c r="AD108" s="79"/>
      <c r="AE108" s="79"/>
      <c r="AF108" s="79"/>
      <c r="AG108" s="79"/>
      <c r="AH108" s="79"/>
    </row>
    <row r="174" spans="29:61" x14ac:dyDescent="0.2">
      <c r="BC174" s="3"/>
      <c r="BD174" s="3"/>
      <c r="BE174" s="3"/>
      <c r="BF174" s="3"/>
      <c r="BG174" s="3"/>
      <c r="BH174" s="3"/>
      <c r="BI174" s="3"/>
    </row>
    <row r="175" spans="29:61" x14ac:dyDescent="0.2"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</row>
    <row r="176" spans="29:61" x14ac:dyDescent="0.2">
      <c r="AC176" s="26" t="s">
        <v>106</v>
      </c>
      <c r="BC176" s="51"/>
      <c r="BD176" s="51"/>
      <c r="BE176" s="31"/>
      <c r="BF176" s="31"/>
      <c r="BG176" s="31"/>
      <c r="BH176" s="31"/>
      <c r="BI176" s="31"/>
    </row>
    <row r="177" spans="2:61" x14ac:dyDescent="0.2">
      <c r="AC177" s="1" t="s">
        <v>649</v>
      </c>
      <c r="AD177" s="3" t="s">
        <v>107</v>
      </c>
      <c r="AE177" s="3"/>
      <c r="AF177" s="3"/>
      <c r="AG177" s="3"/>
      <c r="AH177" s="3"/>
      <c r="AI177" s="3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31"/>
      <c r="BF177" s="31"/>
      <c r="BG177" s="31"/>
      <c r="BH177" s="31"/>
      <c r="BI177" s="31"/>
    </row>
    <row r="178" spans="2:61" x14ac:dyDescent="0.2"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34"/>
      <c r="BD178" s="34"/>
      <c r="BE178" s="34"/>
      <c r="BF178" s="34"/>
      <c r="BG178" s="34"/>
      <c r="BH178" s="34"/>
      <c r="BI178" s="34"/>
    </row>
    <row r="179" spans="2:61" x14ac:dyDescent="0.2">
      <c r="B179" s="1" t="s">
        <v>108</v>
      </c>
      <c r="C179" s="51">
        <f>Valuation!$C$53/Valuation!$C$53</f>
        <v>1</v>
      </c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C179" s="1" t="s">
        <v>109</v>
      </c>
      <c r="AD179" s="51">
        <f>'BS,CF and P&amp;L'!BG91</f>
        <v>0.18265460030165911</v>
      </c>
      <c r="AE179" s="51"/>
      <c r="AF179" s="51"/>
      <c r="AG179" s="51"/>
      <c r="AH179" s="51"/>
      <c r="AI179" s="51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</row>
    <row r="180" spans="2:61" x14ac:dyDescent="0.2">
      <c r="B180" s="1" t="s">
        <v>650</v>
      </c>
      <c r="C180" s="51">
        <f>'BS,CF and P&amp;L'!BG85</f>
        <v>6.771717171717162E-2</v>
      </c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C180" s="1" t="s">
        <v>110</v>
      </c>
      <c r="AD180" s="51">
        <f>'BS,CF and P&amp;L'!BG90</f>
        <v>2.2247360482654605E-2</v>
      </c>
      <c r="AE180" s="51"/>
      <c r="AF180" s="51"/>
      <c r="AG180" s="51"/>
      <c r="AH180" s="51"/>
      <c r="AI180" s="51"/>
    </row>
    <row r="181" spans="2:61" x14ac:dyDescent="0.2">
      <c r="AB181" s="51"/>
      <c r="AC181" s="1" t="s">
        <v>111</v>
      </c>
      <c r="AD181" s="34">
        <f>'BS,CF and P&amp;L'!BG161</f>
        <v>1</v>
      </c>
      <c r="AE181" s="34"/>
      <c r="AF181" s="34"/>
      <c r="AG181" s="34"/>
      <c r="AH181" s="34"/>
      <c r="AI181" s="34"/>
    </row>
    <row r="182" spans="2:61" x14ac:dyDescent="0.2">
      <c r="AB182" s="51"/>
    </row>
    <row r="222" spans="2:27" x14ac:dyDescent="0.2">
      <c r="C222" s="20">
        <f>Valuation!$C$53</f>
        <v>27504.184171519846</v>
      </c>
    </row>
    <row r="223" spans="2:27" x14ac:dyDescent="0.2">
      <c r="B223" s="1" t="s">
        <v>651</v>
      </c>
      <c r="C223" s="20">
        <f>Valuation!$C$53</f>
        <v>27504.184171519846</v>
      </c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</row>
    <row r="224" spans="2:27" x14ac:dyDescent="0.2">
      <c r="B224" s="1" t="s">
        <v>648</v>
      </c>
      <c r="C224" s="67">
        <f>'BS,CF and P&amp;L'!BG18</f>
        <v>6.8923821039903244E-2</v>
      </c>
      <c r="D224" s="67"/>
      <c r="E224" s="67"/>
      <c r="F224" s="67"/>
      <c r="G224" s="67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  <c r="AA224" s="67"/>
    </row>
    <row r="225" spans="2:28" x14ac:dyDescent="0.2">
      <c r="B225" s="1" t="s">
        <v>112</v>
      </c>
      <c r="C225" s="20">
        <f>Valuation!$C$53</f>
        <v>27504.184171519846</v>
      </c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</row>
    <row r="226" spans="2:28" x14ac:dyDescent="0.2">
      <c r="B226" s="1" t="s">
        <v>113</v>
      </c>
      <c r="C226" s="67">
        <f>'BS,CF and P&amp;L'!BG50</f>
        <v>-7.1318624935864716E-2</v>
      </c>
      <c r="D226" s="67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</row>
    <row r="227" spans="2:28" x14ac:dyDescent="0.2">
      <c r="B227" s="1" t="s">
        <v>114</v>
      </c>
      <c r="C227" s="20">
        <f>Valuation!$C$53</f>
        <v>27504.184171519846</v>
      </c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</row>
    <row r="228" spans="2:28" x14ac:dyDescent="0.2">
      <c r="B228" s="1" t="s">
        <v>115</v>
      </c>
      <c r="C228" s="67">
        <f>'BS,CF and P&amp;L'!BG74</f>
        <v>-2.9106029106028997E-2</v>
      </c>
      <c r="D228" s="67"/>
      <c r="E228" s="67"/>
      <c r="F228" s="67"/>
      <c r="G228" s="67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</row>
    <row r="229" spans="2:28" x14ac:dyDescent="0.2">
      <c r="B229" s="1" t="s">
        <v>116</v>
      </c>
      <c r="AB229" s="20"/>
    </row>
    <row r="230" spans="2:28" x14ac:dyDescent="0.2">
      <c r="B230" s="1" t="s">
        <v>41</v>
      </c>
      <c r="AB230" s="67"/>
    </row>
    <row r="231" spans="2:28" x14ac:dyDescent="0.2">
      <c r="B231" s="1" t="str">
        <f>AC22</f>
        <v>PE adj for asbestos (A$1.41/share)</v>
      </c>
    </row>
    <row r="232" spans="2:28" x14ac:dyDescent="0.2">
      <c r="B232" s="1" t="s">
        <v>652</v>
      </c>
    </row>
    <row r="235" spans="2:28" x14ac:dyDescent="0.2">
      <c r="B235" s="1" t="s">
        <v>117</v>
      </c>
      <c r="C235" s="34">
        <v>-2146826265</v>
      </c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</row>
    <row r="237" spans="2:28" x14ac:dyDescent="0.2">
      <c r="AB237" s="34"/>
    </row>
    <row r="238" spans="2:28" x14ac:dyDescent="0.2">
      <c r="B238" s="1" t="s">
        <v>108</v>
      </c>
      <c r="C238" s="67">
        <f>C225/C223</f>
        <v>1</v>
      </c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</row>
    <row r="239" spans="2:28" x14ac:dyDescent="0.2">
      <c r="B239" s="1" t="s">
        <v>118</v>
      </c>
      <c r="C239" s="67">
        <f>C227/C223</f>
        <v>1</v>
      </c>
      <c r="D239" s="67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  <c r="AA239" s="67"/>
    </row>
    <row r="240" spans="2:28" x14ac:dyDescent="0.2">
      <c r="AB240" s="67"/>
    </row>
    <row r="241" spans="2:61" x14ac:dyDescent="0.2">
      <c r="AB241" s="67"/>
    </row>
    <row r="243" spans="2:61" x14ac:dyDescent="0.2">
      <c r="B243" s="1" t="s">
        <v>119</v>
      </c>
      <c r="C243" s="12" t="s">
        <v>107</v>
      </c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</row>
    <row r="244" spans="2:61" x14ac:dyDescent="0.2">
      <c r="B244" s="1" t="s">
        <v>653</v>
      </c>
    </row>
    <row r="245" spans="2:61" x14ac:dyDescent="0.2">
      <c r="B245" s="1" t="s">
        <v>120</v>
      </c>
      <c r="C245" s="20">
        <f>'BS,CF and P&amp;L'!BG10</f>
        <v>913.7</v>
      </c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12"/>
    </row>
    <row r="246" spans="2:61" x14ac:dyDescent="0.2">
      <c r="B246" s="1" t="s">
        <v>121</v>
      </c>
      <c r="C246" s="51">
        <f>C245/Valuation!$C$53-1</f>
        <v>-0.96677959999460295</v>
      </c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</row>
    <row r="247" spans="2:61" x14ac:dyDescent="0.2">
      <c r="B247" s="1" t="s">
        <v>122</v>
      </c>
      <c r="C247" s="20">
        <f>'BS,CF and P&amp;L'!BG13</f>
        <v>397.4</v>
      </c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BC247" s="50"/>
      <c r="BD247" s="50"/>
      <c r="BE247" s="16"/>
      <c r="BF247" s="16"/>
      <c r="BG247" s="16"/>
      <c r="BH247" s="16"/>
      <c r="BI247" s="16"/>
    </row>
    <row r="248" spans="2:61" x14ac:dyDescent="0.2">
      <c r="B248" s="1" t="s">
        <v>121</v>
      </c>
      <c r="C248" s="51">
        <f>C247/Valuation!$C$53-1</f>
        <v>-0.98555128930486502</v>
      </c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J248" s="50"/>
      <c r="AK248" s="50"/>
      <c r="AL248" s="50"/>
      <c r="AM248" s="50"/>
      <c r="AN248" s="50"/>
      <c r="AO248" s="50"/>
      <c r="AP248" s="50"/>
      <c r="AQ248" s="50"/>
      <c r="AR248" s="50"/>
      <c r="AS248" s="50"/>
      <c r="AT248" s="50"/>
      <c r="AU248" s="50"/>
      <c r="AV248" s="50"/>
      <c r="AW248" s="50"/>
      <c r="AX248" s="50"/>
      <c r="AY248" s="50"/>
      <c r="AZ248" s="50"/>
      <c r="BA248" s="50"/>
      <c r="BB248" s="50"/>
    </row>
    <row r="249" spans="2:61" x14ac:dyDescent="0.2">
      <c r="B249" s="22" t="s">
        <v>123</v>
      </c>
      <c r="C249" s="20">
        <f>'BS,CF and P&amp;L'!BG16</f>
        <v>1321.3</v>
      </c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BC249" s="51"/>
      <c r="BD249" s="51"/>
      <c r="BE249" s="31"/>
      <c r="BF249" s="31"/>
      <c r="BG249" s="31"/>
      <c r="BH249" s="31"/>
      <c r="BI249" s="31"/>
    </row>
    <row r="250" spans="2:61" x14ac:dyDescent="0.2">
      <c r="B250" s="22" t="s">
        <v>121</v>
      </c>
      <c r="C250" s="51">
        <f>C249/Valuation!$C$53-1</f>
        <v>-0.95196003663441919</v>
      </c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20"/>
      <c r="AD250" s="50"/>
      <c r="AE250" s="50"/>
      <c r="AF250" s="50"/>
      <c r="AG250" s="50"/>
      <c r="AH250" s="50"/>
      <c r="AI250" s="50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/>
    </row>
    <row r="251" spans="2:61" x14ac:dyDescent="0.2">
      <c r="B251" s="1" t="s">
        <v>49</v>
      </c>
      <c r="C251" s="20">
        <f>'BS,CF and P&amp;L'!BG20</f>
        <v>4.7</v>
      </c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</row>
    <row r="252" spans="2:61" x14ac:dyDescent="0.2">
      <c r="B252" s="80" t="s">
        <v>654</v>
      </c>
      <c r="C252" s="20">
        <f>'BS,CF and P&amp;L'!BG17</f>
        <v>1326</v>
      </c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51"/>
      <c r="AC252" s="20"/>
      <c r="AD252" s="51"/>
      <c r="AE252" s="51"/>
      <c r="AF252" s="51"/>
      <c r="AG252" s="51"/>
      <c r="AH252" s="51"/>
      <c r="AI252" s="51"/>
    </row>
    <row r="253" spans="2:61" x14ac:dyDescent="0.2">
      <c r="B253" s="1" t="s">
        <v>121</v>
      </c>
      <c r="C253" s="51">
        <f>C252/Valuation!$C$53-1</f>
        <v>-0.95178915354366145</v>
      </c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20"/>
      <c r="AC253" s="20"/>
    </row>
    <row r="254" spans="2:61" x14ac:dyDescent="0.2">
      <c r="AB254" s="20"/>
      <c r="AC254" s="20"/>
    </row>
    <row r="255" spans="2:61" x14ac:dyDescent="0.2">
      <c r="B255" s="1" t="s">
        <v>124</v>
      </c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51"/>
      <c r="AC255" s="20"/>
    </row>
    <row r="256" spans="2:61" x14ac:dyDescent="0.2">
      <c r="B256" s="1" t="s">
        <v>120</v>
      </c>
      <c r="C256" s="20">
        <f>'BS,CF and P&amp;L'!BG39</f>
        <v>165.8</v>
      </c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C256" s="20"/>
    </row>
    <row r="257" spans="2:61" x14ac:dyDescent="0.2">
      <c r="B257" s="1" t="s">
        <v>125</v>
      </c>
      <c r="C257" s="51">
        <f>C256/C245</f>
        <v>0.18145999781109773</v>
      </c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20"/>
      <c r="AC257" s="20"/>
    </row>
    <row r="258" spans="2:61" x14ac:dyDescent="0.2">
      <c r="B258" s="1" t="s">
        <v>122</v>
      </c>
      <c r="C258" s="20">
        <f>'BS,CF and P&amp;L'!BG42</f>
        <v>75.199999999999989</v>
      </c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BC258" s="50"/>
      <c r="BD258" s="50"/>
      <c r="BE258" s="16"/>
      <c r="BF258" s="16"/>
      <c r="BG258" s="16"/>
      <c r="BH258" s="16"/>
      <c r="BI258" s="16"/>
    </row>
    <row r="259" spans="2:61" x14ac:dyDescent="0.2">
      <c r="B259" s="1" t="s">
        <v>125</v>
      </c>
      <c r="C259" s="51">
        <f>C258/C247</f>
        <v>0.18922999496728735</v>
      </c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J259" s="50"/>
      <c r="AK259" s="50"/>
      <c r="AL259" s="50"/>
      <c r="AM259" s="50"/>
      <c r="AN259" s="50"/>
      <c r="AO259" s="50"/>
      <c r="AP259" s="50"/>
      <c r="AQ259" s="50"/>
      <c r="AR259" s="50"/>
      <c r="AS259" s="50"/>
      <c r="AT259" s="50"/>
      <c r="AU259" s="50"/>
      <c r="AV259" s="50"/>
      <c r="AW259" s="50"/>
      <c r="AX259" s="50"/>
      <c r="AY259" s="50"/>
      <c r="AZ259" s="50"/>
      <c r="BA259" s="50"/>
      <c r="BB259" s="50"/>
    </row>
    <row r="260" spans="2:61" x14ac:dyDescent="0.2">
      <c r="B260" s="1" t="s">
        <v>49</v>
      </c>
      <c r="C260" s="20">
        <f>'BS,CF and P&amp;L'!BG43+'BS,CF and P&amp;L'!BG44</f>
        <v>-56.4</v>
      </c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BC260" s="51"/>
      <c r="BD260" s="51"/>
      <c r="BE260" s="31"/>
      <c r="BF260" s="31"/>
      <c r="BG260" s="31"/>
      <c r="BH260" s="31"/>
      <c r="BI260" s="31"/>
    </row>
    <row r="261" spans="2:61" x14ac:dyDescent="0.2">
      <c r="B261" s="80" t="s">
        <v>126</v>
      </c>
      <c r="C261" s="20">
        <f>'BS,CF and P&amp;L'!BG48</f>
        <v>181</v>
      </c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51"/>
      <c r="AD261" s="50"/>
      <c r="AE261" s="50"/>
      <c r="AF261" s="50"/>
      <c r="AG261" s="50"/>
      <c r="AH261" s="50"/>
      <c r="AI261" s="50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51"/>
    </row>
    <row r="262" spans="2:61" x14ac:dyDescent="0.2">
      <c r="B262" s="1" t="s">
        <v>125</v>
      </c>
      <c r="C262" s="51">
        <f>C261/C249</f>
        <v>0.13698630136986301</v>
      </c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20"/>
    </row>
    <row r="263" spans="2:61" x14ac:dyDescent="0.2">
      <c r="AB263" s="20"/>
      <c r="AD263" s="51"/>
      <c r="AE263" s="51"/>
      <c r="AF263" s="51"/>
      <c r="AG263" s="51"/>
      <c r="AH263" s="51"/>
      <c r="AI263" s="51"/>
      <c r="BC263" s="51"/>
      <c r="BD263" s="51"/>
      <c r="BE263" s="31"/>
      <c r="BF263" s="31"/>
      <c r="BG263" s="31"/>
      <c r="BH263" s="31"/>
      <c r="BI263" s="31"/>
    </row>
    <row r="264" spans="2:61" x14ac:dyDescent="0.2">
      <c r="B264" s="1" t="s">
        <v>127</v>
      </c>
      <c r="C264" s="20">
        <f>'BS,CF and P&amp;L'!BG65</f>
        <v>-4.5999999999999996</v>
      </c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/>
    </row>
    <row r="265" spans="2:61" x14ac:dyDescent="0.2">
      <c r="B265" s="1" t="s">
        <v>49</v>
      </c>
      <c r="C265" s="20">
        <f>'BS,CF and P&amp;L'!BG66</f>
        <v>1.8</v>
      </c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</row>
    <row r="266" spans="2:61" x14ac:dyDescent="0.2">
      <c r="B266" s="1" t="s">
        <v>128</v>
      </c>
      <c r="C266" s="20">
        <f>'BS,CF and P&amp;L'!BG70</f>
        <v>-38.100000000000009</v>
      </c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D266" s="51"/>
      <c r="AE266" s="51"/>
      <c r="AF266" s="51"/>
      <c r="AG266" s="51"/>
      <c r="AH266" s="51"/>
      <c r="AI266" s="51"/>
    </row>
    <row r="267" spans="2:61" x14ac:dyDescent="0.2">
      <c r="AB267" s="20"/>
    </row>
    <row r="268" spans="2:61" x14ac:dyDescent="0.2">
      <c r="B268" s="1" t="s">
        <v>129</v>
      </c>
      <c r="C268" s="44">
        <f>'BS,CF and P&amp;L'!BG76</f>
        <v>140.10000000000002</v>
      </c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20"/>
    </row>
    <row r="269" spans="2:61" x14ac:dyDescent="0.2">
      <c r="B269" s="1" t="s">
        <v>116</v>
      </c>
      <c r="C269" s="19">
        <f>Valuation!$C$53</f>
        <v>27504.184171519846</v>
      </c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</row>
    <row r="270" spans="2:61" x14ac:dyDescent="0.2">
      <c r="AB270" s="44"/>
    </row>
    <row r="271" spans="2:61" x14ac:dyDescent="0.2">
      <c r="B271" s="1" t="s">
        <v>655</v>
      </c>
      <c r="C271" s="9">
        <f>Valuation!$C$53</f>
        <v>27504.184171519846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19"/>
    </row>
    <row r="272" spans="2:61" x14ac:dyDescent="0.2">
      <c r="B272" s="1" t="str">
        <f>AC22</f>
        <v>PE adj for asbestos (A$1.41/share)</v>
      </c>
      <c r="C272" s="9">
        <f>Valuation!$C$53</f>
        <v>27504.184171519846</v>
      </c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</row>
    <row r="273" spans="2:29" x14ac:dyDescent="0.2">
      <c r="B273" s="1" t="s">
        <v>656</v>
      </c>
      <c r="C273" s="67">
        <f>Valuation!$C$53</f>
        <v>27504.184171519846</v>
      </c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9"/>
      <c r="AC273" s="44"/>
    </row>
    <row r="274" spans="2:29" x14ac:dyDescent="0.2">
      <c r="AB274" s="9"/>
    </row>
    <row r="275" spans="2:29" x14ac:dyDescent="0.2">
      <c r="AB275" s="67"/>
    </row>
  </sheetData>
  <mergeCells count="4">
    <mergeCell ref="BD9:BE9"/>
    <mergeCell ref="BD10:BE10"/>
    <mergeCell ref="BD11:BE11"/>
    <mergeCell ref="BD17:BG17"/>
  </mergeCells>
  <pageMargins left="0" right="0" top="0" bottom="0" header="0" footer="0"/>
  <pageSetup paperSize="9" fitToHeight="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4790-B4A0-4FEA-8116-ACCE678E4DE3}">
  <sheetPr codeName="Sheet4">
    <pageSetUpPr fitToPage="1"/>
  </sheetPr>
  <dimension ref="A1:AN119"/>
  <sheetViews>
    <sheetView topLeftCell="B77" zoomScaleNormal="100" workbookViewId="0">
      <selection activeCell="B14" sqref="B14:E22"/>
    </sheetView>
  </sheetViews>
  <sheetFormatPr defaultColWidth="8.8984375" defaultRowHeight="10" outlineLevelRow="1" x14ac:dyDescent="0.2"/>
  <cols>
    <col min="1" max="1" width="2.3984375" style="39" customWidth="1"/>
    <col min="2" max="2" width="27.69921875" style="39" customWidth="1"/>
    <col min="3" max="3" width="10.3984375" style="39" customWidth="1"/>
    <col min="4" max="4" width="7.8984375" style="39" bestFit="1" customWidth="1"/>
    <col min="5" max="26" width="10.3984375" style="39" customWidth="1"/>
    <col min="27" max="30" width="8.8984375" style="39"/>
    <col min="31" max="31" width="12.296875" style="39" bestFit="1" customWidth="1"/>
    <col min="32" max="40" width="9.09765625" style="39" customWidth="1"/>
    <col min="41" max="16384" width="8.8984375" style="39"/>
  </cols>
  <sheetData>
    <row r="1" spans="2:22" x14ac:dyDescent="0.2">
      <c r="B1" s="760" t="s">
        <v>131</v>
      </c>
      <c r="C1" s="81"/>
    </row>
    <row r="2" spans="2:22" x14ac:dyDescent="0.2">
      <c r="B2" s="760"/>
    </row>
    <row r="3" spans="2:22" ht="12.75" customHeight="1" x14ac:dyDescent="0.2">
      <c r="B3" s="82"/>
      <c r="E3" s="751" t="s">
        <v>45</v>
      </c>
      <c r="F3" s="752"/>
      <c r="G3" s="752"/>
      <c r="H3" s="752"/>
      <c r="I3" s="753"/>
      <c r="J3" s="541"/>
      <c r="K3" s="751" t="s">
        <v>43</v>
      </c>
      <c r="L3" s="752"/>
      <c r="M3" s="752"/>
      <c r="N3" s="752"/>
      <c r="O3" s="753"/>
      <c r="P3" s="541"/>
      <c r="Q3" s="751" t="s">
        <v>132</v>
      </c>
      <c r="R3" s="752"/>
      <c r="S3" s="752"/>
      <c r="T3" s="752"/>
      <c r="U3" s="753"/>
    </row>
    <row r="4" spans="2:22" ht="11.25" customHeight="1" x14ac:dyDescent="0.2">
      <c r="B4" s="83"/>
      <c r="C4" s="84"/>
      <c r="D4" s="85"/>
      <c r="E4" s="754" t="s">
        <v>133</v>
      </c>
      <c r="F4" s="755"/>
      <c r="G4" s="542"/>
      <c r="H4" s="756" t="s">
        <v>134</v>
      </c>
      <c r="I4" s="757"/>
      <c r="J4" s="543"/>
      <c r="K4" s="754" t="s">
        <v>133</v>
      </c>
      <c r="L4" s="755"/>
      <c r="M4" s="542"/>
      <c r="N4" s="756" t="s">
        <v>134</v>
      </c>
      <c r="O4" s="757"/>
      <c r="P4" s="543"/>
      <c r="Q4" s="754" t="s">
        <v>133</v>
      </c>
      <c r="R4" s="755"/>
      <c r="S4" s="542"/>
      <c r="T4" s="756" t="s">
        <v>134</v>
      </c>
      <c r="U4" s="757"/>
    </row>
    <row r="5" spans="2:22" x14ac:dyDescent="0.2">
      <c r="B5" s="86" t="s">
        <v>135</v>
      </c>
      <c r="C5" s="87" t="s">
        <v>136</v>
      </c>
      <c r="D5" s="88" t="s">
        <v>137</v>
      </c>
      <c r="E5" s="89"/>
      <c r="F5" s="89" t="s">
        <v>376</v>
      </c>
      <c r="H5" s="89"/>
      <c r="I5" s="89" t="s">
        <v>376</v>
      </c>
      <c r="K5" s="89"/>
      <c r="L5" s="89" t="s">
        <v>376</v>
      </c>
      <c r="N5" s="89"/>
      <c r="O5" s="89" t="s">
        <v>376</v>
      </c>
      <c r="Q5" s="89"/>
      <c r="R5" s="89" t="s">
        <v>376</v>
      </c>
      <c r="S5" s="89"/>
      <c r="T5" s="89"/>
      <c r="U5" s="89" t="s">
        <v>376</v>
      </c>
      <c r="V5" s="89"/>
    </row>
    <row r="6" spans="2:22" x14ac:dyDescent="0.2">
      <c r="B6" s="90" t="s">
        <v>141</v>
      </c>
      <c r="C6" s="91">
        <v>0.5</v>
      </c>
      <c r="D6" s="92">
        <f>H38</f>
        <v>36.629086053001707</v>
      </c>
      <c r="E6" s="93"/>
      <c r="F6" s="93">
        <f>((($D6*$D$113)*$C$50)+$C$96)/(D$70+D73)</f>
        <v>14.875939389125032</v>
      </c>
      <c r="H6" s="93"/>
      <c r="I6" s="93">
        <f>((($D6*$D$113)*$C$50)+$C$96+$C$97)/(D$70+D73)</f>
        <v>15.313055691205308</v>
      </c>
      <c r="K6" s="93"/>
      <c r="L6" s="93">
        <f>((($D6*$D$113)*$C$50)+$C$96)/(D$70)</f>
        <v>19.978347282475898</v>
      </c>
      <c r="N6" s="93"/>
      <c r="O6" s="93">
        <f>((($D6*$D$113)*$C$50)+$C$96+$C$97)/(D$70)</f>
        <v>20.565393320870996</v>
      </c>
      <c r="Q6" s="93"/>
      <c r="R6" s="93">
        <f>$D$6*$D$113/('Financial Summary'!L$16/100)</f>
        <v>16.70440958680954</v>
      </c>
      <c r="S6" s="93"/>
      <c r="T6" s="93"/>
      <c r="U6" s="93">
        <f>(($D$6*$D$113)+$D$110)/('Financial Summary'!M$16/100)</f>
        <v>24.446482577716079</v>
      </c>
      <c r="V6" s="93"/>
    </row>
    <row r="7" spans="2:22" x14ac:dyDescent="0.2">
      <c r="B7" s="94" t="s">
        <v>34</v>
      </c>
      <c r="C7" s="95">
        <v>0.5</v>
      </c>
      <c r="D7" s="96">
        <f ca="1">+D112</f>
        <v>51.392293376999667</v>
      </c>
      <c r="E7" s="97"/>
      <c r="F7" s="97">
        <f ca="1">((($D7*$D$113)*$C$50)+$C$96)/(D$70+D74)</f>
        <v>30.622621021974581</v>
      </c>
      <c r="H7" s="97"/>
      <c r="I7" s="97">
        <f ca="1">((($D7*$D$113)*$C$50)+$C$96+$C$97)/(D$70+D74)</f>
        <v>31.308015114640298</v>
      </c>
      <c r="K7" s="97"/>
      <c r="L7" s="97">
        <f ca="1">((($D7*$D$113)*$C$50)+$C$96)/(D$70)</f>
        <v>26.228542890276046</v>
      </c>
      <c r="N7" s="97"/>
      <c r="O7" s="97">
        <f ca="1">((($D7*$D$113)*$C$50)+$C$96+$C$97)/(D$70)</f>
        <v>26.815588928671144</v>
      </c>
      <c r="Q7" s="97"/>
      <c r="R7" s="97">
        <f ca="1">$D$7*$D$113/('Financial Summary'!L$16/100)</f>
        <v>23.437055375410615</v>
      </c>
      <c r="S7" s="97"/>
      <c r="T7" s="97"/>
      <c r="U7" s="97">
        <f ca="1">(($D$7*$D$113)+$D$110)/('Financial Summary'!M$16/100)</f>
        <v>33.779942687699005</v>
      </c>
      <c r="V7" s="97"/>
    </row>
    <row r="8" spans="2:22" x14ac:dyDescent="0.2">
      <c r="B8" s="98" t="s">
        <v>142</v>
      </c>
      <c r="C8" s="99">
        <f>SUM(C6:C7)</f>
        <v>1</v>
      </c>
      <c r="D8" s="100">
        <f ca="1">IFERROR((D6*C6)+(D7*C7),"")</f>
        <v>44.010689715000687</v>
      </c>
      <c r="E8" s="93"/>
      <c r="F8" s="93"/>
      <c r="H8" s="93"/>
      <c r="I8" s="93"/>
      <c r="K8" s="93"/>
      <c r="L8" s="93"/>
      <c r="N8" s="93"/>
      <c r="O8" s="93"/>
      <c r="Q8" s="93"/>
      <c r="R8" s="93"/>
      <c r="S8" s="93"/>
      <c r="T8" s="93"/>
      <c r="U8" s="93"/>
      <c r="V8" s="93"/>
    </row>
    <row r="9" spans="2:22" x14ac:dyDescent="0.2">
      <c r="B9" s="101" t="s">
        <v>143</v>
      </c>
      <c r="C9" s="102"/>
      <c r="D9" s="103"/>
      <c r="E9" s="93"/>
      <c r="F9" s="93"/>
      <c r="H9" s="93"/>
      <c r="I9" s="93"/>
      <c r="K9" s="93"/>
      <c r="L9" s="93"/>
      <c r="N9" s="93"/>
      <c r="O9" s="93"/>
      <c r="Q9" s="93"/>
      <c r="R9" s="93"/>
      <c r="S9" s="93"/>
      <c r="T9" s="93"/>
      <c r="U9" s="93"/>
      <c r="V9" s="93"/>
    </row>
    <row r="10" spans="2:22" x14ac:dyDescent="0.2">
      <c r="B10" s="90" t="s">
        <v>144</v>
      </c>
      <c r="C10" s="104"/>
      <c r="D10" s="105">
        <f ca="1">D8*(1+D9)</f>
        <v>44.010689715000687</v>
      </c>
      <c r="E10" s="93"/>
      <c r="F10" s="93"/>
      <c r="H10" s="93"/>
      <c r="I10" s="93"/>
      <c r="K10" s="93"/>
      <c r="L10" s="93"/>
      <c r="N10" s="93"/>
      <c r="O10" s="93"/>
      <c r="Q10" s="93"/>
      <c r="R10" s="93"/>
      <c r="S10" s="93"/>
      <c r="T10" s="93"/>
      <c r="U10" s="93"/>
      <c r="V10" s="93"/>
    </row>
    <row r="11" spans="2:22" x14ac:dyDescent="0.2">
      <c r="B11" s="106" t="s">
        <v>15</v>
      </c>
      <c r="C11" s="107"/>
      <c r="D11" s="108">
        <f ca="1">ROUND(D10,0)</f>
        <v>44</v>
      </c>
      <c r="E11" s="97"/>
      <c r="F11" s="97">
        <f ca="1">((($D11*$D$113)*$C$50)+$C$96)/(D$70+D78)</f>
        <v>23.095726448481486</v>
      </c>
      <c r="H11" s="97"/>
      <c r="I11" s="97">
        <f ca="1">((($D11*$D$113)*$C$50)+$C$96+$C$97)/(D$70+D78)</f>
        <v>23.682691338370649</v>
      </c>
      <c r="K11" s="97"/>
      <c r="L11" s="97">
        <f ca="1">((($D11*$D$113)*$C$50)+$C$96)/(D$70)</f>
        <v>23.09891945666153</v>
      </c>
      <c r="N11" s="97"/>
      <c r="O11" s="97">
        <f ca="1">((($D11*$D$113)*$C$50)+$C$96+$C$97)/(D$70)</f>
        <v>23.685965495056628</v>
      </c>
      <c r="Q11" s="97"/>
      <c r="R11" s="97">
        <f ca="1">$D$11*$D$113/('Financial Summary'!L$16/100)</f>
        <v>20.065857519788921</v>
      </c>
      <c r="S11" s="97"/>
      <c r="T11" s="97"/>
      <c r="U11" s="97">
        <f ca="1">(($D$11*$D$113)+$D$110)/('Financial Summary'!M$16/100)</f>
        <v>29.1064544787132</v>
      </c>
      <c r="V11" s="97"/>
    </row>
    <row r="12" spans="2:22" x14ac:dyDescent="0.2">
      <c r="B12" s="94" t="s">
        <v>145</v>
      </c>
      <c r="C12" s="109"/>
      <c r="D12" s="110">
        <f ca="1">+D11/'Financial Summary'!BE6-1</f>
        <v>0.19338215351234078</v>
      </c>
      <c r="E12" s="111"/>
      <c r="F12" s="85"/>
      <c r="G12" s="85"/>
      <c r="H12" s="85"/>
    </row>
    <row r="13" spans="2:22" x14ac:dyDescent="0.2">
      <c r="B13" s="90"/>
      <c r="E13" s="111"/>
      <c r="F13" s="85"/>
      <c r="G13" s="85"/>
      <c r="H13" s="85"/>
    </row>
    <row r="14" spans="2:22" x14ac:dyDescent="0.2">
      <c r="B14" s="112" t="s">
        <v>32</v>
      </c>
      <c r="C14" s="113" t="s">
        <v>146</v>
      </c>
      <c r="D14" s="114" t="s">
        <v>147</v>
      </c>
      <c r="E14" s="115" t="s">
        <v>148</v>
      </c>
      <c r="F14" s="85"/>
      <c r="G14" s="85"/>
      <c r="H14" s="85"/>
    </row>
    <row r="15" spans="2:22" x14ac:dyDescent="0.2">
      <c r="B15" s="116" t="s">
        <v>141</v>
      </c>
      <c r="C15" s="117">
        <f>+D6</f>
        <v>36.629086053001707</v>
      </c>
      <c r="D15" s="117">
        <v>35.721128480416084</v>
      </c>
      <c r="E15" s="118">
        <f>+C15/D15-1</f>
        <v>2.5417942019480222E-2</v>
      </c>
      <c r="F15" s="85"/>
      <c r="G15" s="85"/>
      <c r="H15" s="85"/>
    </row>
    <row r="16" spans="2:22" x14ac:dyDescent="0.2">
      <c r="B16" s="119" t="s">
        <v>34</v>
      </c>
      <c r="C16" s="120">
        <f ca="1">+D7</f>
        <v>51.392293376999667</v>
      </c>
      <c r="D16" s="120">
        <v>49.128643483221701</v>
      </c>
      <c r="E16" s="121">
        <f ca="1">+C16/D16-1</f>
        <v>4.6075969806718575E-2</v>
      </c>
      <c r="F16" s="85"/>
      <c r="G16" s="85"/>
      <c r="H16" s="85"/>
    </row>
    <row r="17" spans="1:19" x14ac:dyDescent="0.2">
      <c r="B17" s="122" t="s">
        <v>142</v>
      </c>
      <c r="C17" s="123">
        <f ca="1">+AVERAGE(C15:C16)</f>
        <v>44.010689715000687</v>
      </c>
      <c r="D17" s="123">
        <v>42.424885981818889</v>
      </c>
      <c r="E17" s="124">
        <f ca="1">+C17/D17-1</f>
        <v>3.7379092400186886E-2</v>
      </c>
      <c r="F17" s="85"/>
      <c r="G17" s="85"/>
      <c r="H17" s="85"/>
    </row>
    <row r="18" spans="1:19" x14ac:dyDescent="0.2">
      <c r="B18" s="119" t="s">
        <v>149</v>
      </c>
      <c r="C18" s="125"/>
      <c r="D18" s="125"/>
      <c r="E18" s="121"/>
      <c r="F18" s="85"/>
      <c r="G18" s="85"/>
      <c r="H18" s="85"/>
    </row>
    <row r="19" spans="1:19" x14ac:dyDescent="0.2">
      <c r="B19" s="122" t="s">
        <v>144</v>
      </c>
      <c r="C19" s="123">
        <f ca="1">C17*(1-C18)</f>
        <v>44.010689715000687</v>
      </c>
      <c r="D19" s="123">
        <v>42.424885981818889</v>
      </c>
      <c r="E19" s="124">
        <f ca="1">+C19/D19-1</f>
        <v>3.7379092400186886E-2</v>
      </c>
      <c r="F19" s="85"/>
      <c r="G19" s="85"/>
      <c r="H19" s="85"/>
    </row>
    <row r="20" spans="1:19" x14ac:dyDescent="0.2">
      <c r="B20" s="126" t="s">
        <v>150</v>
      </c>
      <c r="C20" s="127">
        <f ca="1">+D11</f>
        <v>44</v>
      </c>
      <c r="D20" s="127">
        <v>42</v>
      </c>
      <c r="E20" s="736">
        <f ca="1">+C20/D20-1</f>
        <v>4.7619047619047672E-2</v>
      </c>
      <c r="F20" s="85"/>
      <c r="G20" s="571"/>
      <c r="H20" s="85"/>
    </row>
    <row r="21" spans="1:19" x14ac:dyDescent="0.2">
      <c r="B21" s="122" t="s">
        <v>151</v>
      </c>
      <c r="C21" s="128">
        <v>52</v>
      </c>
      <c r="D21" s="128">
        <v>50</v>
      </c>
      <c r="E21" s="124">
        <f>+C21/D21-1</f>
        <v>4.0000000000000036E-2</v>
      </c>
      <c r="F21" s="85"/>
      <c r="G21" s="153"/>
      <c r="H21" s="85"/>
      <c r="J21" s="227"/>
    </row>
    <row r="22" spans="1:19" x14ac:dyDescent="0.2">
      <c r="B22" s="129" t="s">
        <v>152</v>
      </c>
      <c r="C22" s="130">
        <v>26</v>
      </c>
      <c r="D22" s="130">
        <v>24</v>
      </c>
      <c r="E22" s="131">
        <f>+C22/D22-1</f>
        <v>8.3333333333333259E-2</v>
      </c>
      <c r="F22" s="85"/>
      <c r="G22" s="85"/>
      <c r="H22" s="85"/>
      <c r="K22" s="62"/>
    </row>
    <row r="23" spans="1:19" x14ac:dyDescent="0.2">
      <c r="E23" s="111"/>
      <c r="F23" s="85"/>
      <c r="G23" s="85"/>
      <c r="H23" s="85"/>
    </row>
    <row r="24" spans="1:19" x14ac:dyDescent="0.2">
      <c r="A24" s="758">
        <f>+D6</f>
        <v>36.629086053001707</v>
      </c>
      <c r="B24" s="758"/>
      <c r="C24" s="132"/>
      <c r="D24" s="132"/>
      <c r="E24" s="132"/>
      <c r="F24" s="132"/>
      <c r="G24" s="132"/>
      <c r="H24" s="132"/>
      <c r="I24" s="132"/>
      <c r="J24" s="132"/>
      <c r="K24" s="132" t="s">
        <v>153</v>
      </c>
      <c r="L24" s="132">
        <f>47.5/44</f>
        <v>1.0795454545454546</v>
      </c>
      <c r="M24" s="132"/>
      <c r="N24" s="132"/>
      <c r="O24" s="132"/>
      <c r="P24" s="132"/>
      <c r="Q24" s="132"/>
      <c r="R24" s="132"/>
      <c r="S24" s="132"/>
    </row>
    <row r="25" spans="1:19" outlineLevel="1" x14ac:dyDescent="0.2">
      <c r="B25" s="133" t="s">
        <v>154</v>
      </c>
      <c r="C25" s="134"/>
      <c r="D25" s="135"/>
      <c r="E25" s="135" t="s">
        <v>155</v>
      </c>
      <c r="F25" s="135" t="s">
        <v>640</v>
      </c>
      <c r="G25" s="135" t="s">
        <v>641</v>
      </c>
      <c r="H25" s="135" t="s">
        <v>642</v>
      </c>
    </row>
    <row r="26" spans="1:19" outlineLevel="1" x14ac:dyDescent="0.2">
      <c r="B26" s="136" t="s">
        <v>156</v>
      </c>
      <c r="C26" s="137"/>
      <c r="D26" s="138"/>
      <c r="E26" s="138">
        <v>27.6</v>
      </c>
      <c r="F26" s="138">
        <v>24.7</v>
      </c>
      <c r="G26" s="138">
        <v>23.5</v>
      </c>
      <c r="H26" s="138">
        <v>21</v>
      </c>
    </row>
    <row r="27" spans="1:19" outlineLevel="1" x14ac:dyDescent="0.2">
      <c r="B27" s="139" t="s">
        <v>677</v>
      </c>
      <c r="C27" s="140"/>
      <c r="D27" s="140"/>
      <c r="E27" s="140"/>
      <c r="F27" s="140">
        <f>+(0.25)*E26+(0.75)*F26</f>
        <v>25.424999999999997</v>
      </c>
      <c r="G27" s="140">
        <f>+(0.25)*F26+(0.75)*G26</f>
        <v>23.8</v>
      </c>
      <c r="H27" s="140">
        <f>+(0.25)*G26+(0.75)*H26</f>
        <v>21.625</v>
      </c>
    </row>
    <row r="28" spans="1:19" outlineLevel="1" x14ac:dyDescent="0.2">
      <c r="B28" s="139"/>
      <c r="D28" s="141"/>
      <c r="E28" s="141"/>
      <c r="F28" s="141"/>
      <c r="G28" s="141"/>
      <c r="H28" s="141"/>
    </row>
    <row r="29" spans="1:19" outlineLevel="1" x14ac:dyDescent="0.2">
      <c r="B29" s="142" t="s">
        <v>157</v>
      </c>
      <c r="C29" s="143"/>
      <c r="D29" s="144"/>
      <c r="E29" s="144"/>
      <c r="F29" s="144" t="str">
        <f>+F25</f>
        <v>FY25e</v>
      </c>
      <c r="G29" s="144" t="str">
        <f>+G25</f>
        <v>FY26e</v>
      </c>
      <c r="H29" s="144" t="str">
        <f>+H25</f>
        <v>FY27e</v>
      </c>
    </row>
    <row r="30" spans="1:19" outlineLevel="1" x14ac:dyDescent="0.2">
      <c r="B30" s="139" t="s">
        <v>158</v>
      </c>
      <c r="C30" s="43"/>
      <c r="D30" s="145"/>
      <c r="E30" s="145"/>
      <c r="F30" s="145">
        <f>'BS,CF and P&amp;L'!EM261</f>
        <v>149.109002545707</v>
      </c>
      <c r="G30" s="145">
        <f>'BS,CF and P&amp;L'!ET261</f>
        <v>107.55904950599265</v>
      </c>
      <c r="H30" s="145">
        <f>'BS,CF and P&amp;L'!FA261</f>
        <v>132.83482859879851</v>
      </c>
    </row>
    <row r="31" spans="1:19" outlineLevel="1" x14ac:dyDescent="0.2">
      <c r="B31" s="139" t="s">
        <v>159</v>
      </c>
      <c r="C31" s="146"/>
      <c r="D31" s="147"/>
      <c r="E31" s="147"/>
      <c r="F31" s="147">
        <f>+F27</f>
        <v>25.424999999999997</v>
      </c>
      <c r="G31" s="147">
        <f>+G27</f>
        <v>23.8</v>
      </c>
      <c r="H31" s="147">
        <f>+H27</f>
        <v>21.625</v>
      </c>
    </row>
    <row r="32" spans="1:19" outlineLevel="1" x14ac:dyDescent="0.2">
      <c r="B32" s="148" t="s">
        <v>160</v>
      </c>
      <c r="C32" s="149"/>
      <c r="D32" s="150"/>
      <c r="E32" s="150"/>
      <c r="F32" s="150">
        <v>0</v>
      </c>
      <c r="G32" s="150">
        <v>-0.1</v>
      </c>
      <c r="H32" s="150">
        <v>-0.1</v>
      </c>
    </row>
    <row r="33" spans="1:33" outlineLevel="1" x14ac:dyDescent="0.2">
      <c r="B33" s="139" t="s">
        <v>161</v>
      </c>
      <c r="C33" s="151"/>
      <c r="D33" s="152"/>
      <c r="E33" s="152"/>
      <c r="F33" s="152">
        <f>+F31*(1+F32)</f>
        <v>25.424999999999997</v>
      </c>
      <c r="G33" s="152">
        <f>+G31*(1+G32)</f>
        <v>21.42</v>
      </c>
      <c r="H33" s="152">
        <f>+H31*(1+H32)</f>
        <v>19.462500000000002</v>
      </c>
    </row>
    <row r="34" spans="1:33" outlineLevel="1" x14ac:dyDescent="0.2">
      <c r="B34" s="139" t="s">
        <v>162</v>
      </c>
      <c r="C34" s="153"/>
      <c r="D34" s="154"/>
      <c r="E34" s="154"/>
      <c r="F34" s="154">
        <f>+(F33*F30/100)</f>
        <v>37.910963897245999</v>
      </c>
      <c r="G34" s="154">
        <f>+(G33*G30/100)</f>
        <v>23.039148404183624</v>
      </c>
      <c r="H34" s="154">
        <f>+(H33*H30/100)</f>
        <v>25.852978516041162</v>
      </c>
    </row>
    <row r="35" spans="1:33" outlineLevel="1" x14ac:dyDescent="0.2">
      <c r="B35" s="139" t="s">
        <v>678</v>
      </c>
      <c r="C35" s="153"/>
      <c r="D35" s="154"/>
      <c r="E35" s="154"/>
      <c r="F35" s="154">
        <v>0.94520000000000004</v>
      </c>
      <c r="G35" s="154">
        <v>0.94520000000000004</v>
      </c>
      <c r="H35" s="154">
        <v>0.94520000000000004</v>
      </c>
    </row>
    <row r="36" spans="1:33" outlineLevel="1" x14ac:dyDescent="0.2">
      <c r="B36" s="139" t="s">
        <v>679</v>
      </c>
      <c r="C36" s="153"/>
      <c r="D36" s="154"/>
      <c r="E36" s="154"/>
      <c r="F36" s="154">
        <f>F34-F35</f>
        <v>36.965763897245999</v>
      </c>
      <c r="G36" s="154">
        <f>G34-G35</f>
        <v>22.093948404183624</v>
      </c>
      <c r="H36" s="154">
        <f>H34-H35</f>
        <v>24.907778516041162</v>
      </c>
    </row>
    <row r="37" spans="1:33" outlineLevel="1" x14ac:dyDescent="0.2">
      <c r="B37" s="139" t="s">
        <v>18</v>
      </c>
      <c r="C37" s="155"/>
      <c r="D37" s="156"/>
      <c r="E37" s="156"/>
      <c r="F37" s="156">
        <f>+$D113</f>
        <v>0.68</v>
      </c>
      <c r="G37" s="156">
        <f>+$D113</f>
        <v>0.68</v>
      </c>
      <c r="H37" s="156">
        <f>+$D113</f>
        <v>0.68</v>
      </c>
    </row>
    <row r="38" spans="1:33" outlineLevel="1" x14ac:dyDescent="0.2">
      <c r="B38" s="157" t="s">
        <v>163</v>
      </c>
      <c r="C38" s="158"/>
      <c r="D38" s="158"/>
      <c r="E38" s="158"/>
      <c r="F38" s="158">
        <f>+F36/F37</f>
        <v>54.361417495949993</v>
      </c>
      <c r="G38" s="158">
        <f>+G36/G37</f>
        <v>32.491100594387682</v>
      </c>
      <c r="H38" s="158">
        <f>+H36/H37</f>
        <v>36.629086053001707</v>
      </c>
    </row>
    <row r="39" spans="1:33" x14ac:dyDescent="0.2">
      <c r="E39" s="111"/>
      <c r="F39" s="85"/>
      <c r="G39" s="85"/>
      <c r="H39" s="85"/>
    </row>
    <row r="40" spans="1:33" ht="12.75" customHeight="1" x14ac:dyDescent="0.2">
      <c r="A40" s="759">
        <f ca="1">+D7</f>
        <v>51.392293376999667</v>
      </c>
      <c r="B40" s="759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</row>
    <row r="41" spans="1:33" outlineLevel="1" x14ac:dyDescent="0.2">
      <c r="B41" s="133" t="s">
        <v>164</v>
      </c>
      <c r="C41" s="159"/>
      <c r="D41" s="160"/>
      <c r="AG41" s="161"/>
    </row>
    <row r="42" spans="1:33" outlineLevel="1" x14ac:dyDescent="0.2">
      <c r="B42" s="136" t="s">
        <v>165</v>
      </c>
      <c r="C42" s="162">
        <f ca="1">TODAY()</f>
        <v>46065</v>
      </c>
      <c r="E42" s="163"/>
      <c r="F42" s="163"/>
      <c r="G42" s="163"/>
      <c r="H42" s="163"/>
      <c r="AG42" s="164"/>
    </row>
    <row r="43" spans="1:33" outlineLevel="1" x14ac:dyDescent="0.2">
      <c r="B43" s="136" t="s">
        <v>166</v>
      </c>
      <c r="C43" s="162">
        <v>45747</v>
      </c>
      <c r="AG43" s="155"/>
    </row>
    <row r="44" spans="1:33" outlineLevel="1" x14ac:dyDescent="0.2">
      <c r="B44" s="136" t="s">
        <v>167</v>
      </c>
      <c r="C44" s="165">
        <v>46112</v>
      </c>
      <c r="AG44" s="164"/>
    </row>
    <row r="45" spans="1:33" outlineLevel="1" x14ac:dyDescent="0.2">
      <c r="B45" s="136" t="s">
        <v>168</v>
      </c>
      <c r="C45" s="156">
        <f ca="1">(C44-C42)/365</f>
        <v>0.12876712328767123</v>
      </c>
      <c r="AG45" s="166"/>
    </row>
    <row r="46" spans="1:33" outlineLevel="1" x14ac:dyDescent="0.2">
      <c r="B46" s="167" t="s">
        <v>169</v>
      </c>
      <c r="C46" s="557">
        <f>D113</f>
        <v>0.68</v>
      </c>
      <c r="AE46" s="168"/>
      <c r="AF46" s="169"/>
      <c r="AG46" s="170"/>
    </row>
    <row r="47" spans="1:33" outlineLevel="1" x14ac:dyDescent="0.2">
      <c r="B47" s="171"/>
      <c r="C47" s="155"/>
      <c r="AE47" s="168"/>
      <c r="AF47" s="169"/>
      <c r="AG47" s="170"/>
    </row>
    <row r="48" spans="1:33" outlineLevel="1" x14ac:dyDescent="0.2">
      <c r="B48" s="133" t="s">
        <v>170</v>
      </c>
      <c r="C48" s="159"/>
    </row>
    <row r="49" spans="2:8" outlineLevel="1" x14ac:dyDescent="0.2">
      <c r="B49" s="172" t="s">
        <v>171</v>
      </c>
      <c r="C49" s="173">
        <f>'Financial Summary'!BB7</f>
        <v>36.869999999999997</v>
      </c>
    </row>
    <row r="50" spans="2:8" outlineLevel="1" x14ac:dyDescent="0.2">
      <c r="B50" s="172" t="s">
        <v>172</v>
      </c>
      <c r="C50" s="174">
        <f>'BS,CF and P&amp;L'!ET249</f>
        <v>579.88325399999997</v>
      </c>
    </row>
    <row r="51" spans="2:8" outlineLevel="1" x14ac:dyDescent="0.2">
      <c r="B51" s="172" t="s">
        <v>173</v>
      </c>
      <c r="C51" s="175">
        <f>C49*C50</f>
        <v>21380.295574979998</v>
      </c>
      <c r="E51" s="176"/>
    </row>
    <row r="52" spans="2:8" outlineLevel="1" x14ac:dyDescent="0.2">
      <c r="B52" s="172" t="s">
        <v>65</v>
      </c>
      <c r="C52" s="177">
        <f>'BS,CF and P&amp;L'!ET134/D113</f>
        <v>6123.8885965398485</v>
      </c>
    </row>
    <row r="53" spans="2:8" outlineLevel="1" x14ac:dyDescent="0.2">
      <c r="B53" s="178" t="s">
        <v>174</v>
      </c>
      <c r="C53" s="179">
        <f>C51+C52</f>
        <v>27504.184171519846</v>
      </c>
      <c r="F53" s="180"/>
      <c r="G53" s="180"/>
      <c r="H53" s="180"/>
    </row>
    <row r="54" spans="2:8" outlineLevel="1" x14ac:dyDescent="0.2">
      <c r="B54" s="172" t="s">
        <v>175</v>
      </c>
      <c r="C54" s="181">
        <v>0.03</v>
      </c>
      <c r="E54" s="180"/>
    </row>
    <row r="55" spans="2:8" outlineLevel="1" x14ac:dyDescent="0.2">
      <c r="B55" s="172" t="s">
        <v>176</v>
      </c>
      <c r="C55" s="182">
        <v>0.4</v>
      </c>
    </row>
    <row r="56" spans="2:8" outlineLevel="1" x14ac:dyDescent="0.2">
      <c r="B56" s="172" t="s">
        <v>177</v>
      </c>
      <c r="C56" s="183">
        <f>1-C55</f>
        <v>0.6</v>
      </c>
    </row>
    <row r="57" spans="2:8" outlineLevel="1" x14ac:dyDescent="0.2">
      <c r="B57" s="184" t="s">
        <v>178</v>
      </c>
      <c r="C57" s="183">
        <f>1-C63</f>
        <v>0.8</v>
      </c>
    </row>
    <row r="58" spans="2:8" outlineLevel="1" x14ac:dyDescent="0.2">
      <c r="B58" s="172" t="s">
        <v>179</v>
      </c>
      <c r="C58" s="185">
        <f>C55/C56</f>
        <v>0.66666666666666674</v>
      </c>
    </row>
    <row r="59" spans="2:8" outlineLevel="1" x14ac:dyDescent="0.2">
      <c r="B59" s="172" t="s">
        <v>180</v>
      </c>
      <c r="C59" s="186">
        <v>1</v>
      </c>
    </row>
    <row r="60" spans="2:8" outlineLevel="1" x14ac:dyDescent="0.2">
      <c r="B60" s="187" t="s">
        <v>181</v>
      </c>
      <c r="C60" s="188">
        <f>C64+C65</f>
        <v>6.0000000000000005E-2</v>
      </c>
    </row>
    <row r="61" spans="2:8" outlineLevel="1" x14ac:dyDescent="0.2">
      <c r="B61" s="187" t="s">
        <v>182</v>
      </c>
      <c r="C61" s="188">
        <f>C59*(C66+C64)</f>
        <v>9.6000000000000002E-2</v>
      </c>
    </row>
    <row r="62" spans="2:8" outlineLevel="1" x14ac:dyDescent="0.2">
      <c r="B62" s="172" t="s">
        <v>183</v>
      </c>
      <c r="C62" s="189">
        <f>C56*C61</f>
        <v>5.7599999999999998E-2</v>
      </c>
    </row>
    <row r="63" spans="2:8" outlineLevel="1" x14ac:dyDescent="0.2">
      <c r="B63" s="172" t="s">
        <v>184</v>
      </c>
      <c r="C63" s="182">
        <v>0.2</v>
      </c>
    </row>
    <row r="64" spans="2:8" outlineLevel="1" x14ac:dyDescent="0.2">
      <c r="B64" s="172" t="s">
        <v>185</v>
      </c>
      <c r="C64" s="182">
        <v>0.05</v>
      </c>
    </row>
    <row r="65" spans="2:38" outlineLevel="1" x14ac:dyDescent="0.2">
      <c r="B65" s="172" t="s">
        <v>186</v>
      </c>
      <c r="C65" s="182">
        <v>0.01</v>
      </c>
    </row>
    <row r="66" spans="2:38" outlineLevel="1" x14ac:dyDescent="0.2">
      <c r="B66" s="172" t="s">
        <v>187</v>
      </c>
      <c r="C66" s="150">
        <v>4.5999999999999999E-2</v>
      </c>
    </row>
    <row r="67" spans="2:38" outlineLevel="1" x14ac:dyDescent="0.2">
      <c r="B67" s="190" t="s">
        <v>188</v>
      </c>
      <c r="C67" s="191">
        <f>((C57*C60)*C55+C62)</f>
        <v>7.6800000000000007E-2</v>
      </c>
    </row>
    <row r="68" spans="2:38" outlineLevel="1" x14ac:dyDescent="0.2">
      <c r="AC68" s="169"/>
      <c r="AD68" s="169"/>
    </row>
    <row r="69" spans="2:38" outlineLevel="1" x14ac:dyDescent="0.2">
      <c r="B69" s="192" t="s">
        <v>189</v>
      </c>
      <c r="C69" s="193"/>
      <c r="D69" s="193" t="s">
        <v>190</v>
      </c>
      <c r="E69" s="193" t="s">
        <v>191</v>
      </c>
      <c r="F69" s="193" t="s">
        <v>192</v>
      </c>
      <c r="G69" s="193" t="s">
        <v>193</v>
      </c>
      <c r="H69" s="193" t="s">
        <v>194</v>
      </c>
      <c r="I69" s="194" t="s">
        <v>195</v>
      </c>
      <c r="K69" s="544"/>
      <c r="AA69" s="132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L69" s="195"/>
    </row>
    <row r="70" spans="2:38" outlineLevel="1" x14ac:dyDescent="0.2">
      <c r="B70" s="196" t="s">
        <v>22</v>
      </c>
      <c r="C70" s="197"/>
      <c r="D70" s="197">
        <f>'BS,CF and P&amp;L'!ET48</f>
        <v>931.40076295311474</v>
      </c>
      <c r="E70" s="197">
        <f>'BS,CF and P&amp;L'!FA48</f>
        <v>1204.8608643514337</v>
      </c>
      <c r="F70" s="197">
        <f>'BS,CF and P&amp;L'!FH48</f>
        <v>1393.2769863254234</v>
      </c>
      <c r="G70" s="197">
        <f>'BS,CF and P&amp;L'!FO48</f>
        <v>1541.878125060683</v>
      </c>
      <c r="H70" s="197">
        <f>'BS,CF and P&amp;L'!FV48</f>
        <v>1712.6517999277014</v>
      </c>
      <c r="I70" s="198">
        <f>+H70</f>
        <v>1712.6517999277014</v>
      </c>
      <c r="K70" s="197"/>
      <c r="Z70" s="43"/>
      <c r="AA70" s="171"/>
      <c r="AC70" s="43"/>
      <c r="AD70" s="43"/>
      <c r="AE70" s="43"/>
      <c r="AF70" s="43"/>
      <c r="AG70" s="43"/>
      <c r="AH70" s="43"/>
      <c r="AI70" s="43"/>
      <c r="AJ70" s="43"/>
      <c r="AK70" s="43"/>
      <c r="AL70" s="43"/>
    </row>
    <row r="71" spans="2:38" outlineLevel="1" x14ac:dyDescent="0.2">
      <c r="B71" s="196" t="s">
        <v>196</v>
      </c>
      <c r="C71" s="199"/>
      <c r="D71" s="161">
        <f>C63</f>
        <v>0.2</v>
      </c>
      <c r="E71" s="161">
        <f>+D71</f>
        <v>0.2</v>
      </c>
      <c r="F71" s="161">
        <f>+E71</f>
        <v>0.2</v>
      </c>
      <c r="G71" s="161">
        <f>+F71</f>
        <v>0.2</v>
      </c>
      <c r="H71" s="161">
        <f>+G71</f>
        <v>0.2</v>
      </c>
      <c r="I71" s="185">
        <f>+H71</f>
        <v>0.2</v>
      </c>
      <c r="K71" s="161"/>
      <c r="AA71" s="171"/>
      <c r="AC71" s="161"/>
      <c r="AD71" s="161"/>
      <c r="AE71" s="161"/>
      <c r="AF71" s="161"/>
      <c r="AG71" s="161"/>
      <c r="AH71" s="161"/>
      <c r="AI71" s="161"/>
      <c r="AJ71" s="161"/>
      <c r="AK71" s="161"/>
      <c r="AL71" s="161"/>
    </row>
    <row r="72" spans="2:38" outlineLevel="1" x14ac:dyDescent="0.2">
      <c r="B72" s="196" t="s">
        <v>197</v>
      </c>
      <c r="C72" s="197"/>
      <c r="D72" s="197">
        <f>-(D70)*D71</f>
        <v>-186.28015259062295</v>
      </c>
      <c r="E72" s="197">
        <f>-(E70)*E71</f>
        <v>-240.97217287028676</v>
      </c>
      <c r="F72" s="197">
        <f>-(F70)*F71</f>
        <v>-278.65539726508467</v>
      </c>
      <c r="G72" s="197">
        <f>-(G70)*G71</f>
        <v>-308.37562501213665</v>
      </c>
      <c r="H72" s="197">
        <f>-(H70)*H71</f>
        <v>-342.53035998554031</v>
      </c>
      <c r="I72" s="198">
        <f>+H72</f>
        <v>-342.53035998554031</v>
      </c>
      <c r="K72" s="197"/>
      <c r="AA72" s="171"/>
      <c r="AC72" s="43"/>
      <c r="AD72" s="43"/>
      <c r="AE72" s="43"/>
      <c r="AF72" s="43"/>
      <c r="AG72" s="43"/>
      <c r="AH72" s="43"/>
      <c r="AI72" s="43"/>
      <c r="AJ72" s="43"/>
      <c r="AK72" s="43"/>
      <c r="AL72" s="43"/>
    </row>
    <row r="73" spans="2:38" outlineLevel="1" x14ac:dyDescent="0.2">
      <c r="B73" s="196" t="s">
        <v>198</v>
      </c>
      <c r="C73" s="197"/>
      <c r="D73" s="197">
        <f>'BS,CF and P&amp;L'!ET30</f>
        <v>319.46799999999996</v>
      </c>
      <c r="E73" s="197">
        <f>'BS,CF and P&amp;L'!FA30</f>
        <v>366.29531117936</v>
      </c>
      <c r="F73" s="197">
        <f>'BS,CF and P&amp;L'!FH30</f>
        <v>374.87242076474081</v>
      </c>
      <c r="G73" s="197">
        <f>'BS,CF and P&amp;L'!FO30</f>
        <v>383.66494349393304</v>
      </c>
      <c r="H73" s="197">
        <f>'BS,CF and P&amp;L'!FV30</f>
        <v>392.67852628665719</v>
      </c>
      <c r="I73" s="198">
        <f>+H73</f>
        <v>392.67852628665719</v>
      </c>
      <c r="K73" s="197"/>
      <c r="Z73" s="43"/>
      <c r="AA73" s="171"/>
      <c r="AC73" s="43"/>
      <c r="AD73" s="43"/>
      <c r="AE73" s="43"/>
      <c r="AF73" s="43"/>
      <c r="AG73" s="43"/>
      <c r="AH73" s="43"/>
      <c r="AI73" s="43"/>
      <c r="AJ73" s="43"/>
      <c r="AK73" s="43"/>
      <c r="AL73" s="43"/>
    </row>
    <row r="74" spans="2:38" outlineLevel="1" x14ac:dyDescent="0.2">
      <c r="B74" s="196" t="s">
        <v>199</v>
      </c>
      <c r="C74" s="197"/>
      <c r="D74" s="197">
        <f>'BS,CF and P&amp;L'!ET106</f>
        <v>-133.64785860108964</v>
      </c>
      <c r="E74" s="197">
        <f>'BS,CF and P&amp;L'!FA106</f>
        <v>-36.101160127169578</v>
      </c>
      <c r="F74" s="197">
        <f>'BS,CF and P&amp;L'!FH106</f>
        <v>-45.518990622506976</v>
      </c>
      <c r="G74" s="197">
        <f>'BS,CF and P&amp;L'!FO106</f>
        <v>-33.464984033431733</v>
      </c>
      <c r="H74" s="197">
        <f>'BS,CF and P&amp;L'!FV106</f>
        <v>-41.426308221569457</v>
      </c>
      <c r="I74" s="198">
        <v>0</v>
      </c>
      <c r="K74" s="197"/>
      <c r="Z74" s="43"/>
      <c r="AA74" s="171"/>
      <c r="AC74" s="43"/>
      <c r="AD74" s="43"/>
      <c r="AE74" s="43"/>
      <c r="AF74" s="43"/>
      <c r="AG74" s="43"/>
      <c r="AH74" s="43"/>
      <c r="AI74" s="43"/>
      <c r="AJ74" s="43"/>
      <c r="AK74" s="43"/>
      <c r="AL74" s="43"/>
    </row>
    <row r="75" spans="2:38" outlineLevel="1" x14ac:dyDescent="0.2">
      <c r="B75" s="196" t="s">
        <v>200</v>
      </c>
      <c r="C75" s="197"/>
      <c r="D75" s="197">
        <f>'BS,CF and P&amp;L'!ET114</f>
        <v>-374.72420000000005</v>
      </c>
      <c r="E75" s="197">
        <f>'BS,CF and P&amp;L'!FA112+'BS,CF and P&amp;L'!FA113+'BS,CF and P&amp;L'!FA115+'BS,CF and P&amp;L'!FA116</f>
        <v>-433.03624894348798</v>
      </c>
      <c r="F75" s="197">
        <f>'BS,CF and P&amp;L'!FH112+'BS,CF and P&amp;L'!FH113+'BS,CF and P&amp;L'!FH115+'BS,CF and P&amp;L'!FH116</f>
        <v>-431.8979366117926</v>
      </c>
      <c r="G75" s="197">
        <f>'BS,CF and P&amp;L'!FO112+'BS,CF and P&amp;L'!FO113+'BS,CF and P&amp;L'!FO115+'BS,CF and P&amp;L'!FO116</f>
        <v>-426.93195479514645</v>
      </c>
      <c r="H75" s="197">
        <f>'BS,CF and P&amp;L'!FV112+'BS,CF and P&amp;L'!FV113+'BS,CF and P&amp;L'!FV115+'BS,CF and P&amp;L'!FV116</f>
        <v>-434.14282102932577</v>
      </c>
      <c r="I75" s="198">
        <f>H75</f>
        <v>-434.14282102932577</v>
      </c>
      <c r="K75" s="197"/>
      <c r="Z75" s="43"/>
      <c r="AA75" s="171"/>
      <c r="AC75" s="43"/>
      <c r="AD75" s="43"/>
      <c r="AE75" s="43"/>
      <c r="AF75" s="43"/>
      <c r="AG75" s="43"/>
      <c r="AH75" s="43"/>
      <c r="AI75" s="43"/>
      <c r="AJ75" s="43"/>
      <c r="AK75" s="43"/>
      <c r="AL75" s="43"/>
    </row>
    <row r="76" spans="2:38" outlineLevel="1" x14ac:dyDescent="0.2">
      <c r="B76" s="200" t="s">
        <v>49</v>
      </c>
      <c r="C76" s="197"/>
      <c r="D76" s="197">
        <f>'BS,CF and P&amp;L'!ET109</f>
        <v>-401.9000000000002</v>
      </c>
      <c r="E76" s="197">
        <f>'BS,CF and P&amp;L'!FA109</f>
        <v>0</v>
      </c>
      <c r="F76" s="197">
        <f>'BS,CF and P&amp;L'!FH109</f>
        <v>0</v>
      </c>
      <c r="G76" s="197">
        <f>'BS,CF and P&amp;L'!FO109</f>
        <v>0</v>
      </c>
      <c r="H76" s="197">
        <f>'BS,CF and P&amp;L'!FV109</f>
        <v>0</v>
      </c>
      <c r="I76" s="198">
        <v>0</v>
      </c>
      <c r="K76" s="197"/>
      <c r="AA76" s="201"/>
    </row>
    <row r="77" spans="2:38" outlineLevel="1" x14ac:dyDescent="0.2">
      <c r="B77" s="202" t="s">
        <v>201</v>
      </c>
      <c r="C77" s="197"/>
      <c r="D77" s="197">
        <f t="shared" ref="D77:I77" si="0">SUM(D70:D76)-D71</f>
        <v>154.31655176140197</v>
      </c>
      <c r="E77" s="197">
        <f t="shared" si="0"/>
        <v>861.04659358984952</v>
      </c>
      <c r="F77" s="197">
        <f t="shared" si="0"/>
        <v>1012.0770825907798</v>
      </c>
      <c r="G77" s="197">
        <f t="shared" si="0"/>
        <v>1156.7705047139013</v>
      </c>
      <c r="H77" s="197">
        <f t="shared" si="0"/>
        <v>1287.2308369779232</v>
      </c>
      <c r="I77" s="198">
        <f t="shared" si="0"/>
        <v>1328.6571451994926</v>
      </c>
      <c r="K77" s="197"/>
      <c r="Y77" s="161"/>
      <c r="Z77" s="164"/>
      <c r="AC77" s="43"/>
      <c r="AD77" s="43"/>
      <c r="AE77" s="43"/>
      <c r="AF77" s="43"/>
      <c r="AG77" s="43"/>
      <c r="AH77" s="43"/>
      <c r="AI77" s="43"/>
      <c r="AJ77" s="43"/>
      <c r="AK77" s="43"/>
      <c r="AL77" s="43"/>
    </row>
    <row r="78" spans="2:38" outlineLevel="1" x14ac:dyDescent="0.2">
      <c r="B78" s="196" t="s">
        <v>202</v>
      </c>
      <c r="C78" s="203"/>
      <c r="D78" s="155">
        <f ca="1">C45</f>
        <v>0.12876712328767123</v>
      </c>
      <c r="E78" s="155">
        <f ca="1">+D78+1</f>
        <v>1.1287671232876713</v>
      </c>
      <c r="F78" s="155">
        <f ca="1">+E78+1</f>
        <v>2.1287671232876715</v>
      </c>
      <c r="G78" s="155">
        <f ca="1">+F78+1</f>
        <v>3.1287671232876715</v>
      </c>
      <c r="H78" s="155">
        <f ca="1">+G78+1</f>
        <v>4.1287671232876715</v>
      </c>
      <c r="I78" s="156">
        <f ca="1">+H78</f>
        <v>4.1287671232876715</v>
      </c>
      <c r="K78" s="155"/>
      <c r="AA78" s="171"/>
      <c r="AC78" s="43"/>
      <c r="AD78" s="43"/>
      <c r="AE78" s="43"/>
      <c r="AF78" s="43"/>
      <c r="AG78" s="43"/>
      <c r="AH78" s="43"/>
      <c r="AI78" s="43"/>
      <c r="AJ78" s="43"/>
      <c r="AK78" s="43"/>
      <c r="AL78" s="43"/>
    </row>
    <row r="79" spans="2:38" outlineLevel="1" x14ac:dyDescent="0.2">
      <c r="B79" s="196" t="s">
        <v>188</v>
      </c>
      <c r="C79" s="204"/>
      <c r="D79" s="204">
        <f t="shared" ref="D79:I79" si="1">$C$67</f>
        <v>7.6800000000000007E-2</v>
      </c>
      <c r="E79" s="204">
        <f t="shared" si="1"/>
        <v>7.6800000000000007E-2</v>
      </c>
      <c r="F79" s="204">
        <f t="shared" si="1"/>
        <v>7.6800000000000007E-2</v>
      </c>
      <c r="G79" s="204">
        <f t="shared" si="1"/>
        <v>7.6800000000000007E-2</v>
      </c>
      <c r="H79" s="204">
        <f t="shared" si="1"/>
        <v>7.6800000000000007E-2</v>
      </c>
      <c r="I79" s="189">
        <f t="shared" si="1"/>
        <v>7.6800000000000007E-2</v>
      </c>
      <c r="K79" s="204"/>
      <c r="AA79" s="171"/>
      <c r="AC79" s="204"/>
      <c r="AD79" s="204"/>
      <c r="AE79" s="204"/>
      <c r="AF79" s="204"/>
      <c r="AG79" s="204"/>
      <c r="AH79" s="204"/>
      <c r="AI79" s="204"/>
      <c r="AJ79" s="204"/>
      <c r="AK79" s="204"/>
      <c r="AL79" s="204"/>
    </row>
    <row r="80" spans="2:38" outlineLevel="1" x14ac:dyDescent="0.2">
      <c r="B80" s="196" t="s">
        <v>203</v>
      </c>
      <c r="C80" s="207"/>
      <c r="D80" s="205">
        <f t="shared" ref="D80:I80" ca="1" si="2">1/((1+D79)^D78)</f>
        <v>0.99051729382560572</v>
      </c>
      <c r="E80" s="205">
        <f t="shared" ca="1" si="2"/>
        <v>0.91987118668796963</v>
      </c>
      <c r="F80" s="205">
        <f t="shared" ca="1" si="2"/>
        <v>0.85426373206535067</v>
      </c>
      <c r="G80" s="205">
        <f t="shared" ca="1" si="2"/>
        <v>0.7933355609819378</v>
      </c>
      <c r="H80" s="205">
        <f t="shared" ca="1" si="2"/>
        <v>0.73675293553300325</v>
      </c>
      <c r="I80" s="206">
        <f t="shared" ca="1" si="2"/>
        <v>0.73675293553300325</v>
      </c>
      <c r="K80" s="205"/>
      <c r="AA80" s="171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</row>
    <row r="81" spans="2:40" outlineLevel="1" x14ac:dyDescent="0.2">
      <c r="B81" s="202" t="s">
        <v>204</v>
      </c>
      <c r="C81" s="208"/>
      <c r="D81" s="208">
        <f t="shared" ref="D81:I81" ca="1" si="3">D80*D77</f>
        <v>152.85321324320287</v>
      </c>
      <c r="E81" s="208">
        <f t="shared" ca="1" si="3"/>
        <v>792.05195183912883</v>
      </c>
      <c r="F81" s="208">
        <f t="shared" ca="1" si="3"/>
        <v>864.58074571181169</v>
      </c>
      <c r="G81" s="208">
        <f t="shared" ca="1" si="3"/>
        <v>917.70717728456225</v>
      </c>
      <c r="H81" s="208">
        <f t="shared" ca="1" si="3"/>
        <v>948.37109785208963</v>
      </c>
      <c r="I81" s="209">
        <f t="shared" ca="1" si="3"/>
        <v>978.89205204262589</v>
      </c>
      <c r="K81" s="208"/>
      <c r="AA81" s="160"/>
      <c r="AC81" s="210"/>
      <c r="AD81" s="210"/>
      <c r="AE81" s="210"/>
      <c r="AF81" s="210"/>
      <c r="AG81" s="210"/>
      <c r="AH81" s="210"/>
      <c r="AI81" s="210"/>
      <c r="AJ81" s="210"/>
      <c r="AK81" s="210"/>
      <c r="AL81" s="210"/>
    </row>
    <row r="82" spans="2:40" outlineLevel="1" x14ac:dyDescent="0.2">
      <c r="B82" s="196" t="s">
        <v>205</v>
      </c>
      <c r="C82" s="211"/>
      <c r="D82" s="211"/>
      <c r="E82" s="211"/>
      <c r="F82" s="211"/>
      <c r="G82" s="211"/>
      <c r="H82" s="211"/>
      <c r="I82" s="209">
        <f ca="1">I81/(C67-C54)</f>
        <v>20916.496838517643</v>
      </c>
      <c r="K82" s="211"/>
      <c r="AA82" s="160"/>
      <c r="AL82" s="212"/>
    </row>
    <row r="83" spans="2:40" outlineLevel="1" x14ac:dyDescent="0.2">
      <c r="B83" s="196" t="s">
        <v>169</v>
      </c>
      <c r="C83" s="155"/>
      <c r="D83" s="155">
        <v>0.65</v>
      </c>
      <c r="E83" s="155">
        <v>0.66</v>
      </c>
      <c r="F83" s="155">
        <v>0.67</v>
      </c>
      <c r="G83" s="155">
        <v>0.67</v>
      </c>
      <c r="H83" s="155">
        <v>0.67</v>
      </c>
      <c r="I83" s="156">
        <v>0.67</v>
      </c>
      <c r="K83" s="155"/>
      <c r="Z83" s="155"/>
      <c r="AA83" s="160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</row>
    <row r="84" spans="2:40" outlineLevel="1" x14ac:dyDescent="0.2">
      <c r="B84" s="202" t="s">
        <v>206</v>
      </c>
      <c r="C84" s="197"/>
      <c r="D84" s="197">
        <f t="shared" ref="D84:I84" si="4">D77/D83</f>
        <v>237.41007963292608</v>
      </c>
      <c r="E84" s="197">
        <f t="shared" si="4"/>
        <v>1304.6160508937114</v>
      </c>
      <c r="F84" s="197">
        <f t="shared" si="4"/>
        <v>1510.5628098369848</v>
      </c>
      <c r="G84" s="197">
        <f t="shared" si="4"/>
        <v>1726.5231413640317</v>
      </c>
      <c r="H84" s="197">
        <f t="shared" si="4"/>
        <v>1921.24005519093</v>
      </c>
      <c r="I84" s="198">
        <f t="shared" si="4"/>
        <v>1983.0703659693918</v>
      </c>
      <c r="K84" s="197"/>
      <c r="AC84" s="43"/>
      <c r="AD84" s="43"/>
      <c r="AE84" s="43"/>
      <c r="AF84" s="43"/>
      <c r="AG84" s="43"/>
      <c r="AH84" s="43"/>
      <c r="AI84" s="43"/>
      <c r="AJ84" s="43"/>
      <c r="AK84" s="43"/>
      <c r="AL84" s="43"/>
    </row>
    <row r="85" spans="2:40" outlineLevel="1" x14ac:dyDescent="0.2">
      <c r="B85" s="196" t="s">
        <v>202</v>
      </c>
      <c r="C85" s="43"/>
      <c r="D85" s="43">
        <f ca="1">D78</f>
        <v>0.12876712328767123</v>
      </c>
      <c r="E85" s="43">
        <f ca="1">E78</f>
        <v>1.1287671232876713</v>
      </c>
      <c r="F85" s="43">
        <f ca="1">F78</f>
        <v>2.1287671232876715</v>
      </c>
      <c r="G85" s="43">
        <f ca="1">G78</f>
        <v>3.1287671232876715</v>
      </c>
      <c r="H85" s="43">
        <f ca="1">H78</f>
        <v>4.1287671232876715</v>
      </c>
      <c r="I85" s="145">
        <f ca="1">+H85</f>
        <v>4.1287671232876715</v>
      </c>
      <c r="K85" s="43"/>
      <c r="AA85" s="171"/>
      <c r="AB85" s="169"/>
      <c r="AC85" s="43"/>
      <c r="AD85" s="43"/>
      <c r="AE85" s="43"/>
      <c r="AF85" s="43"/>
      <c r="AG85" s="43"/>
      <c r="AH85" s="43"/>
      <c r="AI85" s="43"/>
      <c r="AJ85" s="43"/>
      <c r="AK85" s="43"/>
      <c r="AL85" s="43"/>
    </row>
    <row r="86" spans="2:40" outlineLevel="1" x14ac:dyDescent="0.2">
      <c r="B86" s="196" t="s">
        <v>188</v>
      </c>
      <c r="C86" s="204"/>
      <c r="D86" s="204">
        <f t="shared" ref="D86:I86" si="5">$C$67</f>
        <v>7.6800000000000007E-2</v>
      </c>
      <c r="E86" s="204">
        <f t="shared" si="5"/>
        <v>7.6800000000000007E-2</v>
      </c>
      <c r="F86" s="204">
        <f t="shared" si="5"/>
        <v>7.6800000000000007E-2</v>
      </c>
      <c r="G86" s="204">
        <f t="shared" si="5"/>
        <v>7.6800000000000007E-2</v>
      </c>
      <c r="H86" s="204">
        <f t="shared" si="5"/>
        <v>7.6800000000000007E-2</v>
      </c>
      <c r="I86" s="189">
        <f t="shared" si="5"/>
        <v>7.6800000000000007E-2</v>
      </c>
      <c r="K86" s="204"/>
      <c r="AA86" s="171"/>
      <c r="AB86" s="169"/>
      <c r="AC86" s="204"/>
      <c r="AD86" s="204"/>
      <c r="AE86" s="204"/>
      <c r="AF86" s="204"/>
      <c r="AG86" s="204"/>
      <c r="AH86" s="204"/>
      <c r="AI86" s="204"/>
      <c r="AJ86" s="204"/>
      <c r="AK86" s="204"/>
      <c r="AL86" s="204"/>
    </row>
    <row r="87" spans="2:40" outlineLevel="1" x14ac:dyDescent="0.2">
      <c r="B87" s="196" t="s">
        <v>203</v>
      </c>
      <c r="C87" s="207"/>
      <c r="D87" s="207">
        <f t="shared" ref="D87:I87" ca="1" si="6">1/((1+D86)^D85)</f>
        <v>0.99051729382560572</v>
      </c>
      <c r="E87" s="207">
        <f t="shared" ca="1" si="6"/>
        <v>0.91987118668796963</v>
      </c>
      <c r="F87" s="207">
        <f t="shared" ca="1" si="6"/>
        <v>0.85426373206535067</v>
      </c>
      <c r="G87" s="207">
        <f t="shared" ca="1" si="6"/>
        <v>0.7933355609819378</v>
      </c>
      <c r="H87" s="207">
        <f t="shared" ca="1" si="6"/>
        <v>0.73675293553300325</v>
      </c>
      <c r="I87" s="214">
        <f t="shared" ca="1" si="6"/>
        <v>0.73675293553300325</v>
      </c>
      <c r="K87" s="207"/>
      <c r="AA87" s="171"/>
      <c r="AB87" s="169"/>
      <c r="AC87" s="207"/>
      <c r="AD87" s="207"/>
      <c r="AE87" s="207"/>
      <c r="AF87" s="207"/>
      <c r="AG87" s="207"/>
      <c r="AH87" s="207"/>
      <c r="AI87" s="207"/>
      <c r="AJ87" s="207"/>
      <c r="AK87" s="207"/>
      <c r="AL87" s="207"/>
    </row>
    <row r="88" spans="2:40" outlineLevel="1" x14ac:dyDescent="0.2">
      <c r="B88" s="215" t="s">
        <v>207</v>
      </c>
      <c r="C88" s="216"/>
      <c r="D88" s="216">
        <f t="shared" ref="D88:I88" ca="1" si="7">D87*D84</f>
        <v>235.15878960492751</v>
      </c>
      <c r="E88" s="216">
        <f t="shared" ca="1" si="7"/>
        <v>1200.078714907771</v>
      </c>
      <c r="F88" s="216">
        <f t="shared" ca="1" si="7"/>
        <v>1290.4190234504651</v>
      </c>
      <c r="G88" s="216">
        <f t="shared" ca="1" si="7"/>
        <v>1369.7122049023317</v>
      </c>
      <c r="H88" s="216">
        <f t="shared" ca="1" si="7"/>
        <v>1415.4792505255068</v>
      </c>
      <c r="I88" s="217">
        <f t="shared" ca="1" si="7"/>
        <v>1461.0329134964566</v>
      </c>
      <c r="K88" s="216"/>
      <c r="AA88" s="160"/>
      <c r="AC88" s="210"/>
      <c r="AD88" s="210"/>
      <c r="AE88" s="210"/>
      <c r="AF88" s="210"/>
      <c r="AG88" s="210"/>
      <c r="AH88" s="210"/>
      <c r="AI88" s="210"/>
      <c r="AJ88" s="210"/>
      <c r="AK88" s="210"/>
      <c r="AL88" s="210"/>
    </row>
    <row r="89" spans="2:40" outlineLevel="1" x14ac:dyDescent="0.2">
      <c r="B89" s="218" t="s">
        <v>208</v>
      </c>
      <c r="C89" s="219"/>
      <c r="D89" s="219"/>
      <c r="E89" s="219"/>
      <c r="F89" s="219"/>
      <c r="G89" s="219"/>
      <c r="H89" s="219"/>
      <c r="I89" s="220">
        <f ca="1">I88/($C$67-$C$54)</f>
        <v>31218.651997787529</v>
      </c>
      <c r="L89" s="219"/>
      <c r="Z89" s="221"/>
      <c r="AB89" s="160"/>
      <c r="AD89" s="210"/>
      <c r="AE89" s="210"/>
      <c r="AF89" s="210"/>
      <c r="AG89" s="210"/>
      <c r="AH89" s="210"/>
      <c r="AI89" s="210"/>
      <c r="AJ89" s="210"/>
      <c r="AK89" s="210"/>
      <c r="AL89" s="210"/>
      <c r="AM89" s="212"/>
    </row>
    <row r="90" spans="2:40" outlineLevel="1" collapsed="1" x14ac:dyDescent="0.2">
      <c r="B90" s="171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0"/>
      <c r="T90" s="210"/>
      <c r="U90" s="210"/>
      <c r="V90" s="210"/>
      <c r="W90" s="210"/>
      <c r="X90" s="210"/>
      <c r="AA90" s="221"/>
      <c r="AC90" s="171"/>
      <c r="AE90" s="210"/>
      <c r="AF90" s="210"/>
      <c r="AG90" s="210"/>
      <c r="AH90" s="210"/>
      <c r="AI90" s="210"/>
      <c r="AJ90" s="210"/>
      <c r="AK90" s="210"/>
      <c r="AL90" s="210"/>
      <c r="AM90" s="210"/>
      <c r="AN90" s="210"/>
    </row>
    <row r="91" spans="2:40" outlineLevel="1" x14ac:dyDescent="0.2">
      <c r="B91" s="192" t="s">
        <v>209</v>
      </c>
      <c r="C91" s="222" t="s">
        <v>210</v>
      </c>
      <c r="D91" s="223" t="s">
        <v>211</v>
      </c>
      <c r="F91" s="171"/>
      <c r="G91" s="171"/>
      <c r="H91" s="171"/>
      <c r="I91" s="171"/>
      <c r="J91" s="171"/>
      <c r="K91" s="171"/>
      <c r="L91" s="171"/>
      <c r="M91" s="171"/>
      <c r="N91" s="171"/>
      <c r="AC91" s="132"/>
      <c r="AD91" s="132"/>
      <c r="AE91" s="195"/>
      <c r="AF91" s="171"/>
      <c r="AG91" s="171"/>
      <c r="AH91" s="171"/>
      <c r="AI91" s="171"/>
    </row>
    <row r="92" spans="2:40" outlineLevel="1" x14ac:dyDescent="0.2">
      <c r="B92" s="202" t="s">
        <v>212</v>
      </c>
      <c r="C92" s="224">
        <f ca="1">SUM(C81:H81)</f>
        <v>3675.5641859307952</v>
      </c>
      <c r="D92" s="225">
        <f t="shared" ref="D92:D99" ca="1" si="8">C92/$D$102</f>
        <v>6.3384554745752242</v>
      </c>
      <c r="F92" s="171"/>
      <c r="G92" s="171"/>
      <c r="H92" s="171"/>
      <c r="K92" s="226"/>
      <c r="L92" s="226"/>
      <c r="M92" s="226"/>
      <c r="N92" s="227"/>
      <c r="O92" s="43"/>
      <c r="P92" s="43"/>
      <c r="Q92" s="43"/>
      <c r="R92" s="226"/>
      <c r="S92" s="226"/>
      <c r="AC92" s="171"/>
      <c r="AE92" s="228"/>
      <c r="AF92" s="171"/>
      <c r="AH92" s="226"/>
      <c r="AI92" s="227"/>
      <c r="AJ92" s="43"/>
      <c r="AK92" s="226"/>
    </row>
    <row r="93" spans="2:40" outlineLevel="1" x14ac:dyDescent="0.2">
      <c r="B93" s="202" t="s">
        <v>213</v>
      </c>
      <c r="C93" s="224">
        <f ca="1">I82</f>
        <v>20916.496838517643</v>
      </c>
      <c r="D93" s="225">
        <f t="shared" ca="1" si="8"/>
        <v>36.070186014576038</v>
      </c>
      <c r="F93" s="171"/>
      <c r="G93" s="171"/>
      <c r="H93" s="171"/>
      <c r="K93" s="226"/>
      <c r="L93" s="226"/>
      <c r="M93" s="226"/>
      <c r="N93" s="227"/>
      <c r="AC93" s="171"/>
      <c r="AE93" s="228"/>
      <c r="AF93" s="171"/>
      <c r="AH93" s="226"/>
      <c r="AI93" s="227"/>
    </row>
    <row r="94" spans="2:40" outlineLevel="1" x14ac:dyDescent="0.2">
      <c r="B94" s="202" t="s">
        <v>214</v>
      </c>
      <c r="C94" s="224">
        <f ca="1">SUM(C92:C93)</f>
        <v>24592.061024448438</v>
      </c>
      <c r="D94" s="225">
        <f t="shared" ca="1" si="8"/>
        <v>42.408641489151265</v>
      </c>
      <c r="F94" s="171"/>
      <c r="G94" s="171"/>
      <c r="H94" s="171"/>
      <c r="K94" s="226"/>
      <c r="L94" s="226"/>
      <c r="M94" s="226"/>
      <c r="N94" s="227"/>
      <c r="AC94" s="160"/>
      <c r="AE94" s="228"/>
      <c r="AF94" s="171"/>
      <c r="AH94" s="226"/>
      <c r="AI94" s="227"/>
    </row>
    <row r="95" spans="2:40" outlineLevel="1" x14ac:dyDescent="0.2">
      <c r="B95" s="202" t="s">
        <v>215</v>
      </c>
      <c r="C95" s="229">
        <f ca="1">C94</f>
        <v>24592.061024448438</v>
      </c>
      <c r="D95" s="225">
        <f t="shared" ca="1" si="8"/>
        <v>42.408641489151265</v>
      </c>
      <c r="F95" s="171"/>
      <c r="G95" s="171"/>
      <c r="H95" s="171"/>
      <c r="K95" s="226"/>
      <c r="L95" s="226"/>
      <c r="M95" s="226"/>
      <c r="N95" s="227"/>
      <c r="AC95" s="160"/>
      <c r="AD95" s="169"/>
      <c r="AE95" s="230"/>
      <c r="AF95" s="171"/>
      <c r="AH95" s="226"/>
      <c r="AI95" s="227"/>
    </row>
    <row r="96" spans="2:40" outlineLevel="1" x14ac:dyDescent="0.2">
      <c r="B96" s="202" t="s">
        <v>216</v>
      </c>
      <c r="C96" s="229">
        <f>C52*D113</f>
        <v>4164.2442456470972</v>
      </c>
      <c r="D96" s="225">
        <f t="shared" si="8"/>
        <v>7.1811769298775046</v>
      </c>
      <c r="F96" s="171"/>
      <c r="G96" s="171"/>
      <c r="H96" s="171"/>
      <c r="K96" s="43"/>
      <c r="L96" s="43"/>
      <c r="M96" s="43"/>
      <c r="N96" s="227"/>
      <c r="AC96" s="171"/>
      <c r="AE96" s="228"/>
      <c r="AF96" s="171"/>
      <c r="AH96" s="43"/>
      <c r="AI96" s="227"/>
    </row>
    <row r="97" spans="2:37" outlineLevel="1" x14ac:dyDescent="0.2">
      <c r="B97" s="202" t="s">
        <v>217</v>
      </c>
      <c r="C97" s="229">
        <v>546.77512804979926</v>
      </c>
      <c r="D97" s="225">
        <f t="shared" si="8"/>
        <v>0.94290553189487225</v>
      </c>
      <c r="F97" s="231"/>
      <c r="G97" s="231"/>
      <c r="H97" s="231"/>
      <c r="K97" s="43"/>
      <c r="L97" s="43"/>
      <c r="M97" s="43"/>
      <c r="N97" s="227"/>
      <c r="AC97" s="171"/>
      <c r="AE97" s="228"/>
      <c r="AF97" s="231"/>
      <c r="AH97" s="43"/>
      <c r="AI97" s="227"/>
    </row>
    <row r="98" spans="2:37" outlineLevel="1" x14ac:dyDescent="0.2">
      <c r="B98" s="202" t="s">
        <v>218</v>
      </c>
      <c r="C98" s="229">
        <f>C96+C97</f>
        <v>4711.0193736968968</v>
      </c>
      <c r="D98" s="225">
        <f t="shared" si="8"/>
        <v>8.1240824617723781</v>
      </c>
      <c r="F98" s="171"/>
      <c r="G98" s="171"/>
      <c r="H98" s="171"/>
      <c r="K98" s="43"/>
      <c r="L98" s="43"/>
      <c r="M98" s="43"/>
      <c r="N98" s="227"/>
      <c r="AC98" s="160"/>
      <c r="AE98" s="228"/>
      <c r="AF98" s="171"/>
      <c r="AH98" s="43"/>
      <c r="AI98" s="227"/>
    </row>
    <row r="99" spans="2:37" outlineLevel="1" x14ac:dyDescent="0.2">
      <c r="B99" s="215" t="s">
        <v>219</v>
      </c>
      <c r="C99" s="232">
        <f ca="1">C95-C98</f>
        <v>19881.04165075154</v>
      </c>
      <c r="D99" s="233">
        <f t="shared" ca="1" si="8"/>
        <v>34.284559027378883</v>
      </c>
      <c r="F99" s="171"/>
      <c r="G99" s="171"/>
      <c r="H99" s="171"/>
      <c r="K99" s="62"/>
      <c r="L99" s="62"/>
      <c r="M99" s="62"/>
      <c r="N99" s="227"/>
      <c r="AC99" s="160"/>
      <c r="AE99" s="228"/>
      <c r="AF99" s="171"/>
      <c r="AH99" s="62"/>
      <c r="AI99" s="227"/>
    </row>
    <row r="100" spans="2:37" outlineLevel="1" x14ac:dyDescent="0.2">
      <c r="B100" s="202" t="s">
        <v>117</v>
      </c>
      <c r="D100" s="156">
        <f>D113</f>
        <v>0.68</v>
      </c>
      <c r="AC100" s="171"/>
    </row>
    <row r="101" spans="2:37" outlineLevel="1" collapsed="1" x14ac:dyDescent="0.2">
      <c r="B101" s="234" t="s">
        <v>220</v>
      </c>
      <c r="C101" s="235"/>
      <c r="D101" s="154">
        <f ca="1">D99/D100</f>
        <v>50.418469157910117</v>
      </c>
      <c r="I101" s="227"/>
      <c r="J101" s="227"/>
      <c r="AC101" s="171"/>
      <c r="AG101" s="227"/>
    </row>
    <row r="102" spans="2:37" outlineLevel="1" x14ac:dyDescent="0.2">
      <c r="B102" s="236" t="s">
        <v>221</v>
      </c>
      <c r="C102" s="237"/>
      <c r="D102" s="238">
        <f>C50</f>
        <v>579.88325399999997</v>
      </c>
      <c r="AC102" s="171"/>
    </row>
    <row r="103" spans="2:37" outlineLevel="1" x14ac:dyDescent="0.2"/>
    <row r="104" spans="2:37" outlineLevel="1" x14ac:dyDescent="0.2">
      <c r="B104" s="192" t="s">
        <v>222</v>
      </c>
      <c r="C104" s="222" t="s">
        <v>210</v>
      </c>
      <c r="D104" s="223" t="s">
        <v>211</v>
      </c>
      <c r="AC104" s="239"/>
    </row>
    <row r="105" spans="2:37" outlineLevel="1" x14ac:dyDescent="0.2">
      <c r="B105" s="202" t="s">
        <v>212</v>
      </c>
      <c r="C105" s="224">
        <f ca="1">SUM(C88:H88)</f>
        <v>5510.8479833910023</v>
      </c>
      <c r="D105" s="225">
        <f ca="1">C105/$D$114</f>
        <v>9.503374938623427</v>
      </c>
      <c r="AC105" s="171"/>
      <c r="AE105" s="228"/>
    </row>
    <row r="106" spans="2:37" outlineLevel="1" x14ac:dyDescent="0.2">
      <c r="B106" s="202" t="s">
        <v>213</v>
      </c>
      <c r="C106" s="224">
        <f ca="1">I89</f>
        <v>31218.651997787529</v>
      </c>
      <c r="D106" s="225">
        <f t="shared" ref="D106:D111" ca="1" si="9">C106/$D$114</f>
        <v>53.836098529217971</v>
      </c>
      <c r="AC106" s="171"/>
      <c r="AE106" s="228"/>
    </row>
    <row r="107" spans="2:37" outlineLevel="1" x14ac:dyDescent="0.2">
      <c r="B107" s="202" t="s">
        <v>214</v>
      </c>
      <c r="C107" s="224">
        <f ca="1">SUM(C105:C106)</f>
        <v>36729.499981178531</v>
      </c>
      <c r="D107" s="225">
        <f t="shared" ca="1" si="9"/>
        <v>63.339473467841394</v>
      </c>
      <c r="AC107" s="160"/>
      <c r="AE107" s="228"/>
    </row>
    <row r="108" spans="2:37" outlineLevel="1" x14ac:dyDescent="0.2">
      <c r="B108" s="202" t="s">
        <v>215</v>
      </c>
      <c r="C108" s="229">
        <f ca="1">C107</f>
        <v>36729.499981178531</v>
      </c>
      <c r="D108" s="225">
        <f t="shared" ca="1" si="9"/>
        <v>63.339473467841394</v>
      </c>
      <c r="AC108" s="160"/>
      <c r="AD108" s="169"/>
      <c r="AE108" s="230"/>
    </row>
    <row r="109" spans="2:37" outlineLevel="1" x14ac:dyDescent="0.2">
      <c r="B109" s="202" t="s">
        <v>216</v>
      </c>
      <c r="C109" s="229">
        <f>+C52</f>
        <v>6123.8885965398485</v>
      </c>
      <c r="D109" s="225">
        <f t="shared" si="9"/>
        <v>10.56055430864339</v>
      </c>
      <c r="AC109" s="171"/>
      <c r="AE109" s="228"/>
    </row>
    <row r="110" spans="2:37" outlineLevel="1" x14ac:dyDescent="0.2">
      <c r="B110" s="202" t="s">
        <v>217</v>
      </c>
      <c r="C110" s="229">
        <v>804.08107066146943</v>
      </c>
      <c r="D110" s="225">
        <f t="shared" si="9"/>
        <v>1.3866257821983414</v>
      </c>
      <c r="F110" s="231"/>
      <c r="G110" s="231"/>
      <c r="H110" s="231"/>
      <c r="K110" s="43"/>
      <c r="L110" s="43"/>
      <c r="M110" s="43"/>
      <c r="AC110" s="171"/>
      <c r="AE110" s="228"/>
      <c r="AF110" s="231"/>
      <c r="AH110" s="43"/>
    </row>
    <row r="111" spans="2:37" outlineLevel="1" x14ac:dyDescent="0.2">
      <c r="B111" s="202" t="s">
        <v>218</v>
      </c>
      <c r="C111" s="229">
        <f>C109+C110</f>
        <v>6927.9696672013179</v>
      </c>
      <c r="D111" s="225">
        <f t="shared" si="9"/>
        <v>11.94718009084173</v>
      </c>
      <c r="AC111" s="160"/>
      <c r="AD111" s="169"/>
      <c r="AE111" s="230"/>
    </row>
    <row r="112" spans="2:37" outlineLevel="1" x14ac:dyDescent="0.2">
      <c r="B112" s="215" t="s">
        <v>223</v>
      </c>
      <c r="C112" s="232">
        <f ca="1">C108-C111</f>
        <v>29801.530313977215</v>
      </c>
      <c r="D112" s="240">
        <f ca="1">C112/$D$114</f>
        <v>51.392293376999667</v>
      </c>
      <c r="F112" s="241"/>
      <c r="G112" s="241"/>
      <c r="H112" s="241"/>
      <c r="N112" s="227"/>
      <c r="R112" s="227"/>
      <c r="S112" s="227"/>
      <c r="AC112" s="160"/>
      <c r="AE112" s="242"/>
      <c r="AF112" s="241"/>
      <c r="AI112" s="227"/>
      <c r="AK112" s="227"/>
    </row>
    <row r="113" spans="1:33" outlineLevel="1" x14ac:dyDescent="0.2">
      <c r="B113" s="202" t="s">
        <v>117</v>
      </c>
      <c r="D113" s="243">
        <v>0.68</v>
      </c>
      <c r="AC113" s="171"/>
    </row>
    <row r="114" spans="1:33" outlineLevel="1" x14ac:dyDescent="0.2">
      <c r="B114" s="244" t="s">
        <v>221</v>
      </c>
      <c r="C114" s="245"/>
      <c r="D114" s="246">
        <f>C50</f>
        <v>579.88325399999997</v>
      </c>
      <c r="I114" s="62"/>
      <c r="J114" s="62"/>
      <c r="AC114" s="171"/>
      <c r="AG114" s="62"/>
    </row>
    <row r="115" spans="1:33" x14ac:dyDescent="0.2">
      <c r="A115" s="132" t="s">
        <v>224</v>
      </c>
      <c r="B115" s="132"/>
      <c r="C115" s="132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  <c r="P115" s="132"/>
      <c r="Q115" s="132"/>
      <c r="R115" s="132"/>
      <c r="S115" s="132"/>
    </row>
    <row r="119" spans="1:33" x14ac:dyDescent="0.2">
      <c r="E119" s="39" t="s">
        <v>225</v>
      </c>
    </row>
  </sheetData>
  <mergeCells count="12">
    <mergeCell ref="A24:B24"/>
    <mergeCell ref="A40:B40"/>
    <mergeCell ref="B1:B2"/>
    <mergeCell ref="E3:I3"/>
    <mergeCell ref="K3:O3"/>
    <mergeCell ref="Q3:U3"/>
    <mergeCell ref="E4:F4"/>
    <mergeCell ref="H4:I4"/>
    <mergeCell ref="K4:L4"/>
    <mergeCell ref="N4:O4"/>
    <mergeCell ref="Q4:R4"/>
    <mergeCell ref="T4:U4"/>
  </mergeCells>
  <phoneticPr fontId="31" type="noConversion"/>
  <pageMargins left="0" right="0" top="0" bottom="0" header="0" footer="0"/>
  <pageSetup paperSize="8" fitToHeight="0" orientation="landscape" r:id="rId1"/>
  <headerFooter alignWithMargins="0"/>
  <rowBreaks count="1" manualBreakCount="1">
    <brk id="90" max="16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B1FFC-928C-4F87-B699-D96447F69E2F}">
  <sheetPr codeName="Sheet6">
    <tabColor rgb="FFC00000"/>
    <pageSetUpPr fitToPage="1"/>
  </sheetPr>
  <dimension ref="A1:JT351"/>
  <sheetViews>
    <sheetView showGridLines="0" zoomScale="80" zoomScaleNormal="80" workbookViewId="0">
      <pane xSplit="3" ySplit="6" topLeftCell="CW318" activePane="bottomRight" state="frozen"/>
      <selection activeCell="E27" sqref="E27"/>
      <selection pane="topRight" activeCell="E27" sqref="E27"/>
      <selection pane="bottomLeft" activeCell="E27" sqref="E27"/>
      <selection pane="bottomRight" activeCell="EL187" sqref="EL187"/>
    </sheetView>
  </sheetViews>
  <sheetFormatPr defaultColWidth="9.09765625" defaultRowHeight="14.4" outlineLevelRow="1" outlineLevelCol="3" x14ac:dyDescent="0.3"/>
  <cols>
    <col min="1" max="1" width="3" style="253" customWidth="1"/>
    <col min="2" max="2" width="33.09765625" style="253" bestFit="1" customWidth="1"/>
    <col min="3" max="3" width="14.69921875" style="529" customWidth="1"/>
    <col min="4" max="5" width="9.296875" style="250" hidden="1" customWidth="1" outlineLevel="2"/>
    <col min="6" max="6" width="9.296875" style="250" hidden="1" customWidth="1" outlineLevel="1"/>
    <col min="7" max="8" width="9.296875" style="250" hidden="1" customWidth="1" outlineLevel="2"/>
    <col min="9" max="9" width="9.296875" style="250" hidden="1" customWidth="1" outlineLevel="1"/>
    <col min="10" max="10" width="9.296875" style="250" customWidth="1" collapsed="1"/>
    <col min="11" max="12" width="9.296875" style="250" hidden="1" customWidth="1" outlineLevel="2"/>
    <col min="13" max="13" width="9.296875" style="250" hidden="1" customWidth="1" outlineLevel="1"/>
    <col min="14" max="15" width="9.296875" style="250" hidden="1" customWidth="1" outlineLevel="2"/>
    <col min="16" max="16" width="9.296875" style="250" hidden="1" customWidth="1" outlineLevel="1"/>
    <col min="17" max="17" width="8" style="250" customWidth="1" collapsed="1"/>
    <col min="18" max="19" width="9.296875" style="250" hidden="1" customWidth="1" outlineLevel="2"/>
    <col min="20" max="20" width="9.296875" style="250" hidden="1" customWidth="1" outlineLevel="1"/>
    <col min="21" max="22" width="9.296875" style="250" hidden="1" customWidth="1" outlineLevel="2"/>
    <col min="23" max="23" width="9.296875" style="250" hidden="1" customWidth="1" outlineLevel="1"/>
    <col min="24" max="24" width="9.296875" style="250" customWidth="1" collapsed="1"/>
    <col min="25" max="25" width="9.296875" style="250" hidden="1" customWidth="1" outlineLevel="2"/>
    <col min="26" max="26" width="10.59765625" style="250" hidden="1" customWidth="1" outlineLevel="2"/>
    <col min="27" max="27" width="9.296875" style="250" hidden="1" customWidth="1" outlineLevel="1"/>
    <col min="28" max="29" width="9.296875" style="250" hidden="1" customWidth="1" outlineLevel="2"/>
    <col min="30" max="30" width="9.296875" style="250" hidden="1" customWidth="1" outlineLevel="1"/>
    <col min="31" max="31" width="9.296875" style="250" customWidth="1" collapsed="1"/>
    <col min="32" max="33" width="9.296875" style="250" hidden="1" customWidth="1" outlineLevel="2"/>
    <col min="34" max="34" width="9.296875" style="250" hidden="1" customWidth="1" outlineLevel="1"/>
    <col min="35" max="36" width="9.296875" style="250" hidden="1" customWidth="1" outlineLevel="2"/>
    <col min="37" max="37" width="9.296875" style="250" hidden="1" customWidth="1" outlineLevel="1"/>
    <col min="38" max="38" width="9.296875" style="250" customWidth="1" collapsed="1"/>
    <col min="39" max="40" width="9.296875" style="250" hidden="1" customWidth="1" outlineLevel="2"/>
    <col min="41" max="41" width="9.296875" style="250" hidden="1" customWidth="1" outlineLevel="1"/>
    <col min="42" max="43" width="9.296875" style="250" hidden="1" customWidth="1" outlineLevel="2"/>
    <col min="44" max="44" width="9.296875" style="250" hidden="1" customWidth="1" outlineLevel="1"/>
    <col min="45" max="45" width="9.296875" style="250" customWidth="1" collapsed="1"/>
    <col min="46" max="47" width="9.296875" style="250" hidden="1" customWidth="1" outlineLevel="2"/>
    <col min="48" max="48" width="9.296875" style="250" hidden="1" customWidth="1" outlineLevel="1"/>
    <col min="49" max="49" width="9.296875" style="250" hidden="1" customWidth="1" outlineLevel="2"/>
    <col min="50" max="50" width="10.296875" style="250" hidden="1" customWidth="1" outlineLevel="2"/>
    <col min="51" max="51" width="9.296875" style="250" hidden="1" customWidth="1" outlineLevel="1"/>
    <col min="52" max="52" width="9.296875" style="250" customWidth="1" collapsed="1"/>
    <col min="53" max="54" width="9.296875" style="250" hidden="1" customWidth="1" outlineLevel="2"/>
    <col min="55" max="55" width="9.296875" style="250" hidden="1" customWidth="1" outlineLevel="1"/>
    <col min="56" max="57" width="9.296875" style="250" hidden="1" customWidth="1" outlineLevel="2"/>
    <col min="58" max="58" width="9.296875" style="250" hidden="1" customWidth="1" outlineLevel="1"/>
    <col min="59" max="59" width="9.296875" style="250" customWidth="1" collapsed="1"/>
    <col min="60" max="61" width="9.296875" style="250" hidden="1" customWidth="1" outlineLevel="2"/>
    <col min="62" max="62" width="9.296875" style="250" hidden="1" customWidth="1" outlineLevel="1"/>
    <col min="63" max="64" width="9.296875" style="250" hidden="1" customWidth="1" outlineLevel="2"/>
    <col min="65" max="65" width="9.296875" style="250" hidden="1" customWidth="1" outlineLevel="1"/>
    <col min="66" max="66" width="9.296875" style="250" customWidth="1" collapsed="1"/>
    <col min="67" max="68" width="9.296875" style="250" hidden="1" customWidth="1" outlineLevel="2"/>
    <col min="69" max="69" width="9.296875" style="250" hidden="1" customWidth="1" outlineLevel="1"/>
    <col min="70" max="71" width="9.296875" style="250" hidden="1" customWidth="1" outlineLevel="2"/>
    <col min="72" max="72" width="9.296875" style="250" hidden="1" customWidth="1" outlineLevel="1"/>
    <col min="73" max="73" width="9.296875" style="250" customWidth="1" collapsed="1"/>
    <col min="74" max="75" width="9.296875" style="250" hidden="1" customWidth="1" outlineLevel="2"/>
    <col min="76" max="76" width="9.296875" style="250" hidden="1" customWidth="1" outlineLevel="1"/>
    <col min="77" max="78" width="9.296875" style="250" hidden="1" customWidth="1" outlineLevel="2"/>
    <col min="79" max="79" width="9.296875" style="250" hidden="1" customWidth="1" outlineLevel="1"/>
    <col min="80" max="80" width="9.296875" style="250" customWidth="1" collapsed="1"/>
    <col min="81" max="82" width="8.69921875" style="250" hidden="1" customWidth="1" outlineLevel="2"/>
    <col min="83" max="83" width="8.69921875" style="250" hidden="1" customWidth="1" outlineLevel="1"/>
    <col min="84" max="85" width="8.69921875" style="250" hidden="1" customWidth="1" outlineLevel="2"/>
    <col min="86" max="86" width="8.69921875" style="250" hidden="1" customWidth="1" outlineLevel="1"/>
    <col min="87" max="87" width="8.69921875" style="250" customWidth="1" collapsed="1"/>
    <col min="88" max="89" width="8.69921875" style="250" hidden="1" customWidth="1" outlineLevel="2"/>
    <col min="90" max="90" width="8.69921875" style="250" hidden="1" customWidth="1" outlineLevel="1"/>
    <col min="91" max="92" width="8.69921875" style="250" hidden="1" customWidth="1" outlineLevel="2"/>
    <col min="93" max="93" width="8.69921875" style="250" hidden="1" customWidth="1" outlineLevel="1"/>
    <col min="94" max="94" width="8.69921875" style="250" customWidth="1" collapsed="1"/>
    <col min="95" max="96" width="8.69921875" style="250" hidden="1" customWidth="1" outlineLevel="2"/>
    <col min="97" max="97" width="8.69921875" style="250" hidden="1" customWidth="1" outlineLevel="1"/>
    <col min="98" max="99" width="8.69921875" style="250" hidden="1" customWidth="1" outlineLevel="2"/>
    <col min="100" max="100" width="8.69921875" style="250" hidden="1" customWidth="1" outlineLevel="1"/>
    <col min="101" max="101" width="8.69921875" style="250" customWidth="1" collapsed="1"/>
    <col min="102" max="103" width="8.69921875" style="250" hidden="1" customWidth="1" outlineLevel="3"/>
    <col min="104" max="104" width="8.69921875" style="250" hidden="1" customWidth="1" outlineLevel="1"/>
    <col min="105" max="106" width="8.69921875" style="250" hidden="1" customWidth="1" outlineLevel="2"/>
    <col min="107" max="107" width="8.69921875" style="250" hidden="1" customWidth="1" outlineLevel="1"/>
    <col min="108" max="108" width="9" style="535" customWidth="1" collapsed="1"/>
    <col min="109" max="110" width="8.3984375" style="250" hidden="1" customWidth="1" outlineLevel="2"/>
    <col min="111" max="111" width="8.69921875" style="250" hidden="1" customWidth="1" outlineLevel="1"/>
    <col min="112" max="113" width="8.69921875" style="250" hidden="1" customWidth="1" outlineLevel="2"/>
    <col min="114" max="114" width="8.69921875" style="250" hidden="1" customWidth="1" outlineLevel="1"/>
    <col min="115" max="115" width="9" style="535" customWidth="1" collapsed="1"/>
    <col min="116" max="116" width="8.3984375" style="252" hidden="1" customWidth="1" outlineLevel="2"/>
    <col min="117" max="117" width="8.69921875" style="250" hidden="1" customWidth="1" outlineLevel="2"/>
    <col min="118" max="118" width="8.69921875" style="250" hidden="1" customWidth="1" outlineLevel="1"/>
    <col min="119" max="119" width="8.3984375" style="250" hidden="1" customWidth="1" outlineLevel="2"/>
    <col min="120" max="120" width="8.69921875" style="250" hidden="1" customWidth="1" outlineLevel="2"/>
    <col min="121" max="121" width="8.69921875" style="250" hidden="1" customWidth="1" outlineLevel="1"/>
    <col min="122" max="122" width="9" style="535" customWidth="1" collapsed="1"/>
    <col min="123" max="123" width="8.3984375" style="250" hidden="1" customWidth="1" outlineLevel="2"/>
    <col min="124" max="124" width="8.69921875" style="250" hidden="1" customWidth="1" outlineLevel="2"/>
    <col min="125" max="125" width="8.69921875" style="250" hidden="1" customWidth="1" outlineLevel="1"/>
    <col min="126" max="126" width="8.3984375" style="250" hidden="1" customWidth="1" outlineLevel="2"/>
    <col min="127" max="127" width="8.69921875" style="250" hidden="1" customWidth="1" outlineLevel="2"/>
    <col min="128" max="128" width="8.69921875" style="250" hidden="1" customWidth="1" outlineLevel="1"/>
    <col min="129" max="129" width="9" style="535" customWidth="1" collapsed="1"/>
    <col min="130" max="131" width="9" style="250" hidden="1" customWidth="1" outlineLevel="2"/>
    <col min="132" max="132" width="9" style="250" hidden="1" customWidth="1" outlineLevel="1"/>
    <col min="133" max="134" width="9" style="250" hidden="1" customWidth="1" outlineLevel="2"/>
    <col min="135" max="135" width="9" style="250" hidden="1" customWidth="1" outlineLevel="1"/>
    <col min="136" max="136" width="9" style="535" customWidth="1" collapsed="1"/>
    <col min="137" max="138" width="9" style="250" customWidth="1" outlineLevel="2"/>
    <col min="139" max="139" width="9" style="250" customWidth="1" outlineLevel="1"/>
    <col min="140" max="141" width="9" style="250" customWidth="1" outlineLevel="2"/>
    <col min="142" max="142" width="9" style="250" customWidth="1" outlineLevel="1"/>
    <col min="143" max="143" width="9" style="535" customWidth="1"/>
    <col min="144" max="145" width="9" style="250" customWidth="1" outlineLevel="2"/>
    <col min="146" max="146" width="9" style="250" customWidth="1" outlineLevel="1"/>
    <col min="147" max="147" width="9" style="252" customWidth="1" outlineLevel="2"/>
    <col min="148" max="148" width="9" style="250" customWidth="1" outlineLevel="2"/>
    <col min="149" max="149" width="9" style="250" customWidth="1" outlineLevel="1"/>
    <col min="150" max="150" width="9" style="535" customWidth="1"/>
    <col min="151" max="152" width="9" style="250" customWidth="1" outlineLevel="2"/>
    <col min="153" max="153" width="9" style="250" customWidth="1" outlineLevel="1"/>
    <col min="154" max="155" width="9" style="250" customWidth="1" outlineLevel="2"/>
    <col min="156" max="156" width="9" style="250" customWidth="1" outlineLevel="1"/>
    <col min="157" max="157" width="9" style="535" customWidth="1"/>
    <col min="158" max="159" width="9" style="250" hidden="1" customWidth="1" outlineLevel="2"/>
    <col min="160" max="160" width="9" style="250" hidden="1" customWidth="1" outlineLevel="1"/>
    <col min="161" max="162" width="9" style="250" hidden="1" customWidth="1" outlineLevel="2"/>
    <col min="163" max="163" width="9" style="250" hidden="1" customWidth="1" outlineLevel="1"/>
    <col min="164" max="164" width="9" style="535" customWidth="1" collapsed="1"/>
    <col min="165" max="166" width="9" style="250" hidden="1" customWidth="1" outlineLevel="2"/>
    <col min="167" max="167" width="9" style="250" hidden="1" customWidth="1" outlineLevel="1"/>
    <col min="168" max="169" width="9" style="250" hidden="1" customWidth="1" outlineLevel="2"/>
    <col min="170" max="170" width="9" style="250" hidden="1" customWidth="1" outlineLevel="1"/>
    <col min="171" max="171" width="9" style="535" customWidth="1" collapsed="1"/>
    <col min="172" max="173" width="9" style="250" hidden="1" customWidth="1" outlineLevel="2"/>
    <col min="174" max="174" width="9" style="250" hidden="1" customWidth="1" outlineLevel="1"/>
    <col min="175" max="176" width="9" style="250" hidden="1" customWidth="1" outlineLevel="2"/>
    <col min="177" max="177" width="9" style="250" hidden="1" customWidth="1" outlineLevel="1"/>
    <col min="178" max="178" width="9" style="535" customWidth="1" collapsed="1"/>
    <col min="179" max="179" width="14.09765625" style="258" customWidth="1"/>
    <col min="180" max="180" width="13.69921875" style="258" hidden="1" customWidth="1"/>
    <col min="181" max="183" width="9.09765625" style="258" hidden="1" customWidth="1"/>
    <col min="184" max="184" width="42.69921875" customWidth="1"/>
    <col min="185" max="185" width="4.59765625" customWidth="1"/>
    <col min="186" max="186" width="15.296875" customWidth="1"/>
    <col min="190" max="280" width="9.09765625" style="258"/>
    <col min="281" max="16384" width="9.09765625" style="253"/>
  </cols>
  <sheetData>
    <row r="1" spans="1:280" x14ac:dyDescent="0.3">
      <c r="A1" s="247" t="s">
        <v>233</v>
      </c>
      <c r="B1" s="248"/>
      <c r="C1" s="249" t="s">
        <v>234</v>
      </c>
      <c r="CO1" s="251"/>
      <c r="DD1" s="250"/>
      <c r="DK1" s="250"/>
      <c r="DR1" s="250"/>
      <c r="DY1" s="250"/>
      <c r="DZ1" s="569">
        <f>DZ36/$EF$36</f>
        <v>0.24780019553817442</v>
      </c>
      <c r="EA1" s="569">
        <f>EA36/$EF$36</f>
        <v>0.25375522175806586</v>
      </c>
      <c r="EC1" s="569">
        <f>EC36/$EF$36</f>
        <v>0.24922229135187984</v>
      </c>
      <c r="ED1" s="569">
        <f>ED36/$EF$36</f>
        <v>0.24922229135187987</v>
      </c>
      <c r="EF1" s="250"/>
      <c r="EG1" s="569">
        <f>EG36/$EM$36</f>
        <v>0.26422086344265328</v>
      </c>
      <c r="EH1" s="569">
        <f>EH36/$EM$36</f>
        <v>0.24356123772466182</v>
      </c>
      <c r="EJ1" s="569">
        <f>EJ36/$EM$36</f>
        <v>0.24282008523253659</v>
      </c>
      <c r="EK1" s="569">
        <f>EK36/$EM$36</f>
        <v>0.2493978136001482</v>
      </c>
      <c r="EM1" s="250"/>
      <c r="EO1" s="317"/>
      <c r="EQ1" s="547"/>
      <c r="ER1" s="282"/>
      <c r="ES1" s="566"/>
      <c r="ET1" s="250"/>
      <c r="FA1" s="569"/>
      <c r="FH1" s="250"/>
      <c r="FO1" s="250"/>
      <c r="FV1" s="250"/>
    </row>
    <row r="2" spans="1:280" ht="17.350000000000001" customHeight="1" x14ac:dyDescent="0.3">
      <c r="B2" s="254">
        <f ca="1">+Valuation!D11</f>
        <v>44</v>
      </c>
      <c r="C2" s="255" t="str">
        <f>B219</f>
        <v>Balancing error</v>
      </c>
      <c r="DD2" s="569"/>
      <c r="DK2" s="569"/>
      <c r="DR2" s="569"/>
      <c r="DY2" s="569"/>
      <c r="EF2" s="569"/>
      <c r="EM2" s="569"/>
      <c r="ET2" s="569">
        <f>ET36/EM36-1</f>
        <v>0.15885562623041927</v>
      </c>
      <c r="FA2" s="569"/>
      <c r="FH2" s="250"/>
      <c r="FO2" s="250"/>
      <c r="FV2" s="250"/>
    </row>
    <row r="3" spans="1:280" ht="11.25" customHeight="1" outlineLevel="1" x14ac:dyDescent="0.3">
      <c r="B3" s="256"/>
      <c r="C3" s="257"/>
      <c r="D3" s="250" t="s">
        <v>235</v>
      </c>
      <c r="E3" s="250" t="s">
        <v>236</v>
      </c>
      <c r="F3" s="250" t="s">
        <v>237</v>
      </c>
      <c r="G3" s="250" t="s">
        <v>238</v>
      </c>
      <c r="H3" s="250" t="s">
        <v>239</v>
      </c>
      <c r="I3" s="250" t="s">
        <v>240</v>
      </c>
      <c r="J3" s="250" t="s">
        <v>241</v>
      </c>
      <c r="K3" s="250" t="s">
        <v>242</v>
      </c>
      <c r="L3" s="250" t="s">
        <v>243</v>
      </c>
      <c r="M3" s="250" t="s">
        <v>244</v>
      </c>
      <c r="N3" s="250" t="s">
        <v>245</v>
      </c>
      <c r="O3" s="250" t="s">
        <v>246</v>
      </c>
      <c r="P3" s="250" t="s">
        <v>247</v>
      </c>
      <c r="Q3" s="250" t="s">
        <v>248</v>
      </c>
      <c r="R3" s="250" t="s">
        <v>249</v>
      </c>
      <c r="S3" s="250" t="s">
        <v>250</v>
      </c>
      <c r="T3" s="250" t="s">
        <v>251</v>
      </c>
      <c r="U3" s="250" t="s">
        <v>252</v>
      </c>
      <c r="V3" s="250" t="s">
        <v>253</v>
      </c>
      <c r="W3" s="250" t="s">
        <v>254</v>
      </c>
      <c r="X3" s="250" t="s">
        <v>255</v>
      </c>
      <c r="Y3" s="250" t="s">
        <v>256</v>
      </c>
      <c r="Z3" s="250" t="s">
        <v>257</v>
      </c>
      <c r="AA3" s="250" t="s">
        <v>258</v>
      </c>
      <c r="AB3" s="250" t="s">
        <v>259</v>
      </c>
      <c r="AC3" s="250" t="s">
        <v>260</v>
      </c>
      <c r="AD3" s="250" t="s">
        <v>261</v>
      </c>
      <c r="AE3" s="250" t="s">
        <v>262</v>
      </c>
      <c r="AF3" s="250" t="s">
        <v>263</v>
      </c>
      <c r="AG3" s="250" t="s">
        <v>264</v>
      </c>
      <c r="AH3" s="250" t="s">
        <v>265</v>
      </c>
      <c r="AI3" s="250" t="s">
        <v>266</v>
      </c>
      <c r="AJ3" s="250" t="s">
        <v>267</v>
      </c>
      <c r="AK3" s="250" t="s">
        <v>268</v>
      </c>
      <c r="AL3" s="250" t="s">
        <v>269</v>
      </c>
      <c r="AM3" s="250" t="s">
        <v>270</v>
      </c>
      <c r="AN3" s="250" t="s">
        <v>271</v>
      </c>
      <c r="AO3" s="250" t="s">
        <v>272</v>
      </c>
      <c r="AP3" s="250" t="s">
        <v>273</v>
      </c>
      <c r="AQ3" s="250" t="s">
        <v>274</v>
      </c>
      <c r="AR3" s="250" t="s">
        <v>275</v>
      </c>
      <c r="AS3" s="250" t="s">
        <v>276</v>
      </c>
      <c r="AT3" s="250" t="s">
        <v>277</v>
      </c>
      <c r="AU3" s="250" t="s">
        <v>278</v>
      </c>
      <c r="AV3" s="250" t="s">
        <v>279</v>
      </c>
      <c r="AW3" s="250" t="s">
        <v>280</v>
      </c>
      <c r="AX3" s="250" t="s">
        <v>281</v>
      </c>
      <c r="AY3" s="250" t="s">
        <v>282</v>
      </c>
      <c r="AZ3" s="250" t="s">
        <v>283</v>
      </c>
      <c r="BA3" s="250" t="s">
        <v>284</v>
      </c>
      <c r="BB3" s="250" t="s">
        <v>285</v>
      </c>
      <c r="BC3" s="250" t="s">
        <v>286</v>
      </c>
      <c r="BD3" s="250" t="s">
        <v>287</v>
      </c>
      <c r="BE3" s="250" t="s">
        <v>288</v>
      </c>
      <c r="BF3" s="250" t="s">
        <v>289</v>
      </c>
      <c r="BG3" s="250" t="s">
        <v>290</v>
      </c>
      <c r="BH3" s="250" t="s">
        <v>291</v>
      </c>
      <c r="BI3" s="250" t="s">
        <v>292</v>
      </c>
      <c r="BJ3" s="250" t="s">
        <v>293</v>
      </c>
      <c r="BK3" s="250" t="s">
        <v>294</v>
      </c>
      <c r="BL3" s="250" t="s">
        <v>295</v>
      </c>
      <c r="BM3" s="250" t="s">
        <v>296</v>
      </c>
      <c r="BN3" s="250" t="s">
        <v>297</v>
      </c>
      <c r="BO3" s="250" t="s">
        <v>298</v>
      </c>
      <c r="BP3" s="250" t="s">
        <v>299</v>
      </c>
      <c r="BQ3" s="250" t="s">
        <v>300</v>
      </c>
      <c r="BR3" s="250" t="s">
        <v>301</v>
      </c>
      <c r="BS3" s="250" t="s">
        <v>302</v>
      </c>
      <c r="BT3" s="250" t="s">
        <v>303</v>
      </c>
      <c r="BU3" s="250" t="s">
        <v>304</v>
      </c>
      <c r="BV3" s="250" t="s">
        <v>305</v>
      </c>
      <c r="BW3" s="250" t="s">
        <v>306</v>
      </c>
      <c r="BX3" s="250" t="s">
        <v>307</v>
      </c>
      <c r="BY3" s="250" t="s">
        <v>308</v>
      </c>
      <c r="BZ3" s="250" t="s">
        <v>309</v>
      </c>
      <c r="CA3" s="250" t="s">
        <v>310</v>
      </c>
      <c r="CB3" s="250" t="s">
        <v>230</v>
      </c>
      <c r="CC3" s="250" t="s">
        <v>311</v>
      </c>
      <c r="CD3" s="250" t="s">
        <v>312</v>
      </c>
      <c r="CE3" s="250" t="s">
        <v>313</v>
      </c>
      <c r="CF3" s="250" t="s">
        <v>314</v>
      </c>
      <c r="CG3" s="250" t="s">
        <v>315</v>
      </c>
      <c r="CH3" s="250" t="s">
        <v>316</v>
      </c>
      <c r="CI3" s="250" t="s">
        <v>317</v>
      </c>
      <c r="CJ3" s="250" t="s">
        <v>318</v>
      </c>
      <c r="CK3" s="250" t="s">
        <v>319</v>
      </c>
      <c r="CL3" s="250" t="s">
        <v>320</v>
      </c>
      <c r="CM3" s="250" t="s">
        <v>321</v>
      </c>
      <c r="CN3" s="250" t="s">
        <v>322</v>
      </c>
      <c r="CO3" s="250" t="s">
        <v>323</v>
      </c>
      <c r="CP3" s="250" t="s">
        <v>324</v>
      </c>
      <c r="CQ3" s="250" t="s">
        <v>325</v>
      </c>
      <c r="CR3" s="250" t="s">
        <v>326</v>
      </c>
      <c r="CS3" s="250" t="s">
        <v>327</v>
      </c>
      <c r="CT3" s="250" t="s">
        <v>328</v>
      </c>
      <c r="CU3" s="250" t="s">
        <v>329</v>
      </c>
      <c r="CV3" s="250" t="s">
        <v>330</v>
      </c>
      <c r="CW3" s="250" t="s">
        <v>331</v>
      </c>
      <c r="CX3" s="250" t="s">
        <v>332</v>
      </c>
      <c r="CY3" s="250" t="s">
        <v>333</v>
      </c>
      <c r="CZ3" s="250" t="s">
        <v>334</v>
      </c>
      <c r="DA3" s="250" t="s">
        <v>335</v>
      </c>
      <c r="DB3" s="250" t="s">
        <v>336</v>
      </c>
      <c r="DC3" s="250" t="s">
        <v>337</v>
      </c>
      <c r="DD3" s="250" t="s">
        <v>338</v>
      </c>
      <c r="DE3" s="250" t="s">
        <v>339</v>
      </c>
      <c r="DF3" s="250" t="s">
        <v>340</v>
      </c>
      <c r="DG3" s="250" t="s">
        <v>341</v>
      </c>
      <c r="DH3" s="250" t="s">
        <v>342</v>
      </c>
      <c r="DI3" s="250" t="s">
        <v>343</v>
      </c>
      <c r="DJ3" s="250" t="s">
        <v>344</v>
      </c>
      <c r="DK3" s="250" t="s">
        <v>345</v>
      </c>
      <c r="DL3" s="252" t="s">
        <v>346</v>
      </c>
      <c r="DM3" s="250" t="s">
        <v>347</v>
      </c>
      <c r="DN3" s="250" t="s">
        <v>348</v>
      </c>
      <c r="DO3" s="250" t="s">
        <v>349</v>
      </c>
      <c r="DP3" s="250" t="s">
        <v>350</v>
      </c>
      <c r="DQ3" s="250" t="s">
        <v>351</v>
      </c>
      <c r="DR3" s="250" t="s">
        <v>140</v>
      </c>
      <c r="DS3" s="250" t="s">
        <v>352</v>
      </c>
      <c r="DT3" s="250" t="s">
        <v>353</v>
      </c>
      <c r="DU3" s="250" t="s">
        <v>354</v>
      </c>
      <c r="DV3" s="250" t="s">
        <v>355</v>
      </c>
      <c r="DW3" s="250" t="s">
        <v>356</v>
      </c>
      <c r="DX3" s="250" t="s">
        <v>357</v>
      </c>
      <c r="DY3" s="250" t="s">
        <v>138</v>
      </c>
      <c r="DZ3" s="250" t="s">
        <v>358</v>
      </c>
      <c r="EA3" s="250" t="s">
        <v>359</v>
      </c>
      <c r="EB3" s="250" t="s">
        <v>360</v>
      </c>
      <c r="EC3" s="250" t="s">
        <v>361</v>
      </c>
      <c r="ED3" s="250" t="s">
        <v>362</v>
      </c>
      <c r="EE3" s="250" t="s">
        <v>363</v>
      </c>
      <c r="EF3" s="250" t="s">
        <v>139</v>
      </c>
      <c r="EG3" s="250" t="s">
        <v>364</v>
      </c>
      <c r="EH3" s="250" t="s">
        <v>365</v>
      </c>
      <c r="EI3" s="250" t="s">
        <v>366</v>
      </c>
      <c r="EJ3" s="250" t="s">
        <v>367</v>
      </c>
      <c r="EK3" s="250" t="s">
        <v>368</v>
      </c>
      <c r="EL3" s="250" t="s">
        <v>369</v>
      </c>
      <c r="EM3" s="250" t="s">
        <v>370</v>
      </c>
      <c r="EN3" s="250" t="s">
        <v>371</v>
      </c>
      <c r="EO3" s="250" t="s">
        <v>639</v>
      </c>
      <c r="EP3" s="250" t="s">
        <v>372</v>
      </c>
      <c r="EQ3" s="252" t="s">
        <v>373</v>
      </c>
      <c r="ER3" s="250" t="s">
        <v>374</v>
      </c>
      <c r="ES3" s="250" t="s">
        <v>375</v>
      </c>
      <c r="ET3" s="250" t="s">
        <v>376</v>
      </c>
      <c r="EU3" s="250" t="s">
        <v>377</v>
      </c>
      <c r="EV3" s="250" t="s">
        <v>378</v>
      </c>
      <c r="EW3" s="250" t="s">
        <v>379</v>
      </c>
      <c r="EX3" s="250" t="s">
        <v>380</v>
      </c>
      <c r="EY3" s="250" t="s">
        <v>381</v>
      </c>
      <c r="EZ3" s="250" t="s">
        <v>382</v>
      </c>
      <c r="FA3" s="250" t="s">
        <v>383</v>
      </c>
      <c r="FB3" s="250" t="s">
        <v>384</v>
      </c>
      <c r="FC3" s="250" t="s">
        <v>385</v>
      </c>
      <c r="FD3" s="250" t="s">
        <v>386</v>
      </c>
      <c r="FE3" s="250" t="s">
        <v>387</v>
      </c>
      <c r="FF3" s="250" t="s">
        <v>388</v>
      </c>
      <c r="FG3" s="250" t="s">
        <v>389</v>
      </c>
      <c r="FH3" s="250" t="s">
        <v>390</v>
      </c>
      <c r="FI3" s="250" t="s">
        <v>391</v>
      </c>
      <c r="FJ3" s="250" t="s">
        <v>392</v>
      </c>
      <c r="FK3" s="250" t="s">
        <v>393</v>
      </c>
      <c r="FL3" s="250" t="s">
        <v>394</v>
      </c>
      <c r="FM3" s="250" t="s">
        <v>395</v>
      </c>
      <c r="FN3" s="250" t="s">
        <v>396</v>
      </c>
      <c r="FO3" s="250" t="s">
        <v>397</v>
      </c>
      <c r="FP3" s="250" t="s">
        <v>398</v>
      </c>
      <c r="FQ3" s="250" t="s">
        <v>399</v>
      </c>
      <c r="FR3" s="250" t="s">
        <v>400</v>
      </c>
      <c r="FS3" s="250" t="s">
        <v>401</v>
      </c>
      <c r="FT3" s="250" t="s">
        <v>402</v>
      </c>
      <c r="FU3" s="250" t="s">
        <v>403</v>
      </c>
      <c r="FV3" s="250" t="s">
        <v>404</v>
      </c>
    </row>
    <row r="4" spans="1:280" ht="11.25" customHeight="1" outlineLevel="1" x14ac:dyDescent="0.3">
      <c r="B4" s="247" t="s">
        <v>405</v>
      </c>
      <c r="C4" s="257"/>
      <c r="D4" s="250" t="s">
        <v>406</v>
      </c>
      <c r="E4" s="250" t="s">
        <v>406</v>
      </c>
      <c r="F4" s="250" t="s">
        <v>406</v>
      </c>
      <c r="G4" s="250" t="s">
        <v>406</v>
      </c>
      <c r="H4" s="250" t="s">
        <v>406</v>
      </c>
      <c r="I4" s="250" t="s">
        <v>406</v>
      </c>
      <c r="J4" s="250" t="s">
        <v>406</v>
      </c>
      <c r="K4" s="250" t="s">
        <v>406</v>
      </c>
      <c r="L4" s="250" t="s">
        <v>406</v>
      </c>
      <c r="M4" s="250" t="s">
        <v>406</v>
      </c>
      <c r="N4" s="250" t="s">
        <v>406</v>
      </c>
      <c r="O4" s="250" t="s">
        <v>406</v>
      </c>
      <c r="P4" s="250" t="s">
        <v>406</v>
      </c>
      <c r="Q4" s="250" t="s">
        <v>406</v>
      </c>
      <c r="R4" s="250" t="s">
        <v>406</v>
      </c>
      <c r="S4" s="250" t="s">
        <v>406</v>
      </c>
      <c r="T4" s="250" t="s">
        <v>406</v>
      </c>
      <c r="U4" s="250" t="s">
        <v>406</v>
      </c>
      <c r="V4" s="250" t="s">
        <v>406</v>
      </c>
      <c r="W4" s="250" t="s">
        <v>406</v>
      </c>
      <c r="X4" s="250" t="s">
        <v>406</v>
      </c>
      <c r="Y4" s="250" t="s">
        <v>406</v>
      </c>
      <c r="Z4" s="250" t="s">
        <v>406</v>
      </c>
      <c r="AA4" s="250" t="s">
        <v>406</v>
      </c>
      <c r="AB4" s="250" t="s">
        <v>406</v>
      </c>
      <c r="AC4" s="250" t="s">
        <v>406</v>
      </c>
      <c r="AD4" s="250" t="s">
        <v>406</v>
      </c>
      <c r="AE4" s="250" t="s">
        <v>406</v>
      </c>
      <c r="AF4" s="250" t="s">
        <v>406</v>
      </c>
      <c r="AG4" s="250" t="s">
        <v>406</v>
      </c>
      <c r="AH4" s="250" t="s">
        <v>406</v>
      </c>
      <c r="AI4" s="250" t="s">
        <v>406</v>
      </c>
      <c r="AJ4" s="250" t="s">
        <v>406</v>
      </c>
      <c r="AK4" s="250" t="s">
        <v>406</v>
      </c>
      <c r="AL4" s="250" t="s">
        <v>406</v>
      </c>
      <c r="AM4" s="250" t="s">
        <v>406</v>
      </c>
      <c r="AN4" s="250" t="s">
        <v>406</v>
      </c>
      <c r="AO4" s="250" t="s">
        <v>406</v>
      </c>
      <c r="AP4" s="250" t="s">
        <v>406</v>
      </c>
      <c r="AQ4" s="250" t="s">
        <v>406</v>
      </c>
      <c r="AR4" s="250" t="s">
        <v>406</v>
      </c>
      <c r="AS4" s="250" t="s">
        <v>406</v>
      </c>
      <c r="AT4" s="250" t="s">
        <v>406</v>
      </c>
      <c r="AU4" s="250" t="s">
        <v>406</v>
      </c>
      <c r="AV4" s="250" t="s">
        <v>406</v>
      </c>
      <c r="AW4" s="250" t="s">
        <v>406</v>
      </c>
      <c r="AX4" s="250" t="s">
        <v>406</v>
      </c>
      <c r="AY4" s="250" t="s">
        <v>406</v>
      </c>
      <c r="AZ4" s="250" t="s">
        <v>406</v>
      </c>
      <c r="BA4" s="250" t="s">
        <v>406</v>
      </c>
      <c r="BB4" s="250" t="s">
        <v>406</v>
      </c>
      <c r="BC4" s="250" t="s">
        <v>406</v>
      </c>
      <c r="BD4" s="250" t="s">
        <v>406</v>
      </c>
      <c r="BE4" s="250" t="s">
        <v>406</v>
      </c>
      <c r="BF4" s="250" t="s">
        <v>406</v>
      </c>
      <c r="BG4" s="250" t="s">
        <v>406</v>
      </c>
      <c r="BH4" s="250" t="s">
        <v>406</v>
      </c>
      <c r="BI4" s="250" t="s">
        <v>406</v>
      </c>
      <c r="BJ4" s="250" t="s">
        <v>406</v>
      </c>
      <c r="BK4" s="250" t="s">
        <v>406</v>
      </c>
      <c r="BL4" s="250" t="s">
        <v>406</v>
      </c>
      <c r="BM4" s="250" t="s">
        <v>406</v>
      </c>
      <c r="BN4" s="250" t="s">
        <v>406</v>
      </c>
      <c r="BO4" s="250" t="s">
        <v>406</v>
      </c>
      <c r="BP4" s="250" t="s">
        <v>406</v>
      </c>
      <c r="BQ4" s="250" t="s">
        <v>406</v>
      </c>
      <c r="BR4" s="250" t="s">
        <v>406</v>
      </c>
      <c r="BS4" s="250" t="s">
        <v>406</v>
      </c>
      <c r="BT4" s="250" t="s">
        <v>406</v>
      </c>
      <c r="BU4" s="250" t="s">
        <v>406</v>
      </c>
      <c r="BV4" s="250" t="s">
        <v>406</v>
      </c>
      <c r="BW4" s="250" t="s">
        <v>406</v>
      </c>
      <c r="BX4" s="250" t="s">
        <v>406</v>
      </c>
      <c r="BY4" s="250" t="s">
        <v>406</v>
      </c>
      <c r="BZ4" s="250" t="s">
        <v>406</v>
      </c>
      <c r="CA4" s="250" t="s">
        <v>406</v>
      </c>
      <c r="CB4" s="250" t="s">
        <v>406</v>
      </c>
      <c r="CC4" s="250" t="s">
        <v>406</v>
      </c>
      <c r="CD4" s="250" t="s">
        <v>406</v>
      </c>
      <c r="CE4" s="250" t="s">
        <v>406</v>
      </c>
      <c r="CF4" s="250" t="s">
        <v>406</v>
      </c>
      <c r="CG4" s="250" t="s">
        <v>406</v>
      </c>
      <c r="CH4" s="250" t="s">
        <v>406</v>
      </c>
      <c r="CI4" s="250" t="s">
        <v>406</v>
      </c>
      <c r="CJ4" s="250" t="s">
        <v>406</v>
      </c>
      <c r="CK4" s="250" t="s">
        <v>406</v>
      </c>
      <c r="CL4" s="250" t="s">
        <v>406</v>
      </c>
      <c r="CM4" s="250" t="s">
        <v>406</v>
      </c>
      <c r="CN4" s="250" t="s">
        <v>406</v>
      </c>
      <c r="CO4" s="250" t="s">
        <v>406</v>
      </c>
      <c r="CP4" s="250" t="s">
        <v>406</v>
      </c>
      <c r="CQ4" s="250" t="s">
        <v>406</v>
      </c>
      <c r="CR4" s="250" t="s">
        <v>406</v>
      </c>
      <c r="CS4" s="250" t="s">
        <v>406</v>
      </c>
      <c r="CT4" s="250" t="s">
        <v>406</v>
      </c>
      <c r="CU4" s="250" t="s">
        <v>406</v>
      </c>
      <c r="CV4" s="250" t="s">
        <v>406</v>
      </c>
      <c r="CW4" s="250" t="s">
        <v>406</v>
      </c>
      <c r="CX4" s="250" t="s">
        <v>406</v>
      </c>
      <c r="CY4" s="250" t="s">
        <v>406</v>
      </c>
      <c r="CZ4" s="250" t="s">
        <v>406</v>
      </c>
      <c r="DA4" s="250" t="s">
        <v>406</v>
      </c>
      <c r="DB4" s="250" t="s">
        <v>406</v>
      </c>
      <c r="DC4" s="250" t="s">
        <v>406</v>
      </c>
      <c r="DD4" s="250" t="s">
        <v>406</v>
      </c>
      <c r="DE4" s="250" t="s">
        <v>406</v>
      </c>
      <c r="DF4" s="250" t="s">
        <v>406</v>
      </c>
      <c r="DG4" s="250" t="s">
        <v>406</v>
      </c>
      <c r="DH4" s="250" t="s">
        <v>406</v>
      </c>
      <c r="DI4" s="250" t="s">
        <v>406</v>
      </c>
      <c r="DJ4" s="250" t="s">
        <v>406</v>
      </c>
      <c r="DK4" s="250" t="s">
        <v>406</v>
      </c>
      <c r="DL4" s="252" t="s">
        <v>406</v>
      </c>
      <c r="DM4" s="250" t="s">
        <v>406</v>
      </c>
      <c r="DN4" s="250" t="s">
        <v>406</v>
      </c>
      <c r="DO4" s="250" t="s">
        <v>406</v>
      </c>
      <c r="DP4" s="250" t="s">
        <v>406</v>
      </c>
      <c r="DQ4" s="250" t="s">
        <v>406</v>
      </c>
      <c r="DR4" s="250" t="s">
        <v>406</v>
      </c>
      <c r="DS4" s="250" t="s">
        <v>406</v>
      </c>
      <c r="DT4" s="250" t="s">
        <v>406</v>
      </c>
      <c r="DU4" s="250" t="s">
        <v>406</v>
      </c>
      <c r="DV4" s="250" t="s">
        <v>406</v>
      </c>
      <c r="DW4" s="250" t="s">
        <v>406</v>
      </c>
      <c r="DX4" s="250" t="s">
        <v>406</v>
      </c>
      <c r="DY4" s="250" t="s">
        <v>406</v>
      </c>
      <c r="DZ4" s="250" t="s">
        <v>406</v>
      </c>
      <c r="EA4" s="250" t="s">
        <v>406</v>
      </c>
      <c r="EB4" s="250" t="s">
        <v>406</v>
      </c>
      <c r="EC4" s="250" t="s">
        <v>406</v>
      </c>
      <c r="ED4" s="250" t="s">
        <v>406</v>
      </c>
      <c r="EE4" s="250" t="s">
        <v>406</v>
      </c>
      <c r="EF4" s="250" t="s">
        <v>406</v>
      </c>
      <c r="EG4" s="250" t="s">
        <v>406</v>
      </c>
      <c r="EH4" s="250" t="s">
        <v>406</v>
      </c>
      <c r="EI4" s="250" t="s">
        <v>406</v>
      </c>
      <c r="EJ4" s="250" t="s">
        <v>406</v>
      </c>
      <c r="EK4" s="250" t="s">
        <v>406</v>
      </c>
      <c r="EL4" s="250" t="s">
        <v>406</v>
      </c>
      <c r="EM4" s="250" t="s">
        <v>406</v>
      </c>
      <c r="EN4" s="250" t="s">
        <v>406</v>
      </c>
      <c r="EO4" s="250" t="s">
        <v>406</v>
      </c>
      <c r="EP4" s="250" t="s">
        <v>406</v>
      </c>
      <c r="EQ4" s="252" t="s">
        <v>406</v>
      </c>
      <c r="ER4" s="250" t="s">
        <v>407</v>
      </c>
      <c r="ES4" s="250" t="s">
        <v>407</v>
      </c>
      <c r="ET4" s="250" t="s">
        <v>407</v>
      </c>
      <c r="EU4" s="250" t="s">
        <v>407</v>
      </c>
      <c r="EV4" s="250" t="s">
        <v>407</v>
      </c>
      <c r="EW4" s="250" t="s">
        <v>407</v>
      </c>
      <c r="EX4" s="250" t="s">
        <v>407</v>
      </c>
      <c r="EY4" s="250" t="s">
        <v>407</v>
      </c>
      <c r="EZ4" s="250" t="s">
        <v>407</v>
      </c>
      <c r="FA4" s="250" t="s">
        <v>407</v>
      </c>
      <c r="FB4" s="250" t="s">
        <v>407</v>
      </c>
      <c r="FC4" s="250" t="s">
        <v>407</v>
      </c>
      <c r="FD4" s="250" t="s">
        <v>407</v>
      </c>
      <c r="FE4" s="250" t="s">
        <v>407</v>
      </c>
      <c r="FF4" s="250" t="s">
        <v>407</v>
      </c>
      <c r="FG4" s="250" t="s">
        <v>407</v>
      </c>
      <c r="FH4" s="250" t="s">
        <v>407</v>
      </c>
      <c r="FI4" s="250" t="s">
        <v>407</v>
      </c>
      <c r="FJ4" s="250" t="s">
        <v>407</v>
      </c>
      <c r="FK4" s="250" t="s">
        <v>407</v>
      </c>
      <c r="FL4" s="250" t="s">
        <v>407</v>
      </c>
      <c r="FM4" s="250" t="s">
        <v>407</v>
      </c>
      <c r="FN4" s="250" t="s">
        <v>407</v>
      </c>
      <c r="FO4" s="250" t="s">
        <v>407</v>
      </c>
      <c r="FP4" s="250" t="s">
        <v>407</v>
      </c>
      <c r="FQ4" s="250" t="s">
        <v>407</v>
      </c>
      <c r="FR4" s="250" t="s">
        <v>407</v>
      </c>
      <c r="FS4" s="250" t="s">
        <v>407</v>
      </c>
      <c r="FT4" s="250" t="s">
        <v>407</v>
      </c>
      <c r="FU4" s="250" t="s">
        <v>407</v>
      </c>
      <c r="FV4" s="250" t="s">
        <v>407</v>
      </c>
    </row>
    <row r="5" spans="1:280" customFormat="1" outlineLevel="1" x14ac:dyDescent="0.3"/>
    <row r="6" spans="1:280" s="263" customFormat="1" x14ac:dyDescent="0.3">
      <c r="A6" s="260" t="s">
        <v>231</v>
      </c>
      <c r="B6" s="261"/>
      <c r="C6" s="261"/>
      <c r="D6" s="261" t="str">
        <f>CONCATENATE(D3,D4)</f>
        <v>1Q06A</v>
      </c>
      <c r="E6" s="261" t="str">
        <f t="shared" ref="E6:BP6" si="0">CONCATENATE(E3,E4)</f>
        <v>2Q06A</v>
      </c>
      <c r="F6" s="261" t="str">
        <f t="shared" si="0"/>
        <v>1H06A</v>
      </c>
      <c r="G6" s="261" t="str">
        <f t="shared" si="0"/>
        <v>3Q06A</v>
      </c>
      <c r="H6" s="261" t="str">
        <f t="shared" si="0"/>
        <v>4Q06A</v>
      </c>
      <c r="I6" s="261" t="str">
        <f t="shared" si="0"/>
        <v>2H06A</v>
      </c>
      <c r="J6" s="261" t="str">
        <f t="shared" si="0"/>
        <v>FY06A</v>
      </c>
      <c r="K6" s="261" t="str">
        <f t="shared" si="0"/>
        <v>1Q07A</v>
      </c>
      <c r="L6" s="261" t="str">
        <f t="shared" si="0"/>
        <v>2Q07A</v>
      </c>
      <c r="M6" s="261" t="str">
        <f t="shared" si="0"/>
        <v>1H07A</v>
      </c>
      <c r="N6" s="261" t="str">
        <f t="shared" si="0"/>
        <v>3Q07A</v>
      </c>
      <c r="O6" s="261" t="str">
        <f t="shared" si="0"/>
        <v>4Q07A</v>
      </c>
      <c r="P6" s="261" t="str">
        <f t="shared" si="0"/>
        <v>2H07A</v>
      </c>
      <c r="Q6" s="261" t="str">
        <f t="shared" si="0"/>
        <v>FY07A</v>
      </c>
      <c r="R6" s="261" t="str">
        <f t="shared" si="0"/>
        <v>1Q08A</v>
      </c>
      <c r="S6" s="261" t="str">
        <f t="shared" si="0"/>
        <v>2Q08A</v>
      </c>
      <c r="T6" s="261" t="str">
        <f t="shared" si="0"/>
        <v>1H08A</v>
      </c>
      <c r="U6" s="261" t="str">
        <f t="shared" si="0"/>
        <v>3Q08A</v>
      </c>
      <c r="V6" s="261" t="str">
        <f t="shared" si="0"/>
        <v>4Q08A</v>
      </c>
      <c r="W6" s="261" t="str">
        <f t="shared" si="0"/>
        <v>2H08A</v>
      </c>
      <c r="X6" s="261" t="str">
        <f t="shared" si="0"/>
        <v>FY08A</v>
      </c>
      <c r="Y6" s="261" t="str">
        <f t="shared" si="0"/>
        <v>1Q09A</v>
      </c>
      <c r="Z6" s="261" t="str">
        <f t="shared" si="0"/>
        <v>2Q09A</v>
      </c>
      <c r="AA6" s="261" t="str">
        <f t="shared" si="0"/>
        <v>1H09A</v>
      </c>
      <c r="AB6" s="261" t="str">
        <f t="shared" si="0"/>
        <v>3Q09A</v>
      </c>
      <c r="AC6" s="261" t="str">
        <f t="shared" si="0"/>
        <v>4Q09A</v>
      </c>
      <c r="AD6" s="261" t="str">
        <f t="shared" si="0"/>
        <v>2H09A</v>
      </c>
      <c r="AE6" s="261" t="str">
        <f t="shared" si="0"/>
        <v>FY09A</v>
      </c>
      <c r="AF6" s="261" t="str">
        <f t="shared" si="0"/>
        <v>1Q10A</v>
      </c>
      <c r="AG6" s="261" t="str">
        <f t="shared" si="0"/>
        <v>2Q10A</v>
      </c>
      <c r="AH6" s="261" t="str">
        <f t="shared" si="0"/>
        <v>1H10A</v>
      </c>
      <c r="AI6" s="261" t="str">
        <f t="shared" si="0"/>
        <v>3Q10A</v>
      </c>
      <c r="AJ6" s="261" t="str">
        <f t="shared" si="0"/>
        <v>4Q10A</v>
      </c>
      <c r="AK6" s="261" t="str">
        <f t="shared" si="0"/>
        <v>2H10A</v>
      </c>
      <c r="AL6" s="261" t="str">
        <f t="shared" si="0"/>
        <v>FY10A</v>
      </c>
      <c r="AM6" s="261" t="str">
        <f t="shared" si="0"/>
        <v>1Q11A</v>
      </c>
      <c r="AN6" s="261" t="str">
        <f t="shared" si="0"/>
        <v>2Q11A</v>
      </c>
      <c r="AO6" s="261" t="str">
        <f t="shared" si="0"/>
        <v>1H11A</v>
      </c>
      <c r="AP6" s="261" t="str">
        <f t="shared" si="0"/>
        <v>3Q11A</v>
      </c>
      <c r="AQ6" s="261" t="str">
        <f t="shared" si="0"/>
        <v>4Q11A</v>
      </c>
      <c r="AR6" s="261" t="str">
        <f t="shared" si="0"/>
        <v>2H11A</v>
      </c>
      <c r="AS6" s="261" t="str">
        <f t="shared" si="0"/>
        <v>FY11A</v>
      </c>
      <c r="AT6" s="261" t="str">
        <f t="shared" si="0"/>
        <v>1Q12A</v>
      </c>
      <c r="AU6" s="261" t="str">
        <f t="shared" si="0"/>
        <v>2Q12A</v>
      </c>
      <c r="AV6" s="261" t="str">
        <f t="shared" si="0"/>
        <v>1H12A</v>
      </c>
      <c r="AW6" s="261" t="str">
        <f t="shared" si="0"/>
        <v>3Q12A</v>
      </c>
      <c r="AX6" s="261" t="str">
        <f t="shared" si="0"/>
        <v>4Q12A</v>
      </c>
      <c r="AY6" s="261" t="str">
        <f t="shared" si="0"/>
        <v>2H12A</v>
      </c>
      <c r="AZ6" s="261" t="str">
        <f t="shared" si="0"/>
        <v>FY12A</v>
      </c>
      <c r="BA6" s="261" t="str">
        <f t="shared" si="0"/>
        <v>1Q13A</v>
      </c>
      <c r="BB6" s="261" t="str">
        <f t="shared" si="0"/>
        <v>2Q13A</v>
      </c>
      <c r="BC6" s="261" t="str">
        <f t="shared" si="0"/>
        <v>1H13A</v>
      </c>
      <c r="BD6" s="261" t="str">
        <f t="shared" si="0"/>
        <v>3Q13A</v>
      </c>
      <c r="BE6" s="261" t="str">
        <f t="shared" si="0"/>
        <v>4Q13A</v>
      </c>
      <c r="BF6" s="261" t="str">
        <f t="shared" si="0"/>
        <v>2H13A</v>
      </c>
      <c r="BG6" s="261" t="str">
        <f t="shared" si="0"/>
        <v>FY13A</v>
      </c>
      <c r="BH6" s="261" t="str">
        <f t="shared" si="0"/>
        <v>1Q14A</v>
      </c>
      <c r="BI6" s="261" t="str">
        <f t="shared" si="0"/>
        <v>2Q14A</v>
      </c>
      <c r="BJ6" s="261" t="str">
        <f t="shared" si="0"/>
        <v>1H14A</v>
      </c>
      <c r="BK6" s="261" t="str">
        <f t="shared" si="0"/>
        <v>3Q14A</v>
      </c>
      <c r="BL6" s="261" t="str">
        <f t="shared" si="0"/>
        <v>4Q14A</v>
      </c>
      <c r="BM6" s="261" t="str">
        <f t="shared" si="0"/>
        <v>2H14A</v>
      </c>
      <c r="BN6" s="261" t="str">
        <f t="shared" si="0"/>
        <v>FY14A</v>
      </c>
      <c r="BO6" s="261" t="str">
        <f t="shared" si="0"/>
        <v>1Q15A</v>
      </c>
      <c r="BP6" s="261" t="str">
        <f t="shared" si="0"/>
        <v>2Q15A</v>
      </c>
      <c r="BQ6" s="261" t="str">
        <f t="shared" ref="BQ6:DU6" si="1">CONCATENATE(BQ3,BQ4)</f>
        <v>1H15A</v>
      </c>
      <c r="BR6" s="261" t="str">
        <f t="shared" si="1"/>
        <v>3Q15A</v>
      </c>
      <c r="BS6" s="261" t="str">
        <f t="shared" si="1"/>
        <v>4Q15A</v>
      </c>
      <c r="BT6" s="261" t="str">
        <f t="shared" si="1"/>
        <v>2H15A</v>
      </c>
      <c r="BU6" s="261" t="str">
        <f t="shared" si="1"/>
        <v>FY15A</v>
      </c>
      <c r="BV6" s="261" t="str">
        <f t="shared" si="1"/>
        <v>1Q16A</v>
      </c>
      <c r="BW6" s="261" t="str">
        <f t="shared" si="1"/>
        <v>2Q16A</v>
      </c>
      <c r="BX6" s="261" t="str">
        <f t="shared" si="1"/>
        <v>1H16A</v>
      </c>
      <c r="BY6" s="261" t="str">
        <f t="shared" si="1"/>
        <v>3Q16A</v>
      </c>
      <c r="BZ6" s="261" t="str">
        <f t="shared" si="1"/>
        <v>4Q16A</v>
      </c>
      <c r="CA6" s="261" t="str">
        <f t="shared" si="1"/>
        <v>2H16A</v>
      </c>
      <c r="CB6" s="261" t="str">
        <f t="shared" si="1"/>
        <v>FY16A</v>
      </c>
      <c r="CC6" s="261" t="str">
        <f t="shared" si="1"/>
        <v>1Q17A</v>
      </c>
      <c r="CD6" s="261" t="str">
        <f t="shared" si="1"/>
        <v>2Q17A</v>
      </c>
      <c r="CE6" s="261" t="str">
        <f t="shared" si="1"/>
        <v>1H17A</v>
      </c>
      <c r="CF6" s="261" t="str">
        <f t="shared" si="1"/>
        <v>3Q17A</v>
      </c>
      <c r="CG6" s="261" t="str">
        <f t="shared" si="1"/>
        <v>4Q17A</v>
      </c>
      <c r="CH6" s="261" t="str">
        <f t="shared" si="1"/>
        <v>2H17A</v>
      </c>
      <c r="CI6" s="261" t="str">
        <f t="shared" si="1"/>
        <v>FY17A</v>
      </c>
      <c r="CJ6" s="261" t="str">
        <f t="shared" si="1"/>
        <v>1Q18A</v>
      </c>
      <c r="CK6" s="261" t="str">
        <f t="shared" si="1"/>
        <v>2Q18A</v>
      </c>
      <c r="CL6" s="261" t="str">
        <f t="shared" si="1"/>
        <v>1H18A</v>
      </c>
      <c r="CM6" s="261" t="str">
        <f t="shared" si="1"/>
        <v>3Q18A</v>
      </c>
      <c r="CN6" s="261" t="str">
        <f t="shared" si="1"/>
        <v>4Q18A</v>
      </c>
      <c r="CO6" s="261" t="str">
        <f t="shared" si="1"/>
        <v>2H18A</v>
      </c>
      <c r="CP6" s="261" t="str">
        <f t="shared" si="1"/>
        <v>FY18A</v>
      </c>
      <c r="CQ6" s="261" t="str">
        <f t="shared" si="1"/>
        <v>1Q19A</v>
      </c>
      <c r="CR6" s="261" t="str">
        <f t="shared" si="1"/>
        <v>2Q19A</v>
      </c>
      <c r="CS6" s="261" t="str">
        <f t="shared" si="1"/>
        <v>1H19A</v>
      </c>
      <c r="CT6" s="261" t="str">
        <f t="shared" si="1"/>
        <v>3Q19A</v>
      </c>
      <c r="CU6" s="261" t="str">
        <f t="shared" si="1"/>
        <v>4Q19A</v>
      </c>
      <c r="CV6" s="261" t="str">
        <f t="shared" si="1"/>
        <v>2H19A</v>
      </c>
      <c r="CW6" s="261" t="str">
        <f t="shared" si="1"/>
        <v>FY19A</v>
      </c>
      <c r="CX6" s="261" t="str">
        <f t="shared" si="1"/>
        <v>1Q20A</v>
      </c>
      <c r="CY6" s="261" t="str">
        <f t="shared" si="1"/>
        <v>2Q20A</v>
      </c>
      <c r="CZ6" s="261" t="str">
        <f t="shared" si="1"/>
        <v>1H20A</v>
      </c>
      <c r="DA6" s="261" t="str">
        <f t="shared" si="1"/>
        <v>3Q20A</v>
      </c>
      <c r="DB6" s="261" t="str">
        <f t="shared" si="1"/>
        <v>4Q20A</v>
      </c>
      <c r="DC6" s="261" t="str">
        <f t="shared" si="1"/>
        <v>2H20A</v>
      </c>
      <c r="DD6" s="261" t="str">
        <f t="shared" si="1"/>
        <v>FY20A</v>
      </c>
      <c r="DE6" s="261" t="str">
        <f t="shared" si="1"/>
        <v>1Q21A</v>
      </c>
      <c r="DF6" s="261" t="str">
        <f t="shared" si="1"/>
        <v>2Q21A</v>
      </c>
      <c r="DG6" s="261" t="str">
        <f t="shared" si="1"/>
        <v>1H21A</v>
      </c>
      <c r="DH6" s="261" t="str">
        <f>CONCATENATE(DH3,DH4)</f>
        <v>3Q21A</v>
      </c>
      <c r="DI6" s="261" t="str">
        <f>CONCATENATE(DI3,DI4)</f>
        <v>4Q21A</v>
      </c>
      <c r="DJ6" s="261" t="str">
        <f>CONCATENATE(DJ3,DJ4)</f>
        <v>2H21A</v>
      </c>
      <c r="DK6" s="261" t="str">
        <f>CONCATENATE(DK3,DK4)</f>
        <v>FY21A</v>
      </c>
      <c r="DL6" s="262" t="str">
        <f t="shared" si="1"/>
        <v>1Q22A</v>
      </c>
      <c r="DM6" s="261" t="str">
        <f t="shared" si="1"/>
        <v>2Q22A</v>
      </c>
      <c r="DN6" s="261" t="str">
        <f t="shared" si="1"/>
        <v>1H22A</v>
      </c>
      <c r="DO6" s="261" t="str">
        <f t="shared" si="1"/>
        <v>3Q22A</v>
      </c>
      <c r="DP6" s="261" t="str">
        <f t="shared" si="1"/>
        <v>4Q22A</v>
      </c>
      <c r="DQ6" s="261" t="str">
        <f t="shared" si="1"/>
        <v>2H22A</v>
      </c>
      <c r="DR6" s="261" t="str">
        <f t="shared" si="1"/>
        <v>FY22A</v>
      </c>
      <c r="DS6" s="261" t="str">
        <f t="shared" si="1"/>
        <v>1Q23A</v>
      </c>
      <c r="DT6" s="261" t="str">
        <f>CONCATENATE(DT3,DT4)</f>
        <v>2Q23A</v>
      </c>
      <c r="DU6" s="261" t="str">
        <f t="shared" si="1"/>
        <v>1H23A</v>
      </c>
      <c r="DV6" s="261" t="str">
        <f t="shared" ref="DV6:EM6" si="2">CONCATENATE(DV3,DV4)</f>
        <v>3Q23A</v>
      </c>
      <c r="DW6" s="261" t="str">
        <f t="shared" si="2"/>
        <v>4Q23A</v>
      </c>
      <c r="DX6" s="261" t="str">
        <f t="shared" si="2"/>
        <v>2H23A</v>
      </c>
      <c r="DY6" s="261" t="str">
        <f t="shared" si="2"/>
        <v>FY23A</v>
      </c>
      <c r="DZ6" s="261" t="str">
        <f t="shared" si="2"/>
        <v>1Q24A</v>
      </c>
      <c r="EA6" s="261" t="str">
        <f t="shared" si="2"/>
        <v>2Q24A</v>
      </c>
      <c r="EB6" s="261" t="str">
        <f t="shared" si="2"/>
        <v>1H24A</v>
      </c>
      <c r="EC6" s="261" t="str">
        <f t="shared" si="2"/>
        <v>3Q24A</v>
      </c>
      <c r="ED6" s="261" t="str">
        <f t="shared" si="2"/>
        <v>4Q24A</v>
      </c>
      <c r="EE6" s="261" t="str">
        <f t="shared" si="2"/>
        <v>2H24A</v>
      </c>
      <c r="EF6" s="261" t="str">
        <f t="shared" si="2"/>
        <v>FY24A</v>
      </c>
      <c r="EG6" s="261" t="str">
        <f t="shared" si="2"/>
        <v>1Q25A</v>
      </c>
      <c r="EH6" s="261" t="str">
        <f t="shared" si="2"/>
        <v>2Q25A</v>
      </c>
      <c r="EI6" s="261" t="str">
        <f t="shared" si="2"/>
        <v>1H25A</v>
      </c>
      <c r="EJ6" s="261" t="str">
        <f t="shared" si="2"/>
        <v>3Q25A</v>
      </c>
      <c r="EK6" s="261" t="str">
        <f t="shared" si="2"/>
        <v>4Q25A</v>
      </c>
      <c r="EL6" s="261" t="str">
        <f t="shared" si="2"/>
        <v>2H25A</v>
      </c>
      <c r="EM6" s="261" t="str">
        <f t="shared" si="2"/>
        <v>FY25A</v>
      </c>
      <c r="EN6" s="261" t="str">
        <f t="shared" ref="EN6:EP6" si="3">CONCATENATE(EN3,EN4)</f>
        <v>1Q26A</v>
      </c>
      <c r="EO6" s="261" t="str">
        <f t="shared" si="3"/>
        <v>2Q26A</v>
      </c>
      <c r="EP6" s="261" t="str">
        <f t="shared" si="3"/>
        <v>1H26A</v>
      </c>
      <c r="EQ6" s="262" t="str">
        <f t="shared" ref="EQ6" si="4">CONCATENATE(EQ3,EQ4)</f>
        <v>3Q26A</v>
      </c>
      <c r="ER6" s="261" t="str">
        <f t="shared" ref="ER6:FV6" si="5">CONCATENATE(ER3,ER4)</f>
        <v>4Q26E</v>
      </c>
      <c r="ES6" s="261" t="str">
        <f t="shared" si="5"/>
        <v>2H26E</v>
      </c>
      <c r="ET6" s="261" t="str">
        <f t="shared" si="5"/>
        <v>FY26E</v>
      </c>
      <c r="EU6" s="261" t="str">
        <f t="shared" si="5"/>
        <v>1Q27E</v>
      </c>
      <c r="EV6" s="261" t="str">
        <f t="shared" si="5"/>
        <v>2Q27E</v>
      </c>
      <c r="EW6" s="261" t="str">
        <f t="shared" si="5"/>
        <v>1H27E</v>
      </c>
      <c r="EX6" s="261" t="str">
        <f t="shared" si="5"/>
        <v>3Q27E</v>
      </c>
      <c r="EY6" s="261" t="str">
        <f t="shared" si="5"/>
        <v>4Q27E</v>
      </c>
      <c r="EZ6" s="261" t="str">
        <f t="shared" si="5"/>
        <v>2H27E</v>
      </c>
      <c r="FA6" s="261" t="str">
        <f t="shared" si="5"/>
        <v>FY27E</v>
      </c>
      <c r="FB6" s="261" t="str">
        <f t="shared" si="5"/>
        <v>1Q28E</v>
      </c>
      <c r="FC6" s="261" t="str">
        <f t="shared" si="5"/>
        <v>2Q28E</v>
      </c>
      <c r="FD6" s="261" t="str">
        <f t="shared" si="5"/>
        <v>1H28E</v>
      </c>
      <c r="FE6" s="261" t="str">
        <f t="shared" si="5"/>
        <v>3Q28E</v>
      </c>
      <c r="FF6" s="261" t="str">
        <f t="shared" si="5"/>
        <v>4Q28E</v>
      </c>
      <c r="FG6" s="261" t="str">
        <f t="shared" si="5"/>
        <v>2H28E</v>
      </c>
      <c r="FH6" s="261" t="str">
        <f t="shared" si="5"/>
        <v>FY28E</v>
      </c>
      <c r="FI6" s="261" t="str">
        <f t="shared" si="5"/>
        <v>1Q29E</v>
      </c>
      <c r="FJ6" s="261" t="str">
        <f t="shared" si="5"/>
        <v>2Q29E</v>
      </c>
      <c r="FK6" s="261" t="str">
        <f t="shared" si="5"/>
        <v>1H29E</v>
      </c>
      <c r="FL6" s="261" t="str">
        <f t="shared" si="5"/>
        <v>3Q29E</v>
      </c>
      <c r="FM6" s="261" t="str">
        <f t="shared" si="5"/>
        <v>4Q29E</v>
      </c>
      <c r="FN6" s="261" t="str">
        <f t="shared" si="5"/>
        <v>2H29E</v>
      </c>
      <c r="FO6" s="261" t="str">
        <f t="shared" si="5"/>
        <v>FY29E</v>
      </c>
      <c r="FP6" s="261" t="str">
        <f t="shared" si="5"/>
        <v>1Q30E</v>
      </c>
      <c r="FQ6" s="261" t="str">
        <f t="shared" si="5"/>
        <v>2Q30E</v>
      </c>
      <c r="FR6" s="261" t="str">
        <f t="shared" si="5"/>
        <v>1H30E</v>
      </c>
      <c r="FS6" s="261" t="str">
        <f t="shared" si="5"/>
        <v>3Q30E</v>
      </c>
      <c r="FT6" s="261" t="str">
        <f t="shared" si="5"/>
        <v>4Q30E</v>
      </c>
      <c r="FU6" s="261" t="str">
        <f t="shared" si="5"/>
        <v>2H30E</v>
      </c>
      <c r="FV6" s="261" t="str">
        <f t="shared" si="5"/>
        <v>FY30E</v>
      </c>
      <c r="FW6" s="268"/>
      <c r="FX6" s="268"/>
      <c r="FY6" s="268"/>
      <c r="FZ6" s="268"/>
      <c r="GA6" s="268"/>
      <c r="GB6"/>
      <c r="GC6"/>
      <c r="GD6"/>
      <c r="GE6"/>
      <c r="GF6"/>
      <c r="GG6"/>
      <c r="GH6" s="268"/>
      <c r="GI6" s="268"/>
      <c r="GJ6" s="268"/>
      <c r="GK6" s="268"/>
      <c r="GL6" s="268"/>
      <c r="GM6" s="268"/>
      <c r="GN6" s="268"/>
      <c r="GO6" s="268"/>
      <c r="GP6" s="268"/>
      <c r="GQ6" s="268"/>
      <c r="GR6" s="268"/>
      <c r="GS6" s="268"/>
      <c r="GT6" s="268"/>
      <c r="GU6" s="268"/>
      <c r="GV6" s="268"/>
      <c r="GW6" s="268"/>
      <c r="GX6" s="268"/>
      <c r="GY6" s="268"/>
      <c r="GZ6" s="268"/>
      <c r="HA6" s="268"/>
      <c r="HB6" s="268"/>
      <c r="HC6" s="268"/>
      <c r="HD6" s="268"/>
      <c r="HE6" s="268"/>
      <c r="HF6" s="268"/>
      <c r="HG6" s="268"/>
      <c r="HH6" s="268"/>
      <c r="HI6" s="268"/>
      <c r="HJ6" s="268"/>
      <c r="HK6" s="268"/>
      <c r="HL6" s="268"/>
      <c r="HM6" s="268"/>
      <c r="HN6" s="268"/>
      <c r="HO6" s="268"/>
      <c r="HP6" s="268"/>
      <c r="HQ6" s="268"/>
      <c r="HR6" s="268"/>
      <c r="HS6" s="268"/>
      <c r="HT6" s="268"/>
      <c r="HU6" s="268"/>
      <c r="HV6" s="268"/>
      <c r="HW6" s="268"/>
      <c r="HX6" s="268"/>
      <c r="HY6" s="268"/>
      <c r="HZ6" s="268"/>
      <c r="IA6" s="268"/>
      <c r="IB6" s="268"/>
      <c r="IC6" s="268"/>
      <c r="ID6" s="268"/>
      <c r="IE6" s="268"/>
      <c r="IF6" s="268"/>
      <c r="IG6" s="268"/>
      <c r="IH6" s="268"/>
      <c r="II6" s="268"/>
      <c r="IJ6" s="268"/>
      <c r="IK6" s="268"/>
      <c r="IL6" s="268"/>
      <c r="IM6" s="268"/>
      <c r="IN6" s="268"/>
      <c r="IO6" s="268"/>
      <c r="IP6" s="268"/>
      <c r="IQ6" s="268"/>
      <c r="IR6" s="268"/>
      <c r="IS6" s="268"/>
      <c r="IT6" s="268"/>
      <c r="IU6" s="268"/>
      <c r="IV6" s="268"/>
      <c r="IW6" s="268"/>
      <c r="IX6" s="268"/>
      <c r="IY6" s="268"/>
      <c r="IZ6" s="268"/>
      <c r="JA6" s="268"/>
      <c r="JB6" s="268"/>
      <c r="JC6" s="268"/>
      <c r="JD6" s="268"/>
      <c r="JE6" s="268"/>
      <c r="JF6" s="268"/>
      <c r="JG6" s="268"/>
      <c r="JH6" s="268"/>
      <c r="JI6" s="268"/>
      <c r="JJ6" s="268"/>
      <c r="JK6" s="268"/>
      <c r="JL6" s="268"/>
      <c r="JM6" s="268"/>
      <c r="JN6" s="268"/>
      <c r="JO6" s="268"/>
      <c r="JP6" s="268"/>
      <c r="JQ6" s="268"/>
      <c r="JR6" s="268"/>
      <c r="JS6" s="268"/>
      <c r="JT6" s="268"/>
    </row>
    <row r="7" spans="1:280" s="263" customFormat="1" x14ac:dyDescent="0.3">
      <c r="B7" s="264"/>
      <c r="C7" s="265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266"/>
      <c r="AE7" s="266"/>
      <c r="AF7" s="266"/>
      <c r="AG7" s="266"/>
      <c r="AH7" s="266"/>
      <c r="AI7" s="266"/>
      <c r="AJ7" s="266"/>
      <c r="AK7" s="266"/>
      <c r="AL7" s="266"/>
      <c r="AM7" s="266"/>
      <c r="AN7" s="266"/>
      <c r="AO7" s="266"/>
      <c r="AP7" s="266"/>
      <c r="AQ7" s="266"/>
      <c r="AR7" s="266"/>
      <c r="AS7" s="266"/>
      <c r="AT7" s="266"/>
      <c r="AU7" s="266"/>
      <c r="AV7" s="266"/>
      <c r="AW7" s="266"/>
      <c r="AX7" s="266"/>
      <c r="AY7" s="266"/>
      <c r="AZ7" s="266"/>
      <c r="BA7" s="266"/>
      <c r="BB7" s="266"/>
      <c r="BC7" s="266"/>
      <c r="BD7" s="266"/>
      <c r="BE7" s="266"/>
      <c r="BF7" s="266"/>
      <c r="BG7" s="266"/>
      <c r="BH7" s="266"/>
      <c r="BI7" s="266"/>
      <c r="BJ7" s="266"/>
      <c r="BK7" s="266"/>
      <c r="BL7" s="266"/>
      <c r="BM7" s="266"/>
      <c r="BN7" s="266"/>
      <c r="BO7" s="266"/>
      <c r="BP7" s="266"/>
      <c r="BQ7" s="266"/>
      <c r="BR7" s="266"/>
      <c r="BS7" s="266"/>
      <c r="BT7" s="266"/>
      <c r="BU7" s="266"/>
      <c r="BV7" s="266"/>
      <c r="BW7" s="266"/>
      <c r="BX7" s="266"/>
      <c r="BY7" s="266"/>
      <c r="BZ7" s="266"/>
      <c r="CA7" s="266"/>
      <c r="CB7" s="266"/>
      <c r="CC7" s="266"/>
      <c r="CD7" s="266"/>
      <c r="CE7" s="266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266"/>
      <c r="CQ7" s="266"/>
      <c r="CR7" s="266"/>
      <c r="CS7" s="266"/>
      <c r="CT7" s="266"/>
      <c r="CU7" s="266"/>
      <c r="CV7" s="266"/>
      <c r="CW7" s="266"/>
      <c r="CX7" s="266"/>
      <c r="CY7" s="266"/>
      <c r="CZ7" s="266"/>
      <c r="DA7" s="266"/>
      <c r="DB7" s="266"/>
      <c r="DC7" s="266"/>
      <c r="DD7" s="572"/>
      <c r="DE7" s="266"/>
      <c r="DF7" s="266"/>
      <c r="DG7" s="266"/>
      <c r="DH7" s="266"/>
      <c r="DI7" s="266"/>
      <c r="DJ7" s="266"/>
      <c r="DK7" s="572"/>
      <c r="DL7" s="267"/>
      <c r="DM7" s="266"/>
      <c r="DN7" s="266"/>
      <c r="DO7" s="266"/>
      <c r="DP7" s="266"/>
      <c r="DQ7" s="266"/>
      <c r="DR7" s="572"/>
      <c r="DS7" s="266"/>
      <c r="DT7" s="266"/>
      <c r="DU7" s="266"/>
      <c r="DV7" s="266"/>
      <c r="DW7" s="266"/>
      <c r="DX7" s="266"/>
      <c r="DY7" s="572"/>
      <c r="DZ7" s="266"/>
      <c r="EA7" s="266"/>
      <c r="EB7" s="266"/>
      <c r="EC7" s="266"/>
      <c r="ED7" s="266"/>
      <c r="EE7" s="266"/>
      <c r="EF7" s="572"/>
      <c r="EG7" s="266"/>
      <c r="EH7" s="266"/>
      <c r="EI7" s="266"/>
      <c r="EJ7" s="266"/>
      <c r="EK7" s="266"/>
      <c r="EL7" s="266"/>
      <c r="EM7" s="572"/>
      <c r="EN7" s="266"/>
      <c r="EO7" s="266"/>
      <c r="EP7" s="266"/>
      <c r="EQ7" s="267"/>
      <c r="ER7" s="266"/>
      <c r="ES7" s="266"/>
      <c r="ET7" s="572"/>
      <c r="EU7" s="266"/>
      <c r="EV7" s="266"/>
      <c r="EW7" s="266"/>
      <c r="EX7" s="266"/>
      <c r="EY7" s="266"/>
      <c r="EZ7" s="266"/>
      <c r="FA7" s="572"/>
      <c r="FB7" s="266"/>
      <c r="FC7" s="266"/>
      <c r="FD7" s="266"/>
      <c r="FE7" s="266"/>
      <c r="FF7" s="266"/>
      <c r="FG7" s="266"/>
      <c r="FH7" s="572"/>
      <c r="FI7" s="266"/>
      <c r="FJ7" s="266"/>
      <c r="FK7" s="266"/>
      <c r="FL7" s="266"/>
      <c r="FM7" s="266"/>
      <c r="FN7" s="266"/>
      <c r="FO7" s="572"/>
      <c r="FP7" s="266"/>
      <c r="FQ7" s="266"/>
      <c r="FR7" s="266"/>
      <c r="FS7" s="266"/>
      <c r="FT7" s="266"/>
      <c r="FU7" s="266"/>
      <c r="FV7" s="572"/>
      <c r="FW7" s="268"/>
      <c r="FX7" s="268"/>
      <c r="FY7" s="268"/>
      <c r="FZ7" s="268"/>
      <c r="GA7" s="268"/>
      <c r="GB7"/>
      <c r="GC7"/>
      <c r="GD7"/>
      <c r="GE7"/>
      <c r="GF7"/>
      <c r="GG7"/>
      <c r="GH7" s="268"/>
      <c r="GI7" s="268"/>
      <c r="GJ7" s="268"/>
      <c r="GK7" s="268"/>
      <c r="GL7" s="268"/>
      <c r="GM7" s="268"/>
      <c r="GN7" s="268"/>
      <c r="GO7" s="268"/>
      <c r="GP7" s="268"/>
      <c r="GQ7" s="268"/>
      <c r="GR7" s="268"/>
      <c r="GS7" s="268"/>
      <c r="GT7" s="268"/>
      <c r="GU7" s="268"/>
      <c r="GV7" s="268"/>
      <c r="GW7" s="268"/>
      <c r="GX7" s="268"/>
      <c r="GY7" s="268"/>
      <c r="GZ7" s="268"/>
      <c r="HA7" s="268"/>
      <c r="HB7" s="268"/>
      <c r="HC7" s="268"/>
      <c r="HD7" s="268"/>
      <c r="HE7" s="268"/>
      <c r="HF7" s="268"/>
      <c r="HG7" s="268"/>
      <c r="HH7" s="268"/>
      <c r="HI7" s="268"/>
      <c r="HJ7" s="268"/>
      <c r="HK7" s="268"/>
      <c r="HL7" s="268"/>
      <c r="HM7" s="268"/>
      <c r="HN7" s="268"/>
      <c r="HO7" s="268"/>
      <c r="HP7" s="268"/>
      <c r="HQ7" s="268"/>
      <c r="HR7" s="268"/>
      <c r="HS7" s="268"/>
      <c r="HT7" s="268"/>
      <c r="HU7" s="268"/>
      <c r="HV7" s="268"/>
      <c r="HW7" s="268"/>
      <c r="HX7" s="268"/>
      <c r="HY7" s="268"/>
      <c r="HZ7" s="268"/>
      <c r="IA7" s="268"/>
      <c r="IB7" s="268"/>
      <c r="IC7" s="268"/>
      <c r="ID7" s="268"/>
      <c r="IE7" s="268"/>
      <c r="IF7" s="268"/>
      <c r="IG7" s="268"/>
      <c r="IH7" s="268"/>
      <c r="II7" s="268"/>
      <c r="IJ7" s="268"/>
      <c r="IK7" s="268"/>
      <c r="IL7" s="268"/>
      <c r="IM7" s="268"/>
      <c r="IN7" s="268"/>
      <c r="IO7" s="268"/>
      <c r="IP7" s="268"/>
      <c r="IQ7" s="268"/>
      <c r="IR7" s="268"/>
      <c r="IS7" s="268"/>
      <c r="IT7" s="268"/>
      <c r="IU7" s="268"/>
      <c r="IV7" s="268"/>
      <c r="IW7" s="268"/>
      <c r="IX7" s="268"/>
      <c r="IY7" s="268"/>
      <c r="IZ7" s="268"/>
      <c r="JA7" s="268"/>
      <c r="JB7" s="268"/>
      <c r="JC7" s="268"/>
      <c r="JD7" s="268"/>
      <c r="JE7" s="268"/>
      <c r="JF7" s="268"/>
      <c r="JG7" s="268"/>
      <c r="JH7" s="268"/>
      <c r="JI7" s="268"/>
      <c r="JJ7" s="268"/>
      <c r="JK7" s="268"/>
      <c r="JL7" s="268"/>
      <c r="JM7" s="268"/>
      <c r="JN7" s="268"/>
      <c r="JO7" s="268"/>
      <c r="JP7" s="268"/>
      <c r="JQ7" s="268"/>
      <c r="JR7" s="268"/>
      <c r="JS7" s="268"/>
      <c r="JT7" s="268"/>
    </row>
    <row r="8" spans="1:280" s="263" customFormat="1" ht="12.05" customHeight="1" x14ac:dyDescent="0.3">
      <c r="A8" s="260" t="s">
        <v>408</v>
      </c>
      <c r="B8" s="269"/>
      <c r="C8" s="270"/>
      <c r="D8" s="271"/>
      <c r="E8" s="271"/>
      <c r="F8" s="271"/>
      <c r="G8" s="271"/>
      <c r="H8" s="271"/>
      <c r="I8" s="271"/>
      <c r="J8" s="271"/>
      <c r="K8" s="271"/>
      <c r="L8" s="261"/>
      <c r="M8" s="261"/>
      <c r="N8" s="261"/>
      <c r="O8" s="261"/>
      <c r="P8" s="261"/>
      <c r="Q8" s="261"/>
      <c r="R8" s="261"/>
      <c r="S8" s="261"/>
      <c r="T8" s="261"/>
      <c r="U8" s="261"/>
      <c r="V8" s="261"/>
      <c r="W8" s="261"/>
      <c r="X8" s="261"/>
      <c r="Y8" s="261"/>
      <c r="Z8" s="261"/>
      <c r="AA8" s="261"/>
      <c r="AB8" s="261"/>
      <c r="AC8" s="261"/>
      <c r="AD8" s="261"/>
      <c r="AE8" s="261"/>
      <c r="AF8" s="261"/>
      <c r="AG8" s="261"/>
      <c r="AH8" s="261"/>
      <c r="AI8" s="261"/>
      <c r="AJ8" s="261"/>
      <c r="AK8" s="261"/>
      <c r="AL8" s="261"/>
      <c r="AM8" s="261"/>
      <c r="AN8" s="261"/>
      <c r="AO8" s="261"/>
      <c r="AP8" s="261"/>
      <c r="AQ8" s="261"/>
      <c r="AR8" s="261"/>
      <c r="AS8" s="261"/>
      <c r="AT8" s="261"/>
      <c r="AU8" s="261"/>
      <c r="AV8" s="261"/>
      <c r="AW8" s="261"/>
      <c r="AX8" s="261"/>
      <c r="AY8" s="261"/>
      <c r="AZ8" s="261"/>
      <c r="BA8" s="261"/>
      <c r="BB8" s="261"/>
      <c r="BC8" s="261"/>
      <c r="BD8" s="261"/>
      <c r="BE8" s="261"/>
      <c r="BF8" s="261"/>
      <c r="BG8" s="261"/>
      <c r="BH8" s="261"/>
      <c r="BI8" s="261"/>
      <c r="BJ8" s="261"/>
      <c r="BK8" s="261"/>
      <c r="BL8" s="261"/>
      <c r="BM8" s="261"/>
      <c r="BN8" s="261"/>
      <c r="BO8" s="261"/>
      <c r="BP8" s="261"/>
      <c r="BQ8" s="261"/>
      <c r="BR8" s="261"/>
      <c r="BS8" s="261"/>
      <c r="BT8" s="261"/>
      <c r="BU8" s="261"/>
      <c r="BV8" s="261"/>
      <c r="BW8" s="261"/>
      <c r="BX8" s="261"/>
      <c r="BY8" s="261"/>
      <c r="BZ8" s="261"/>
      <c r="CA8" s="261"/>
      <c r="CB8" s="271"/>
      <c r="CC8" s="271"/>
      <c r="CD8" s="271"/>
      <c r="CE8" s="271"/>
      <c r="CF8" s="271"/>
      <c r="CG8" s="271"/>
      <c r="CH8" s="271"/>
      <c r="CI8" s="271"/>
      <c r="CJ8" s="271"/>
      <c r="CK8" s="271"/>
      <c r="CL8" s="271"/>
      <c r="CM8" s="271"/>
      <c r="CN8" s="271"/>
      <c r="CO8" s="271"/>
      <c r="CP8" s="271"/>
      <c r="CQ8" s="271"/>
      <c r="CR8" s="271"/>
      <c r="CS8" s="271"/>
      <c r="CT8" s="271"/>
      <c r="CU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  <c r="DF8" s="271"/>
      <c r="DG8" s="271"/>
      <c r="DH8" s="271"/>
      <c r="DI8" s="271"/>
      <c r="DJ8" s="271"/>
      <c r="DK8" s="271"/>
      <c r="DL8" s="271"/>
      <c r="DM8" s="271"/>
      <c r="DN8" s="271"/>
      <c r="DO8" s="271"/>
      <c r="DP8" s="271"/>
      <c r="DQ8" s="271"/>
      <c r="DR8" s="271"/>
      <c r="DS8" s="271"/>
      <c r="DT8" s="271"/>
      <c r="DU8" s="271"/>
      <c r="DV8" s="271"/>
      <c r="DW8" s="271"/>
      <c r="DX8" s="271"/>
      <c r="DY8" s="271"/>
      <c r="DZ8" s="271"/>
      <c r="EA8" s="271"/>
      <c r="EB8" s="271"/>
      <c r="EC8" s="271"/>
      <c r="ED8" s="271"/>
      <c r="EE8" s="271"/>
      <c r="EF8" s="271"/>
      <c r="EG8" s="271"/>
      <c r="EH8" s="271"/>
      <c r="EI8" s="271"/>
      <c r="EJ8" s="271"/>
      <c r="EK8" s="271"/>
      <c r="EL8" s="271"/>
      <c r="EM8" s="271"/>
      <c r="EN8" s="271"/>
      <c r="EO8" s="271"/>
      <c r="EP8" s="271"/>
      <c r="EQ8" s="272"/>
      <c r="ER8" s="271"/>
      <c r="ES8" s="271"/>
      <c r="ET8" s="271"/>
      <c r="EU8" s="271"/>
      <c r="EV8" s="271"/>
      <c r="EW8" s="271"/>
      <c r="EX8" s="271"/>
      <c r="EY8" s="271"/>
      <c r="EZ8" s="271"/>
      <c r="FA8" s="271"/>
      <c r="FB8" s="271"/>
      <c r="FC8" s="271"/>
      <c r="FD8" s="271"/>
      <c r="FE8" s="271"/>
      <c r="FF8" s="271"/>
      <c r="FG8" s="271"/>
      <c r="FH8" s="271"/>
      <c r="FI8" s="271"/>
      <c r="FJ8" s="271"/>
      <c r="FK8" s="271"/>
      <c r="FL8" s="271"/>
      <c r="FM8" s="271"/>
      <c r="FN8" s="271"/>
      <c r="FO8" s="271"/>
      <c r="FP8" s="271"/>
      <c r="FQ8" s="271"/>
      <c r="FR8" s="271"/>
      <c r="FS8" s="271"/>
      <c r="FT8" s="271"/>
      <c r="FU8" s="271"/>
      <c r="FV8" s="271"/>
      <c r="FW8" s="268"/>
      <c r="FX8" s="268"/>
      <c r="FY8" s="268"/>
      <c r="FZ8" s="268"/>
      <c r="GA8" s="268"/>
      <c r="GB8"/>
      <c r="GC8"/>
      <c r="GD8"/>
      <c r="GE8"/>
      <c r="GF8"/>
      <c r="GG8"/>
      <c r="GH8" s="268"/>
      <c r="GI8" s="268"/>
      <c r="GJ8" s="268"/>
      <c r="GK8" s="268"/>
      <c r="GL8" s="268"/>
      <c r="GM8" s="268"/>
      <c r="GN8" s="268"/>
      <c r="GO8" s="268"/>
      <c r="GP8" s="268"/>
      <c r="GQ8" s="268"/>
      <c r="GR8" s="268"/>
      <c r="GS8" s="268"/>
      <c r="GT8" s="268"/>
      <c r="GU8" s="268"/>
      <c r="GV8" s="268"/>
      <c r="GW8" s="268"/>
      <c r="GX8" s="268"/>
      <c r="GY8" s="268"/>
      <c r="GZ8" s="268"/>
      <c r="HA8" s="268"/>
      <c r="HB8" s="268"/>
      <c r="HC8" s="268"/>
      <c r="HD8" s="268"/>
      <c r="HE8" s="268"/>
      <c r="HF8" s="268"/>
      <c r="HG8" s="268"/>
      <c r="HH8" s="268"/>
      <c r="HI8" s="268"/>
      <c r="HJ8" s="268"/>
      <c r="HK8" s="268"/>
      <c r="HL8" s="268"/>
      <c r="HM8" s="268"/>
      <c r="HN8" s="268"/>
      <c r="HO8" s="268"/>
      <c r="HP8" s="268"/>
      <c r="HQ8" s="268"/>
      <c r="HR8" s="268"/>
      <c r="HS8" s="268"/>
      <c r="HT8" s="268"/>
      <c r="HU8" s="268"/>
      <c r="HV8" s="268"/>
      <c r="HW8" s="268"/>
      <c r="HX8" s="268"/>
      <c r="HY8" s="268"/>
      <c r="HZ8" s="268"/>
      <c r="IA8" s="268"/>
      <c r="IB8" s="268"/>
      <c r="IC8" s="268"/>
      <c r="ID8" s="268"/>
      <c r="IE8" s="268"/>
      <c r="IF8" s="268"/>
      <c r="IG8" s="268"/>
      <c r="IH8" s="268"/>
      <c r="II8" s="268"/>
      <c r="IJ8" s="268"/>
      <c r="IK8" s="268"/>
      <c r="IL8" s="268"/>
      <c r="IM8" s="268"/>
      <c r="IN8" s="268"/>
      <c r="IO8" s="268"/>
      <c r="IP8" s="268"/>
      <c r="IQ8" s="268"/>
      <c r="IR8" s="268"/>
      <c r="IS8" s="268"/>
      <c r="IT8" s="268"/>
      <c r="IU8" s="268"/>
      <c r="IV8" s="268"/>
      <c r="IW8" s="268"/>
      <c r="IX8" s="268"/>
      <c r="IY8" s="268"/>
      <c r="IZ8" s="268"/>
      <c r="JA8" s="268"/>
      <c r="JB8" s="268"/>
      <c r="JC8" s="268"/>
      <c r="JD8" s="268"/>
      <c r="JE8" s="268"/>
      <c r="JF8" s="268"/>
      <c r="JG8" s="268"/>
      <c r="JH8" s="268"/>
      <c r="JI8" s="268"/>
      <c r="JJ8" s="268"/>
      <c r="JK8" s="268"/>
      <c r="JL8" s="268"/>
      <c r="JM8" s="268"/>
      <c r="JN8" s="268"/>
      <c r="JO8" s="268"/>
      <c r="JP8" s="268"/>
      <c r="JQ8" s="268"/>
      <c r="JR8" s="268"/>
      <c r="JS8" s="268"/>
      <c r="JT8" s="268"/>
    </row>
    <row r="9" spans="1:280" outlineLevel="1" x14ac:dyDescent="0.3">
      <c r="B9" s="273" t="s">
        <v>14</v>
      </c>
      <c r="C9" s="274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  <c r="AF9" s="275"/>
      <c r="AG9" s="275"/>
      <c r="AH9" s="275"/>
      <c r="AI9" s="275"/>
      <c r="AJ9" s="275"/>
      <c r="AK9" s="275"/>
      <c r="AL9" s="275"/>
      <c r="AM9" s="275"/>
      <c r="AN9" s="275"/>
      <c r="AO9" s="275"/>
      <c r="AP9" s="275"/>
      <c r="AQ9" s="275"/>
      <c r="AR9" s="275"/>
      <c r="AS9" s="275"/>
      <c r="AT9" s="276"/>
      <c r="AU9" s="276"/>
      <c r="AV9" s="276"/>
      <c r="AW9" s="276"/>
      <c r="AX9" s="276"/>
      <c r="AY9" s="276"/>
      <c r="AZ9" s="276"/>
      <c r="BA9" s="276"/>
      <c r="BB9" s="276"/>
      <c r="BC9" s="276"/>
      <c r="BD9" s="276"/>
      <c r="BE9" s="276"/>
      <c r="BF9" s="276"/>
      <c r="BG9" s="276"/>
      <c r="BH9" s="276"/>
      <c r="BI9" s="276"/>
      <c r="BJ9" s="276"/>
      <c r="BK9" s="276"/>
      <c r="BL9" s="276"/>
      <c r="BM9" s="276"/>
      <c r="BN9" s="276"/>
      <c r="BO9" s="276"/>
      <c r="BP9" s="276"/>
      <c r="BQ9" s="276"/>
      <c r="BR9" s="276"/>
      <c r="BS9" s="276"/>
      <c r="BT9" s="276"/>
      <c r="BU9" s="276"/>
      <c r="BV9" s="276"/>
      <c r="BW9" s="276"/>
      <c r="BX9" s="276"/>
      <c r="BY9" s="276"/>
      <c r="BZ9" s="276"/>
      <c r="CA9" s="276"/>
      <c r="CB9" s="277"/>
      <c r="CC9" s="277"/>
      <c r="CD9" s="277"/>
      <c r="CE9" s="277"/>
      <c r="CF9" s="277"/>
      <c r="CG9" s="277"/>
      <c r="CH9" s="277"/>
      <c r="CI9" s="277"/>
      <c r="CJ9" s="277"/>
      <c r="CK9" s="277"/>
      <c r="CL9" s="277"/>
      <c r="CM9" s="277"/>
      <c r="CN9" s="277"/>
      <c r="CO9" s="277"/>
      <c r="CP9" s="277"/>
      <c r="CQ9" s="277"/>
      <c r="CR9" s="277"/>
      <c r="CS9" s="277"/>
      <c r="CT9" s="277"/>
      <c r="CU9" s="277"/>
      <c r="CV9" s="277"/>
      <c r="CW9" s="277"/>
      <c r="CX9" s="277"/>
      <c r="CY9" s="277"/>
      <c r="CZ9" s="277"/>
      <c r="DA9" s="277"/>
      <c r="DB9" s="277"/>
      <c r="DC9" s="277"/>
      <c r="DD9" s="575"/>
      <c r="DE9" s="277"/>
      <c r="DF9" s="277"/>
      <c r="DG9" s="277"/>
      <c r="DH9" s="277"/>
      <c r="DI9" s="277"/>
      <c r="DJ9" s="277"/>
      <c r="DK9" s="575"/>
      <c r="DL9" s="278"/>
      <c r="DM9" s="277"/>
      <c r="DN9" s="277"/>
      <c r="DO9" s="277"/>
      <c r="DP9" s="277"/>
      <c r="DQ9" s="277"/>
      <c r="DR9" s="575"/>
      <c r="DS9" s="277"/>
      <c r="DT9" s="277"/>
      <c r="DU9" s="277"/>
      <c r="DV9" s="277"/>
      <c r="DW9" s="277"/>
      <c r="DX9" s="277"/>
      <c r="DY9" s="575"/>
      <c r="DZ9" s="277"/>
      <c r="EA9" s="277"/>
      <c r="EB9" s="277"/>
      <c r="EC9" s="277"/>
      <c r="ED9" s="277"/>
      <c r="EE9" s="277"/>
      <c r="EF9" s="575"/>
      <c r="EG9" s="277"/>
      <c r="EH9" s="277"/>
      <c r="EI9" s="277"/>
      <c r="EJ9" s="277"/>
      <c r="EK9" s="277"/>
      <c r="EL9" s="277"/>
      <c r="EM9" s="575"/>
      <c r="EN9" s="277"/>
      <c r="EO9" s="277"/>
      <c r="EP9" s="277"/>
      <c r="EQ9" s="278"/>
      <c r="ER9" s="277"/>
      <c r="ES9" s="277"/>
      <c r="ET9" s="575"/>
      <c r="EU9" s="277"/>
      <c r="EV9" s="277"/>
      <c r="EW9" s="277"/>
      <c r="EX9" s="277"/>
      <c r="EY9" s="277"/>
      <c r="EZ9" s="277"/>
      <c r="FA9" s="575"/>
      <c r="FB9" s="277"/>
      <c r="FC9" s="277"/>
      <c r="FD9" s="277"/>
      <c r="FE9" s="277"/>
      <c r="FF9" s="277"/>
      <c r="FG9" s="277"/>
      <c r="FH9" s="575"/>
      <c r="FI9" s="277"/>
      <c r="FJ9" s="277"/>
      <c r="FK9" s="277"/>
      <c r="FL9" s="277"/>
      <c r="FM9" s="277"/>
      <c r="FN9" s="277"/>
      <c r="FO9" s="575"/>
      <c r="FP9" s="277"/>
      <c r="FQ9" s="277"/>
      <c r="FR9" s="277"/>
      <c r="FS9" s="277"/>
      <c r="FT9" s="277"/>
      <c r="FU9" s="277"/>
      <c r="FV9" s="575"/>
    </row>
    <row r="10" spans="1:280" outlineLevel="1" x14ac:dyDescent="0.3">
      <c r="B10" s="279" t="s">
        <v>684</v>
      </c>
      <c r="C10" s="280" t="s">
        <v>226</v>
      </c>
      <c r="D10" s="281">
        <v>287.5</v>
      </c>
      <c r="E10" s="281">
        <v>307.39999999999998</v>
      </c>
      <c r="F10" s="281">
        <v>594.9</v>
      </c>
      <c r="G10" s="281">
        <v>297.89999999999998</v>
      </c>
      <c r="H10" s="281">
        <v>325.60000000000002</v>
      </c>
      <c r="I10" s="281">
        <v>623.5</v>
      </c>
      <c r="J10" s="281">
        <v>1218.4000000000001</v>
      </c>
      <c r="K10" s="281">
        <v>348.9</v>
      </c>
      <c r="L10" s="281">
        <v>339</v>
      </c>
      <c r="M10" s="281">
        <v>687.9</v>
      </c>
      <c r="N10" s="281">
        <v>284.5</v>
      </c>
      <c r="O10" s="281">
        <v>289.89999999999998</v>
      </c>
      <c r="P10" s="281">
        <v>574.4</v>
      </c>
      <c r="Q10" s="281">
        <v>1262.3</v>
      </c>
      <c r="R10" s="281">
        <v>353.2</v>
      </c>
      <c r="S10" s="281">
        <v>314</v>
      </c>
      <c r="T10" s="281">
        <v>667.2</v>
      </c>
      <c r="U10" s="281">
        <v>263.89999999999998</v>
      </c>
      <c r="V10" s="281">
        <v>239.4</v>
      </c>
      <c r="W10" s="281">
        <v>503.29999999999995</v>
      </c>
      <c r="X10" s="281">
        <v>1170.5</v>
      </c>
      <c r="Y10" s="281">
        <v>281.7</v>
      </c>
      <c r="Z10" s="281">
        <v>263</v>
      </c>
      <c r="AA10" s="281">
        <v>544.70000000000005</v>
      </c>
      <c r="AB10" s="281">
        <v>195.9</v>
      </c>
      <c r="AC10" s="281">
        <v>188.7</v>
      </c>
      <c r="AD10" s="281">
        <v>384.6</v>
      </c>
      <c r="AE10" s="281">
        <v>929.3</v>
      </c>
      <c r="AF10" s="281">
        <v>223.2</v>
      </c>
      <c r="AG10" s="281">
        <v>229</v>
      </c>
      <c r="AH10" s="281">
        <v>452.2</v>
      </c>
      <c r="AI10" s="281">
        <v>179.1</v>
      </c>
      <c r="AJ10" s="281">
        <v>196.8</v>
      </c>
      <c r="AK10" s="281">
        <v>375.9</v>
      </c>
      <c r="AL10" s="281">
        <v>828.1</v>
      </c>
      <c r="AM10" s="281">
        <v>233</v>
      </c>
      <c r="AN10" s="281">
        <v>200.7</v>
      </c>
      <c r="AO10" s="281">
        <v>433.7</v>
      </c>
      <c r="AP10" s="281">
        <v>182.58029999999999</v>
      </c>
      <c r="AQ10" s="281">
        <v>190.82252289589303</v>
      </c>
      <c r="AR10" s="281">
        <v>373.402822895893</v>
      </c>
      <c r="AS10" s="281">
        <v>807.10282289589304</v>
      </c>
      <c r="AT10" s="281">
        <v>212.3</v>
      </c>
      <c r="AU10" s="281">
        <v>221.5</v>
      </c>
      <c r="AV10" s="281">
        <v>433.8</v>
      </c>
      <c r="AW10" s="281">
        <v>187.3</v>
      </c>
      <c r="AX10" s="281">
        <v>212.9</v>
      </c>
      <c r="AY10" s="281">
        <v>400.20000000000005</v>
      </c>
      <c r="AZ10" s="281">
        <v>834</v>
      </c>
      <c r="BA10" s="281">
        <v>241.2</v>
      </c>
      <c r="BB10" s="281">
        <v>228.8</v>
      </c>
      <c r="BC10" s="281">
        <v>470</v>
      </c>
      <c r="BD10" s="281">
        <v>216.3</v>
      </c>
      <c r="BE10" s="281">
        <v>227.4</v>
      </c>
      <c r="BF10" s="281">
        <v>443.70000000000005</v>
      </c>
      <c r="BG10" s="281">
        <v>913.7</v>
      </c>
      <c r="BH10" s="281">
        <v>268.2</v>
      </c>
      <c r="BI10" s="281">
        <v>287.2</v>
      </c>
      <c r="BJ10" s="281">
        <v>555.4</v>
      </c>
      <c r="BK10" s="281">
        <v>251.6</v>
      </c>
      <c r="BL10" s="281">
        <v>276.60000000000002</v>
      </c>
      <c r="BM10" s="281">
        <v>528.20000000000005</v>
      </c>
      <c r="BN10" s="281">
        <v>1083.5999999999999</v>
      </c>
      <c r="BO10" s="281">
        <v>308.2</v>
      </c>
      <c r="BP10" s="281">
        <v>321.7</v>
      </c>
      <c r="BQ10" s="281">
        <v>629.9</v>
      </c>
      <c r="BR10" s="281">
        <v>283.10000000000002</v>
      </c>
      <c r="BS10" s="281">
        <v>311.8</v>
      </c>
      <c r="BT10" s="281">
        <v>594.90000000000009</v>
      </c>
      <c r="BU10" s="281">
        <v>1224.8000000000002</v>
      </c>
      <c r="BV10" s="281">
        <v>322.89999999999998</v>
      </c>
      <c r="BW10" s="281">
        <v>348.4</v>
      </c>
      <c r="BX10" s="281">
        <v>671.3</v>
      </c>
      <c r="BY10" s="281">
        <v>318</v>
      </c>
      <c r="BZ10" s="281">
        <v>345.8</v>
      </c>
      <c r="CA10" s="281">
        <v>663.8</v>
      </c>
      <c r="CB10" s="281">
        <v>1335.1</v>
      </c>
      <c r="CC10" s="281">
        <v>370.3</v>
      </c>
      <c r="CD10" s="281">
        <v>384.5</v>
      </c>
      <c r="CE10" s="281">
        <v>754.8</v>
      </c>
      <c r="CF10" s="281">
        <v>350.9</v>
      </c>
      <c r="CG10" s="281">
        <v>387.7</v>
      </c>
      <c r="CH10" s="281">
        <v>738.59999999999991</v>
      </c>
      <c r="CI10" s="281">
        <v>1493.3999999999999</v>
      </c>
      <c r="CJ10" s="281">
        <v>393.1</v>
      </c>
      <c r="CK10" s="281">
        <v>398.1</v>
      </c>
      <c r="CL10" s="281">
        <v>791.2</v>
      </c>
      <c r="CM10" s="281">
        <v>376.8</v>
      </c>
      <c r="CN10" s="281">
        <v>410.1</v>
      </c>
      <c r="CO10" s="281">
        <v>786.90000000000009</v>
      </c>
      <c r="CP10" s="282">
        <v>1578.1000000000001</v>
      </c>
      <c r="CQ10" s="282">
        <v>433.8</v>
      </c>
      <c r="CR10" s="282">
        <v>435.6</v>
      </c>
      <c r="CS10" s="282">
        <v>869.40000000000009</v>
      </c>
      <c r="CT10" s="282">
        <v>385.5</v>
      </c>
      <c r="CU10" s="282">
        <v>422</v>
      </c>
      <c r="CV10" s="282">
        <v>807.5</v>
      </c>
      <c r="CW10" s="282">
        <v>1676.9</v>
      </c>
      <c r="CX10" s="282">
        <v>452.3</v>
      </c>
      <c r="CY10" s="282">
        <v>459.6</v>
      </c>
      <c r="CZ10" s="282">
        <v>911.90000000000009</v>
      </c>
      <c r="DA10" s="282">
        <v>430</v>
      </c>
      <c r="DB10" s="282">
        <v>474.5</v>
      </c>
      <c r="DC10" s="282">
        <v>904.5</v>
      </c>
      <c r="DD10" s="590">
        <v>1816.4</v>
      </c>
      <c r="DE10" s="282">
        <v>451.8</v>
      </c>
      <c r="DF10" s="282">
        <v>515</v>
      </c>
      <c r="DG10" s="282">
        <v>966.8</v>
      </c>
      <c r="DH10" s="282">
        <v>518.1</v>
      </c>
      <c r="DI10" s="282">
        <v>555.30000000000007</v>
      </c>
      <c r="DJ10" s="282">
        <v>1073.4000000000001</v>
      </c>
      <c r="DK10" s="590">
        <v>2040.2</v>
      </c>
      <c r="DL10" s="284">
        <v>577.1</v>
      </c>
      <c r="DM10" s="282">
        <v>635.29999999999995</v>
      </c>
      <c r="DN10" s="282">
        <v>1212.4000000000001</v>
      </c>
      <c r="DO10" s="282">
        <v>644.9</v>
      </c>
      <c r="DP10" s="282">
        <v>694.00000000000011</v>
      </c>
      <c r="DQ10" s="282">
        <v>1338.9</v>
      </c>
      <c r="DR10" s="590">
        <v>2551.3000000000002</v>
      </c>
      <c r="DS10" s="282">
        <v>740.1</v>
      </c>
      <c r="DT10" s="282">
        <v>750.6</v>
      </c>
      <c r="DU10" s="282">
        <v>1490.7</v>
      </c>
      <c r="DV10" s="282">
        <v>645.4</v>
      </c>
      <c r="DW10" s="282">
        <v>651.49999999999989</v>
      </c>
      <c r="DX10" s="282">
        <v>1296.8999999999999</v>
      </c>
      <c r="DY10" s="590">
        <v>2787.6</v>
      </c>
      <c r="DZ10" s="282">
        <v>694.8</v>
      </c>
      <c r="EA10" s="282">
        <v>734.4</v>
      </c>
      <c r="EB10" s="282">
        <v>1429.1999999999998</v>
      </c>
      <c r="EC10" s="282">
        <v>727</v>
      </c>
      <c r="ED10" s="282">
        <v>735.20000000000027</v>
      </c>
      <c r="EE10" s="282">
        <v>1462.2000000000003</v>
      </c>
      <c r="EF10" s="590">
        <v>2891.4</v>
      </c>
      <c r="EG10" s="282">
        <v>729.3</v>
      </c>
      <c r="EH10" s="282">
        <v>695.8</v>
      </c>
      <c r="EI10" s="282">
        <v>1425.1</v>
      </c>
      <c r="EJ10" s="282">
        <v>719.3</v>
      </c>
      <c r="EK10" s="282">
        <v>718.90000000000032</v>
      </c>
      <c r="EL10" s="282">
        <v>1438.2000000000003</v>
      </c>
      <c r="EM10" s="590">
        <v>2863.3</v>
      </c>
      <c r="EN10" s="540">
        <v>641.79999999999995</v>
      </c>
      <c r="EO10" s="282">
        <v>766</v>
      </c>
      <c r="EP10" s="282">
        <v>1407.8</v>
      </c>
      <c r="EQ10" s="547">
        <v>788.3</v>
      </c>
      <c r="ER10" s="282">
        <v>801.78077522669298</v>
      </c>
      <c r="ES10" s="282">
        <v>1660.8005152266928</v>
      </c>
      <c r="ET10" s="590">
        <v>2997.880775226693</v>
      </c>
      <c r="EU10" s="282">
        <v>782.68470389689412</v>
      </c>
      <c r="EV10" s="282">
        <v>898.25016535251655</v>
      </c>
      <c r="EW10" s="282">
        <v>1680.9348692494107</v>
      </c>
      <c r="EX10" s="282">
        <v>913.80692425285724</v>
      </c>
      <c r="EY10" s="282">
        <v>876.31219203181297</v>
      </c>
      <c r="EZ10" s="282">
        <v>1790.1191162846703</v>
      </c>
      <c r="FA10" s="590">
        <v>3471.0539855340812</v>
      </c>
      <c r="FB10" s="282">
        <v>859.33300900736617</v>
      </c>
      <c r="FC10" s="282">
        <v>988.47584718068902</v>
      </c>
      <c r="FD10" s="282">
        <v>1847.808856188055</v>
      </c>
      <c r="FE10" s="282">
        <v>1006.5270425958043</v>
      </c>
      <c r="FF10" s="282">
        <v>961.84053466153625</v>
      </c>
      <c r="FG10" s="282">
        <v>1968.3675772573406</v>
      </c>
      <c r="FH10" s="590">
        <v>3816.1764334453956</v>
      </c>
      <c r="FI10" s="282">
        <v>939.94546061307119</v>
      </c>
      <c r="FJ10" s="282">
        <v>1083.1742113951545</v>
      </c>
      <c r="FK10" s="282">
        <v>2023.1196720082257</v>
      </c>
      <c r="FL10" s="282">
        <v>1103.6491505354984</v>
      </c>
      <c r="FM10" s="282">
        <v>1051.7275749047606</v>
      </c>
      <c r="FN10" s="282">
        <v>2155.3767254402587</v>
      </c>
      <c r="FO10" s="590">
        <v>4178.4963974484845</v>
      </c>
      <c r="FP10" s="282">
        <v>1022.5168616114432</v>
      </c>
      <c r="FQ10" s="282">
        <v>1180.1622827007834</v>
      </c>
      <c r="FR10" s="282">
        <v>2202.6791443122265</v>
      </c>
      <c r="FS10" s="282">
        <v>1203.0778837044761</v>
      </c>
      <c r="FT10" s="282">
        <v>1143.771959409388</v>
      </c>
      <c r="FU10" s="282">
        <v>2346.8498431138637</v>
      </c>
      <c r="FV10" s="590">
        <v>4549.5289874260907</v>
      </c>
    </row>
    <row r="11" spans="1:280" outlineLevel="1" x14ac:dyDescent="0.3">
      <c r="B11" s="279" t="s">
        <v>683</v>
      </c>
      <c r="C11" s="280" t="s">
        <v>226</v>
      </c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  <c r="Q11" s="277"/>
      <c r="R11" s="277"/>
      <c r="S11" s="277"/>
      <c r="T11" s="277"/>
      <c r="U11" s="277"/>
      <c r="V11" s="277"/>
      <c r="W11" s="277"/>
      <c r="X11" s="277"/>
      <c r="Y11" s="277"/>
      <c r="Z11" s="277"/>
      <c r="AA11" s="277"/>
      <c r="AB11" s="277"/>
      <c r="AC11" s="277"/>
      <c r="AD11" s="277"/>
      <c r="AE11" s="277"/>
      <c r="AF11" s="277"/>
      <c r="AG11" s="277"/>
      <c r="AH11" s="277"/>
      <c r="AI11" s="277"/>
      <c r="AJ11" s="277"/>
      <c r="AK11" s="277"/>
      <c r="AL11" s="277"/>
      <c r="AM11" s="277"/>
      <c r="AN11" s="277"/>
      <c r="AO11" s="277"/>
      <c r="AP11" s="277"/>
      <c r="AQ11" s="277"/>
      <c r="AR11" s="277"/>
      <c r="AS11" s="277"/>
      <c r="AT11" s="277"/>
      <c r="AU11" s="277"/>
      <c r="AV11" s="277"/>
      <c r="AW11" s="277"/>
      <c r="AX11" s="277"/>
      <c r="AY11" s="277"/>
      <c r="AZ11" s="277"/>
      <c r="BA11" s="277"/>
      <c r="BB11" s="277"/>
      <c r="BC11" s="277"/>
      <c r="BD11" s="277"/>
      <c r="BE11" s="277"/>
      <c r="BF11" s="277"/>
      <c r="BG11" s="277"/>
      <c r="BH11" s="277"/>
      <c r="BI11" s="277"/>
      <c r="BJ11" s="277"/>
      <c r="BK11" s="277"/>
      <c r="BL11" s="277"/>
      <c r="BM11" s="277"/>
      <c r="BN11" s="277"/>
      <c r="BO11" s="277"/>
      <c r="BP11" s="277"/>
      <c r="BQ11" s="277"/>
      <c r="BR11" s="277"/>
      <c r="BS11" s="277"/>
      <c r="BT11" s="277"/>
      <c r="BU11" s="277"/>
      <c r="BV11" s="277"/>
      <c r="BW11" s="277"/>
      <c r="BX11" s="277"/>
      <c r="BY11" s="277"/>
      <c r="BZ11" s="277"/>
      <c r="CA11" s="277"/>
      <c r="CB11" s="277"/>
      <c r="CC11" s="277"/>
      <c r="CD11" s="277"/>
      <c r="CE11" s="277"/>
      <c r="CF11" s="277"/>
      <c r="CG11" s="277"/>
      <c r="CH11" s="277"/>
      <c r="CI11" s="277"/>
      <c r="CJ11" s="285">
        <v>101.6</v>
      </c>
      <c r="CK11" s="285">
        <v>113.4</v>
      </c>
      <c r="CL11" s="285">
        <v>215</v>
      </c>
      <c r="CM11" s="285">
        <v>105.3</v>
      </c>
      <c r="CN11" s="285">
        <v>105.10000000000001</v>
      </c>
      <c r="CO11" s="285">
        <v>210.4</v>
      </c>
      <c r="CP11" s="282">
        <v>425.4</v>
      </c>
      <c r="CQ11" s="282">
        <v>117.1</v>
      </c>
      <c r="CR11" s="282">
        <v>117.3</v>
      </c>
      <c r="CS11" s="282">
        <v>234.39999999999998</v>
      </c>
      <c r="CT11" s="282">
        <v>110.1</v>
      </c>
      <c r="CU11" s="282">
        <v>102.3</v>
      </c>
      <c r="CV11" s="282">
        <v>212.39999999999998</v>
      </c>
      <c r="CW11" s="282">
        <v>446.79999999999995</v>
      </c>
      <c r="CX11" s="282">
        <v>108</v>
      </c>
      <c r="CY11" s="282">
        <v>112.6</v>
      </c>
      <c r="CZ11" s="282">
        <v>220.6</v>
      </c>
      <c r="DA11" s="282">
        <v>102</v>
      </c>
      <c r="DB11" s="282">
        <v>95.8</v>
      </c>
      <c r="DC11" s="282">
        <v>197.8</v>
      </c>
      <c r="DD11" s="590">
        <v>418.4</v>
      </c>
      <c r="DE11" s="282">
        <v>91.3</v>
      </c>
      <c r="DF11" s="282">
        <v>122.1</v>
      </c>
      <c r="DG11" s="282">
        <v>213.39999999999998</v>
      </c>
      <c r="DH11" s="282">
        <v>119.1</v>
      </c>
      <c r="DI11" s="282">
        <v>125.70000000000002</v>
      </c>
      <c r="DJ11" s="282">
        <v>244.8</v>
      </c>
      <c r="DK11" s="590">
        <v>458.2</v>
      </c>
      <c r="DL11" s="284">
        <v>141.80000000000001</v>
      </c>
      <c r="DM11" s="282">
        <v>144.4</v>
      </c>
      <c r="DN11" s="282">
        <v>286.20000000000005</v>
      </c>
      <c r="DO11" s="282">
        <v>143.30000000000001</v>
      </c>
      <c r="DP11" s="282">
        <v>145.39999999999992</v>
      </c>
      <c r="DQ11" s="282">
        <v>288.69999999999993</v>
      </c>
      <c r="DR11" s="590">
        <v>574.9</v>
      </c>
      <c r="DS11" s="282">
        <v>142.80000000000001</v>
      </c>
      <c r="DT11" s="282">
        <v>144.30000000000001</v>
      </c>
      <c r="DU11" s="282">
        <v>287.10000000000002</v>
      </c>
      <c r="DV11" s="282">
        <v>112.3</v>
      </c>
      <c r="DW11" s="282">
        <v>139.80000000000001</v>
      </c>
      <c r="DX11" s="282">
        <v>252.10000000000002</v>
      </c>
      <c r="DY11" s="590">
        <v>539.20000000000005</v>
      </c>
      <c r="DZ11" s="282">
        <v>140.1</v>
      </c>
      <c r="EA11" s="282">
        <v>147.4</v>
      </c>
      <c r="EB11" s="282">
        <v>287.5</v>
      </c>
      <c r="EC11" s="282">
        <v>133.80000000000001</v>
      </c>
      <c r="ED11" s="282">
        <v>141.49999999999994</v>
      </c>
      <c r="EE11" s="282">
        <v>275.29999999999995</v>
      </c>
      <c r="EF11" s="590">
        <v>562.79999999999995</v>
      </c>
      <c r="EG11" s="282">
        <v>135.30000000000001</v>
      </c>
      <c r="EH11" s="282">
        <v>148.4</v>
      </c>
      <c r="EI11" s="282">
        <v>283.70000000000005</v>
      </c>
      <c r="EJ11" s="282">
        <v>118.1</v>
      </c>
      <c r="EK11" s="282">
        <v>118.09999999999994</v>
      </c>
      <c r="EL11" s="282">
        <v>236.19999999999993</v>
      </c>
      <c r="EM11" s="590">
        <v>519.9</v>
      </c>
      <c r="EN11" s="540">
        <v>121.6</v>
      </c>
      <c r="EO11" s="282">
        <v>132.9</v>
      </c>
      <c r="EP11" s="282">
        <v>254.5</v>
      </c>
      <c r="EQ11" s="547">
        <v>126.5</v>
      </c>
      <c r="ER11" s="282">
        <v>128.79110163128595</v>
      </c>
      <c r="ES11" s="282">
        <v>255.29110163128595</v>
      </c>
      <c r="ET11" s="590">
        <v>509.79110163128598</v>
      </c>
      <c r="EU11" s="282">
        <v>136.04313217206584</v>
      </c>
      <c r="EV11" s="282">
        <v>148.96004286962767</v>
      </c>
      <c r="EW11" s="282">
        <v>285.00317504169351</v>
      </c>
      <c r="EX11" s="282">
        <v>140.65117692903323</v>
      </c>
      <c r="EY11" s="282">
        <v>145.78129444512342</v>
      </c>
      <c r="EZ11" s="282">
        <v>286.43247137415665</v>
      </c>
      <c r="FA11" s="590">
        <v>571.43564641585021</v>
      </c>
      <c r="FB11" s="282">
        <v>156.56778624711353</v>
      </c>
      <c r="FC11" s="282">
        <v>171.43345480957387</v>
      </c>
      <c r="FD11" s="282">
        <v>328.00124105668738</v>
      </c>
      <c r="FE11" s="282">
        <v>155.47208465494231</v>
      </c>
      <c r="FF11" s="282">
        <v>161.22802298553827</v>
      </c>
      <c r="FG11" s="282">
        <v>316.70010764048061</v>
      </c>
      <c r="FH11" s="590">
        <v>644.70134869716799</v>
      </c>
      <c r="FI11" s="282">
        <v>171.20131981366762</v>
      </c>
      <c r="FJ11" s="282">
        <v>176.88698221467786</v>
      </c>
      <c r="FK11" s="282">
        <v>348.08830202834548</v>
      </c>
      <c r="FL11" s="282">
        <v>160.41785953497481</v>
      </c>
      <c r="FM11" s="282">
        <v>166.3569019595929</v>
      </c>
      <c r="FN11" s="282">
        <v>326.77476149456771</v>
      </c>
      <c r="FO11" s="590">
        <v>674.86306352291319</v>
      </c>
      <c r="FP11" s="282">
        <v>174.89983438401148</v>
      </c>
      <c r="FQ11" s="282">
        <v>185.38217423609296</v>
      </c>
      <c r="FR11" s="282">
        <v>360.28200862010442</v>
      </c>
      <c r="FS11" s="282">
        <v>168.12210381203568</v>
      </c>
      <c r="FT11" s="282">
        <v>174.34637528623549</v>
      </c>
      <c r="FU11" s="282">
        <v>342.46847909827113</v>
      </c>
      <c r="FV11" s="590">
        <v>702.75048771837555</v>
      </c>
    </row>
    <row r="12" spans="1:280" outlineLevel="1" x14ac:dyDescent="0.3">
      <c r="B12" s="279" t="s">
        <v>643</v>
      </c>
      <c r="C12" s="280" t="s">
        <v>226</v>
      </c>
      <c r="D12" s="277"/>
      <c r="E12" s="277"/>
      <c r="F12" s="277"/>
      <c r="G12" s="277"/>
      <c r="H12" s="277"/>
      <c r="I12" s="277"/>
      <c r="J12" s="277"/>
      <c r="K12" s="277"/>
      <c r="L12" s="277"/>
      <c r="M12" s="277"/>
      <c r="N12" s="277"/>
      <c r="O12" s="277"/>
      <c r="P12" s="277"/>
      <c r="Q12" s="277"/>
      <c r="R12" s="277"/>
      <c r="S12" s="277"/>
      <c r="T12" s="277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85">
        <v>0</v>
      </c>
      <c r="CK12" s="285">
        <v>0</v>
      </c>
      <c r="CL12" s="285">
        <v>0</v>
      </c>
      <c r="CM12" s="285">
        <v>0</v>
      </c>
      <c r="CN12" s="285">
        <v>0</v>
      </c>
      <c r="CO12" s="285">
        <v>0</v>
      </c>
      <c r="CP12" s="282">
        <v>348.8</v>
      </c>
      <c r="CQ12" s="282">
        <v>95.4</v>
      </c>
      <c r="CR12" s="282">
        <v>87.399999999999991</v>
      </c>
      <c r="CS12" s="282">
        <v>182.8</v>
      </c>
      <c r="CT12" s="282">
        <v>86.8</v>
      </c>
      <c r="CU12" s="282">
        <v>98.7</v>
      </c>
      <c r="CV12" s="282">
        <v>185.5</v>
      </c>
      <c r="CW12" s="282">
        <v>368.3</v>
      </c>
      <c r="CX12" s="282">
        <v>95.9</v>
      </c>
      <c r="CY12" s="282">
        <v>87.9</v>
      </c>
      <c r="CZ12" s="282">
        <v>183.8</v>
      </c>
      <c r="DA12" s="282">
        <v>84.699999999999989</v>
      </c>
      <c r="DB12" s="282">
        <v>102.9</v>
      </c>
      <c r="DC12" s="282">
        <v>187.6</v>
      </c>
      <c r="DD12" s="590">
        <v>371.4</v>
      </c>
      <c r="DE12" s="282">
        <v>83.199999999999989</v>
      </c>
      <c r="DF12" s="282">
        <v>99.7</v>
      </c>
      <c r="DG12" s="282">
        <v>182.89999999999998</v>
      </c>
      <c r="DH12" s="282">
        <v>101.39999999999999</v>
      </c>
      <c r="DI12" s="282">
        <v>125.99999999999999</v>
      </c>
      <c r="DJ12" s="282">
        <v>227.39999999999998</v>
      </c>
      <c r="DK12" s="590">
        <v>410.3</v>
      </c>
      <c r="DL12" s="284">
        <v>124.4</v>
      </c>
      <c r="DM12" s="282">
        <v>123.5</v>
      </c>
      <c r="DN12" s="282">
        <v>247.9</v>
      </c>
      <c r="DO12" s="282">
        <v>111.8</v>
      </c>
      <c r="DP12" s="282">
        <v>128.79999999999998</v>
      </c>
      <c r="DQ12" s="282">
        <v>240.6</v>
      </c>
      <c r="DR12" s="590">
        <v>488.5</v>
      </c>
      <c r="DS12" s="282">
        <v>118</v>
      </c>
      <c r="DT12" s="282">
        <v>102.7</v>
      </c>
      <c r="DU12" s="282">
        <v>220.7</v>
      </c>
      <c r="DV12" s="282">
        <v>103.1</v>
      </c>
      <c r="DW12" s="282">
        <v>126.49999999999997</v>
      </c>
      <c r="DX12" s="282">
        <v>229.59999999999997</v>
      </c>
      <c r="DY12" s="590">
        <v>450.29999999999995</v>
      </c>
      <c r="DZ12" s="282">
        <v>119.4</v>
      </c>
      <c r="EA12" s="282">
        <v>117</v>
      </c>
      <c r="EB12" s="282">
        <v>236.4</v>
      </c>
      <c r="EC12" s="282">
        <v>117.4</v>
      </c>
      <c r="ED12" s="282">
        <v>128.30000000000001</v>
      </c>
      <c r="EE12" s="282">
        <v>245.70000000000002</v>
      </c>
      <c r="EF12" s="590">
        <v>482.1</v>
      </c>
      <c r="EG12" s="282">
        <v>127.3</v>
      </c>
      <c r="EH12" s="282">
        <v>116.6</v>
      </c>
      <c r="EI12" s="282">
        <v>243.89999999999998</v>
      </c>
      <c r="EJ12" s="282">
        <v>115.9</v>
      </c>
      <c r="EK12" s="282">
        <v>134.50000000000003</v>
      </c>
      <c r="EL12" s="282">
        <v>250.40000000000003</v>
      </c>
      <c r="EM12" s="590">
        <v>494.3</v>
      </c>
      <c r="EN12" s="540">
        <v>136.5</v>
      </c>
      <c r="EO12" s="282">
        <v>137.5</v>
      </c>
      <c r="EP12" s="282">
        <v>274</v>
      </c>
      <c r="EQ12" s="547">
        <v>130.9</v>
      </c>
      <c r="ER12" s="282">
        <v>139.37178</v>
      </c>
      <c r="ES12" s="282">
        <v>270.27178000000004</v>
      </c>
      <c r="ET12" s="590">
        <v>544.27178000000004</v>
      </c>
      <c r="EU12" s="282">
        <v>136.5</v>
      </c>
      <c r="EV12" s="282">
        <v>137.5</v>
      </c>
      <c r="EW12" s="282">
        <v>274</v>
      </c>
      <c r="EX12" s="282">
        <v>130.9</v>
      </c>
      <c r="EY12" s="282">
        <v>139.37178</v>
      </c>
      <c r="EZ12" s="282">
        <v>270.27178000000004</v>
      </c>
      <c r="FA12" s="590">
        <v>544.27178000000004</v>
      </c>
      <c r="FB12" s="282">
        <v>143.87879999999998</v>
      </c>
      <c r="FC12" s="282">
        <v>156.61904761904762</v>
      </c>
      <c r="FD12" s="282">
        <v>300.4978476190476</v>
      </c>
      <c r="FE12" s="282">
        <v>152.67588785046729</v>
      </c>
      <c r="FF12" s="282">
        <v>162.55699199999998</v>
      </c>
      <c r="FG12" s="282">
        <v>315.23287985046727</v>
      </c>
      <c r="FH12" s="590">
        <v>615.73072746951493</v>
      </c>
      <c r="FI12" s="282">
        <v>143.33748000000003</v>
      </c>
      <c r="FJ12" s="282">
        <v>156.0301859410431</v>
      </c>
      <c r="FK12" s="282">
        <v>299.36766594104313</v>
      </c>
      <c r="FL12" s="282">
        <v>145.78889678340178</v>
      </c>
      <c r="FM12" s="282">
        <v>155.20320816</v>
      </c>
      <c r="FN12" s="282">
        <v>300.99210494340178</v>
      </c>
      <c r="FO12" s="590">
        <v>600.35977088444497</v>
      </c>
      <c r="FP12" s="282">
        <v>149.2907988</v>
      </c>
      <c r="FQ12" s="282">
        <v>162.51108861678009</v>
      </c>
      <c r="FR12" s="282">
        <v>311.80188741678012</v>
      </c>
      <c r="FS12" s="282">
        <v>151.8702305389919</v>
      </c>
      <c r="FT12" s="282">
        <v>161.65515606240001</v>
      </c>
      <c r="FU12" s="282">
        <v>313.52538660139192</v>
      </c>
      <c r="FV12" s="590">
        <v>625.32727401817203</v>
      </c>
    </row>
    <row r="13" spans="1:280" outlineLevel="1" x14ac:dyDescent="0.3">
      <c r="B13" s="279" t="s">
        <v>409</v>
      </c>
      <c r="C13" s="280" t="s">
        <v>226</v>
      </c>
      <c r="D13" s="285">
        <v>61.7</v>
      </c>
      <c r="E13" s="285">
        <v>63.5</v>
      </c>
      <c r="F13" s="285">
        <v>125.2</v>
      </c>
      <c r="G13" s="285">
        <v>59.4</v>
      </c>
      <c r="H13" s="285">
        <v>57.2</v>
      </c>
      <c r="I13" s="285">
        <v>116.6</v>
      </c>
      <c r="J13" s="281">
        <v>241.8</v>
      </c>
      <c r="K13" s="281">
        <v>59.2</v>
      </c>
      <c r="L13" s="281">
        <v>63.8</v>
      </c>
      <c r="M13" s="281">
        <v>123</v>
      </c>
      <c r="N13" s="281">
        <v>64.400000000000006</v>
      </c>
      <c r="O13" s="281">
        <v>64.3</v>
      </c>
      <c r="P13" s="281">
        <v>128.69999999999999</v>
      </c>
      <c r="Q13" s="281">
        <v>251.7</v>
      </c>
      <c r="R13" s="281">
        <v>71.2</v>
      </c>
      <c r="S13" s="281">
        <v>76.099999999999994</v>
      </c>
      <c r="T13" s="281">
        <v>147.30000000000001</v>
      </c>
      <c r="U13" s="281">
        <v>77.5</v>
      </c>
      <c r="V13" s="281">
        <v>73.5</v>
      </c>
      <c r="W13" s="281">
        <v>151</v>
      </c>
      <c r="X13" s="281">
        <v>298.3</v>
      </c>
      <c r="Y13" s="281">
        <v>83.3</v>
      </c>
      <c r="Z13" s="281">
        <v>78.900000000000006</v>
      </c>
      <c r="AA13" s="281">
        <v>162.19999999999999</v>
      </c>
      <c r="AB13" s="281">
        <v>58.5</v>
      </c>
      <c r="AC13" s="281">
        <v>52.6</v>
      </c>
      <c r="AD13" s="281">
        <v>111.1</v>
      </c>
      <c r="AE13" s="281">
        <v>273.3</v>
      </c>
      <c r="AF13" s="281">
        <v>61.3</v>
      </c>
      <c r="AG13" s="281">
        <v>75.2</v>
      </c>
      <c r="AH13" s="281">
        <v>136.5</v>
      </c>
      <c r="AI13" s="281">
        <v>81.900000000000006</v>
      </c>
      <c r="AJ13" s="281">
        <v>78.099999999999994</v>
      </c>
      <c r="AK13" s="281">
        <v>160</v>
      </c>
      <c r="AL13" s="281">
        <v>296.5</v>
      </c>
      <c r="AM13" s="281">
        <v>85.4</v>
      </c>
      <c r="AN13" s="281">
        <v>86.9</v>
      </c>
      <c r="AO13" s="281">
        <v>172.3</v>
      </c>
      <c r="AP13" s="281">
        <v>93.496997181720232</v>
      </c>
      <c r="AQ13" s="281">
        <v>80.87427347522005</v>
      </c>
      <c r="AR13" s="281">
        <v>174.37127065694028</v>
      </c>
      <c r="AS13" s="281">
        <v>346.67127065694029</v>
      </c>
      <c r="AT13" s="281">
        <v>101.3</v>
      </c>
      <c r="AU13" s="281">
        <v>110.1</v>
      </c>
      <c r="AV13" s="281">
        <v>211.39999999999998</v>
      </c>
      <c r="AW13" s="281">
        <v>95.7</v>
      </c>
      <c r="AX13" s="281">
        <v>96.4</v>
      </c>
      <c r="AY13" s="281">
        <v>192.10000000000002</v>
      </c>
      <c r="AZ13" s="281">
        <v>403.5</v>
      </c>
      <c r="BA13" s="281">
        <v>95.6</v>
      </c>
      <c r="BB13" s="281">
        <v>103.1</v>
      </c>
      <c r="BC13" s="281">
        <v>198.7</v>
      </c>
      <c r="BD13" s="281">
        <v>102.5</v>
      </c>
      <c r="BE13" s="281">
        <v>96.2</v>
      </c>
      <c r="BF13" s="281">
        <v>198.7</v>
      </c>
      <c r="BG13" s="281">
        <v>397.4</v>
      </c>
      <c r="BH13" s="281">
        <v>101.6</v>
      </c>
      <c r="BI13" s="281">
        <v>102.4</v>
      </c>
      <c r="BJ13" s="281">
        <v>204</v>
      </c>
      <c r="BK13" s="281">
        <v>99.1</v>
      </c>
      <c r="BL13" s="281">
        <v>96.1</v>
      </c>
      <c r="BM13" s="281">
        <v>195.2</v>
      </c>
      <c r="BN13" s="281">
        <v>399.2</v>
      </c>
      <c r="BO13" s="281">
        <v>105.3</v>
      </c>
      <c r="BP13" s="281">
        <v>115.4</v>
      </c>
      <c r="BQ13" s="281">
        <v>220.7</v>
      </c>
      <c r="BR13" s="281">
        <v>102.1</v>
      </c>
      <c r="BS13" s="281">
        <v>95.5</v>
      </c>
      <c r="BT13" s="281">
        <v>197.6</v>
      </c>
      <c r="BU13" s="281">
        <v>418.29999999999995</v>
      </c>
      <c r="BV13" s="281">
        <v>101.2</v>
      </c>
      <c r="BW13" s="281">
        <v>98.4</v>
      </c>
      <c r="BX13" s="281">
        <v>199.60000000000002</v>
      </c>
      <c r="BY13" s="281">
        <v>93</v>
      </c>
      <c r="BZ13" s="281">
        <v>86.9</v>
      </c>
      <c r="CA13" s="281">
        <v>179.9</v>
      </c>
      <c r="CB13" s="281">
        <v>379.5</v>
      </c>
      <c r="CC13" s="281">
        <v>102.9</v>
      </c>
      <c r="CD13" s="281">
        <v>106.6</v>
      </c>
      <c r="CE13" s="281">
        <v>209.5</v>
      </c>
      <c r="CF13" s="281">
        <v>99.5</v>
      </c>
      <c r="CG13" s="281">
        <v>102.8</v>
      </c>
      <c r="CH13" s="281">
        <v>202.3</v>
      </c>
      <c r="CI13" s="281">
        <v>411.8</v>
      </c>
      <c r="CJ13" s="285">
        <v>110.8</v>
      </c>
      <c r="CK13" s="285">
        <v>123.9</v>
      </c>
      <c r="CL13" s="285">
        <v>234.7</v>
      </c>
      <c r="CM13" s="285">
        <v>114.5</v>
      </c>
      <c r="CN13" s="285">
        <v>112.5</v>
      </c>
      <c r="CO13" s="285">
        <v>227</v>
      </c>
      <c r="CP13" s="282">
        <v>461.7</v>
      </c>
      <c r="CQ13" s="286"/>
      <c r="CR13" s="286"/>
      <c r="CS13" s="286"/>
      <c r="CT13" s="286"/>
      <c r="CU13" s="286"/>
      <c r="CV13" s="286"/>
      <c r="CW13" s="286"/>
      <c r="CX13" s="286"/>
      <c r="CY13" s="286"/>
      <c r="CZ13" s="286"/>
      <c r="DA13" s="286"/>
      <c r="DB13" s="286"/>
      <c r="DC13" s="286"/>
      <c r="DD13" s="608"/>
      <c r="DE13" s="286"/>
      <c r="DF13" s="286"/>
      <c r="DG13" s="286"/>
      <c r="DH13" s="286"/>
      <c r="DI13" s="286"/>
      <c r="DJ13" s="286"/>
      <c r="DK13" s="608"/>
      <c r="DL13" s="287"/>
      <c r="DM13" s="286"/>
      <c r="DN13" s="286"/>
      <c r="DO13" s="286"/>
      <c r="DP13" s="286"/>
      <c r="DQ13" s="286"/>
      <c r="DR13" s="590"/>
      <c r="DS13" s="286"/>
      <c r="DT13" s="286"/>
      <c r="DU13" s="286"/>
      <c r="DV13" s="286"/>
      <c r="DW13" s="286"/>
      <c r="DX13" s="286"/>
      <c r="DY13" s="590"/>
      <c r="DZ13" s="286"/>
      <c r="EA13" s="286"/>
      <c r="EB13" s="286"/>
      <c r="EC13" s="286"/>
      <c r="ED13" s="286"/>
      <c r="EE13" s="286"/>
      <c r="EF13" s="590"/>
      <c r="EG13" s="286"/>
      <c r="EH13" s="286"/>
      <c r="EI13" s="286"/>
      <c r="EJ13" s="286"/>
      <c r="EK13" s="286"/>
      <c r="EL13" s="286"/>
      <c r="EM13" s="590"/>
      <c r="EN13" s="548"/>
      <c r="EO13" s="286"/>
      <c r="EP13" s="286"/>
      <c r="EQ13" s="549"/>
      <c r="ER13" s="286"/>
      <c r="ES13" s="286"/>
      <c r="ET13" s="590"/>
      <c r="EU13" s="286"/>
      <c r="EV13" s="286"/>
      <c r="EW13" s="286"/>
      <c r="EX13" s="286"/>
      <c r="EY13" s="286"/>
      <c r="EZ13" s="286"/>
      <c r="FA13" s="590"/>
      <c r="FB13" s="286"/>
      <c r="FC13" s="286"/>
      <c r="FD13" s="286"/>
      <c r="FE13" s="286"/>
      <c r="FF13" s="286"/>
      <c r="FG13" s="286"/>
      <c r="FH13" s="590"/>
      <c r="FI13" s="286"/>
      <c r="FJ13" s="286"/>
      <c r="FK13" s="286"/>
      <c r="FL13" s="286"/>
      <c r="FM13" s="286"/>
      <c r="FN13" s="286"/>
      <c r="FO13" s="590"/>
      <c r="FP13" s="286"/>
      <c r="FQ13" s="286"/>
      <c r="FR13" s="286"/>
      <c r="FS13" s="286"/>
      <c r="FT13" s="286"/>
      <c r="FU13" s="286"/>
      <c r="FV13" s="590"/>
    </row>
    <row r="14" spans="1:280" s="258" customFormat="1" outlineLevel="1" x14ac:dyDescent="0.3">
      <c r="B14" s="623" t="s">
        <v>685</v>
      </c>
      <c r="C14" s="624"/>
      <c r="D14" s="625"/>
      <c r="E14" s="625"/>
      <c r="F14" s="626"/>
      <c r="G14" s="625"/>
      <c r="H14" s="285"/>
      <c r="I14" s="626"/>
      <c r="J14" s="627"/>
      <c r="K14" s="627"/>
      <c r="L14" s="627"/>
      <c r="M14" s="285"/>
      <c r="N14" s="627"/>
      <c r="O14" s="285"/>
      <c r="P14" s="285"/>
      <c r="Q14" s="627"/>
      <c r="R14" s="627"/>
      <c r="S14" s="285"/>
      <c r="T14" s="285"/>
      <c r="U14" s="627"/>
      <c r="V14" s="285"/>
      <c r="W14" s="285"/>
      <c r="X14" s="285"/>
      <c r="Y14" s="627"/>
      <c r="Z14" s="285"/>
      <c r="AA14" s="285"/>
      <c r="AB14" s="627"/>
      <c r="AC14" s="285"/>
      <c r="AD14" s="285"/>
      <c r="AE14" s="285"/>
      <c r="AF14" s="627"/>
      <c r="AG14" s="285"/>
      <c r="AH14" s="285"/>
      <c r="AI14" s="627"/>
      <c r="AJ14" s="285"/>
      <c r="AK14" s="285"/>
      <c r="AL14" s="285"/>
      <c r="AM14" s="627"/>
      <c r="AN14" s="627"/>
      <c r="AO14" s="285"/>
      <c r="AP14" s="285"/>
      <c r="AQ14" s="285"/>
      <c r="AR14" s="285"/>
      <c r="AS14" s="285"/>
      <c r="AT14" s="627"/>
      <c r="AU14" s="627"/>
      <c r="AV14" s="285"/>
      <c r="AW14" s="627"/>
      <c r="AX14" s="627"/>
      <c r="AY14" s="285"/>
      <c r="AZ14" s="285"/>
      <c r="BA14" s="627"/>
      <c r="BB14" s="627"/>
      <c r="BC14" s="285"/>
      <c r="BD14" s="627"/>
      <c r="BE14" s="627"/>
      <c r="BF14" s="285"/>
      <c r="BG14" s="285"/>
      <c r="BH14" s="627"/>
      <c r="BI14" s="627"/>
      <c r="BJ14" s="285"/>
      <c r="BK14" s="627"/>
      <c r="BL14" s="627"/>
      <c r="BM14" s="285"/>
      <c r="BN14" s="285"/>
      <c r="BO14" s="627"/>
      <c r="BP14" s="627"/>
      <c r="BQ14" s="285"/>
      <c r="BR14" s="627"/>
      <c r="BS14" s="627"/>
      <c r="BT14" s="285"/>
      <c r="BU14" s="285"/>
      <c r="BV14" s="627"/>
      <c r="BW14" s="627"/>
      <c r="BX14" s="285"/>
      <c r="BY14" s="627"/>
      <c r="BZ14" s="627"/>
      <c r="CA14" s="285"/>
      <c r="CB14" s="285"/>
      <c r="CC14" s="627"/>
      <c r="CD14" s="627"/>
      <c r="CE14" s="285"/>
      <c r="CF14" s="627"/>
      <c r="CG14" s="627"/>
      <c r="CH14" s="285"/>
      <c r="CI14" s="285"/>
      <c r="CJ14" s="627"/>
      <c r="CK14" s="627"/>
      <c r="CL14" s="285"/>
      <c r="CM14" s="627"/>
      <c r="CN14" s="627"/>
      <c r="CO14" s="285"/>
      <c r="CP14" s="628"/>
      <c r="CQ14" s="629"/>
      <c r="CR14" s="629"/>
      <c r="CS14" s="628"/>
      <c r="CT14" s="629"/>
      <c r="CU14" s="630"/>
      <c r="CV14" s="628"/>
      <c r="CW14" s="628"/>
      <c r="CX14" s="630"/>
      <c r="CY14" s="629"/>
      <c r="CZ14" s="628"/>
      <c r="DA14" s="629"/>
      <c r="DB14" s="629"/>
      <c r="DC14" s="628"/>
      <c r="DD14" s="654"/>
      <c r="DE14" s="629"/>
      <c r="DF14" s="629"/>
      <c r="DG14" s="628"/>
      <c r="DH14" s="629"/>
      <c r="DI14" s="628"/>
      <c r="DJ14" s="628"/>
      <c r="DK14" s="654"/>
      <c r="DL14" s="631"/>
      <c r="DM14" s="629"/>
      <c r="DN14" s="628"/>
      <c r="DO14" s="629"/>
      <c r="DP14" s="628"/>
      <c r="DQ14" s="628"/>
      <c r="DR14" s="670"/>
      <c r="DS14" s="629"/>
      <c r="DT14" s="629"/>
      <c r="DU14" s="628"/>
      <c r="DV14" s="629"/>
      <c r="DW14" s="628"/>
      <c r="DX14" s="628"/>
      <c r="DY14" s="670"/>
      <c r="DZ14" s="629"/>
      <c r="EA14" s="629"/>
      <c r="EB14" s="628"/>
      <c r="EC14" s="629"/>
      <c r="ED14" s="628"/>
      <c r="EE14" s="628"/>
      <c r="EF14" s="670"/>
      <c r="EG14" s="629"/>
      <c r="EH14" s="629"/>
      <c r="EI14" s="628"/>
      <c r="EJ14" s="629"/>
      <c r="EK14" s="628"/>
      <c r="EL14" s="628"/>
      <c r="EM14" s="670"/>
      <c r="EN14" s="696"/>
      <c r="EO14" s="628">
        <v>255.8</v>
      </c>
      <c r="EP14" s="628">
        <v>255.8</v>
      </c>
      <c r="EQ14" s="628">
        <v>194.1</v>
      </c>
      <c r="ER14" s="628">
        <v>345.45</v>
      </c>
      <c r="ES14" s="628">
        <v>539.54999999999995</v>
      </c>
      <c r="ET14" s="590">
        <f>EO14+EQ14+ER14</f>
        <v>795.34999999999991</v>
      </c>
      <c r="EU14" s="628">
        <v>342.60555555555555</v>
      </c>
      <c r="EV14" s="628">
        <v>274.14555555555557</v>
      </c>
      <c r="EW14" s="628">
        <v>616.75111111111119</v>
      </c>
      <c r="EX14" s="628">
        <v>212.69388888888889</v>
      </c>
      <c r="EY14" s="628">
        <v>373.83361111111111</v>
      </c>
      <c r="EZ14" s="628">
        <v>586.52750000000003</v>
      </c>
      <c r="FA14" s="590">
        <v>1203.2786111111113</v>
      </c>
      <c r="FB14" s="628">
        <v>367.23583333333335</v>
      </c>
      <c r="FC14" s="628">
        <v>297.57505555555559</v>
      </c>
      <c r="FD14" s="628">
        <v>664.81088888888894</v>
      </c>
      <c r="FE14" s="628">
        <v>231.7730277777778</v>
      </c>
      <c r="FF14" s="628">
        <v>400.85862500000002</v>
      </c>
      <c r="FG14" s="628">
        <v>632.63165277777784</v>
      </c>
      <c r="FH14" s="590">
        <v>1297.4425416666668</v>
      </c>
      <c r="FI14" s="628">
        <v>393.81984722222228</v>
      </c>
      <c r="FJ14" s="628">
        <v>318.34269722222228</v>
      </c>
      <c r="FK14" s="628">
        <v>712.16254444444462</v>
      </c>
      <c r="FL14" s="628">
        <v>249.13945694444448</v>
      </c>
      <c r="FM14" s="628">
        <v>424.34600069444451</v>
      </c>
      <c r="FN14" s="628">
        <v>673.48545763888899</v>
      </c>
      <c r="FO14" s="590">
        <v>1385.6480020833337</v>
      </c>
      <c r="FP14" s="628">
        <v>416.84417291666676</v>
      </c>
      <c r="FQ14" s="628">
        <v>339.81538763888898</v>
      </c>
      <c r="FR14" s="628">
        <v>756.6595605555558</v>
      </c>
      <c r="FS14" s="628">
        <v>269.26309645833339</v>
      </c>
      <c r="FT14" s="628">
        <v>455.45218961805563</v>
      </c>
      <c r="FU14" s="628">
        <v>724.71528607638902</v>
      </c>
      <c r="FV14" s="590">
        <v>1481.3748466319448</v>
      </c>
      <c r="GB14"/>
      <c r="GC14"/>
      <c r="GD14"/>
      <c r="GE14"/>
      <c r="GF14"/>
      <c r="GG14"/>
    </row>
    <row r="15" spans="1:280" outlineLevel="1" x14ac:dyDescent="0.3">
      <c r="B15" s="279" t="s">
        <v>98</v>
      </c>
      <c r="C15" s="280" t="s">
        <v>226</v>
      </c>
      <c r="D15" s="288">
        <v>10.199999999999999</v>
      </c>
      <c r="E15" s="288">
        <v>5.7</v>
      </c>
      <c r="F15" s="250">
        <f>SUM(D15:E15)</f>
        <v>15.899999999999999</v>
      </c>
      <c r="G15" s="288">
        <v>5.4</v>
      </c>
      <c r="H15" s="281">
        <f>I15-G15</f>
        <v>7.0000000000000018</v>
      </c>
      <c r="I15" s="250">
        <f>J15-F15</f>
        <v>12.400000000000002</v>
      </c>
      <c r="J15" s="289">
        <v>28.3</v>
      </c>
      <c r="K15" s="289">
        <v>7.4</v>
      </c>
      <c r="L15" s="289">
        <v>8.6</v>
      </c>
      <c r="M15" s="281">
        <f>SUM(K15:L15)</f>
        <v>16</v>
      </c>
      <c r="N15" s="289">
        <v>6.2</v>
      </c>
      <c r="O15" s="281">
        <f>P15-N15</f>
        <v>6.6999999999999984</v>
      </c>
      <c r="P15" s="281">
        <f>Q15-M15</f>
        <v>12.899999999999999</v>
      </c>
      <c r="Q15" s="289">
        <v>28.9</v>
      </c>
      <c r="R15" s="289">
        <v>0</v>
      </c>
      <c r="S15" s="281"/>
      <c r="T15" s="281"/>
      <c r="U15" s="289">
        <v>0</v>
      </c>
      <c r="V15" s="281"/>
      <c r="W15" s="281"/>
      <c r="X15" s="281"/>
      <c r="Y15" s="289">
        <v>0</v>
      </c>
      <c r="Z15" s="281"/>
      <c r="AA15" s="281"/>
      <c r="AB15" s="289">
        <v>0</v>
      </c>
      <c r="AC15" s="281"/>
      <c r="AD15" s="281"/>
      <c r="AE15" s="281"/>
      <c r="AF15" s="289">
        <v>0</v>
      </c>
      <c r="AG15" s="281"/>
      <c r="AH15" s="281"/>
      <c r="AI15" s="289">
        <v>0</v>
      </c>
      <c r="AJ15" s="281"/>
      <c r="AK15" s="281"/>
      <c r="AL15" s="281"/>
      <c r="AM15" s="289">
        <v>0</v>
      </c>
      <c r="AN15" s="289"/>
      <c r="AO15" s="281"/>
      <c r="AP15" s="281"/>
      <c r="AQ15" s="281"/>
      <c r="AR15" s="281"/>
      <c r="AS15" s="281"/>
      <c r="AT15" s="289">
        <v>0</v>
      </c>
      <c r="AU15" s="289">
        <v>0</v>
      </c>
      <c r="AV15" s="281">
        <f>AT15+AU15</f>
        <v>0</v>
      </c>
      <c r="AW15" s="289">
        <v>0</v>
      </c>
      <c r="AX15" s="289">
        <v>0</v>
      </c>
      <c r="AY15" s="281">
        <f>AW15+AX15</f>
        <v>0</v>
      </c>
      <c r="AZ15" s="281">
        <f>AY15+AV15</f>
        <v>0</v>
      </c>
      <c r="BA15" s="289">
        <v>2.9</v>
      </c>
      <c r="BB15" s="289">
        <v>2.5</v>
      </c>
      <c r="BC15" s="281">
        <f>BA15+BB15</f>
        <v>5.4</v>
      </c>
      <c r="BD15" s="289">
        <v>1.6</v>
      </c>
      <c r="BE15" s="289">
        <v>3.2</v>
      </c>
      <c r="BF15" s="281">
        <f>BD15+BE15</f>
        <v>4.8000000000000007</v>
      </c>
      <c r="BG15" s="281">
        <f>BF15+BC15</f>
        <v>10.200000000000001</v>
      </c>
      <c r="BH15" s="289">
        <v>2.4</v>
      </c>
      <c r="BI15" s="289">
        <v>2.4</v>
      </c>
      <c r="BJ15" s="281">
        <f>BH15+BI15</f>
        <v>4.8</v>
      </c>
      <c r="BK15" s="289">
        <v>2.5</v>
      </c>
      <c r="BL15" s="289">
        <v>3.7</v>
      </c>
      <c r="BM15" s="281">
        <f>BK15+BL15</f>
        <v>6.2</v>
      </c>
      <c r="BN15" s="281">
        <f>BM15+BJ15</f>
        <v>11</v>
      </c>
      <c r="BO15" s="289">
        <v>3.3</v>
      </c>
      <c r="BP15" s="289">
        <v>3.3</v>
      </c>
      <c r="BQ15" s="281">
        <f>BO15+BP15</f>
        <v>6.6</v>
      </c>
      <c r="BR15" s="289">
        <v>3.2</v>
      </c>
      <c r="BS15" s="289">
        <v>4</v>
      </c>
      <c r="BT15" s="281">
        <f>BR15+BS15</f>
        <v>7.2</v>
      </c>
      <c r="BU15" s="281">
        <f>BT15+BQ15</f>
        <v>13.8</v>
      </c>
      <c r="BV15" s="289">
        <v>4.2</v>
      </c>
      <c r="BW15" s="289">
        <v>3.5</v>
      </c>
      <c r="BX15" s="281">
        <f>BV15+BW15</f>
        <v>7.7</v>
      </c>
      <c r="BY15" s="289">
        <v>2.9</v>
      </c>
      <c r="BZ15" s="289">
        <v>3.1</v>
      </c>
      <c r="CA15" s="281">
        <f>BY15+BZ15</f>
        <v>6</v>
      </c>
      <c r="CB15" s="281">
        <f>CA15+BX15</f>
        <v>13.7</v>
      </c>
      <c r="CC15" s="289">
        <v>4.5</v>
      </c>
      <c r="CD15" s="289">
        <v>4.7</v>
      </c>
      <c r="CE15" s="281">
        <f>CC15+CD15</f>
        <v>9.1999999999999993</v>
      </c>
      <c r="CF15" s="289">
        <v>3.4</v>
      </c>
      <c r="CG15" s="289">
        <v>3.8</v>
      </c>
      <c r="CH15" s="281">
        <f>CF15+CG15</f>
        <v>7.1999999999999993</v>
      </c>
      <c r="CI15" s="281">
        <f>CH15+CE15</f>
        <v>16.399999999999999</v>
      </c>
      <c r="CJ15" s="289">
        <f>3.8</f>
        <v>3.8</v>
      </c>
      <c r="CK15" s="289">
        <v>3.8</v>
      </c>
      <c r="CL15" s="281">
        <f>CJ15+CK15</f>
        <v>7.6</v>
      </c>
      <c r="CM15" s="289">
        <v>3.8</v>
      </c>
      <c r="CN15" s="289">
        <v>3.3</v>
      </c>
      <c r="CO15" s="281">
        <f>CM15+CN15</f>
        <v>7.1</v>
      </c>
      <c r="CP15" s="282">
        <f>CO15+CL15</f>
        <v>14.7</v>
      </c>
      <c r="CQ15" s="290">
        <v>4.7</v>
      </c>
      <c r="CR15" s="290">
        <v>4.3</v>
      </c>
      <c r="CS15" s="282">
        <f>CQ15+CR15</f>
        <v>9</v>
      </c>
      <c r="CT15" s="290">
        <v>3.8</v>
      </c>
      <c r="CU15" s="291">
        <v>1.8</v>
      </c>
      <c r="CV15" s="282">
        <f>CT15+CU15</f>
        <v>5.6</v>
      </c>
      <c r="CW15" s="282">
        <f>CV15+CS15</f>
        <v>14.6</v>
      </c>
      <c r="CX15" s="291">
        <v>0.6</v>
      </c>
      <c r="CY15" s="290">
        <v>0</v>
      </c>
      <c r="CZ15" s="282">
        <f>CX15+CY15</f>
        <v>0.6</v>
      </c>
      <c r="DA15" s="290">
        <v>0</v>
      </c>
      <c r="DB15" s="290">
        <v>0.1</v>
      </c>
      <c r="DC15" s="282">
        <f>DA15+DB15</f>
        <v>0.1</v>
      </c>
      <c r="DD15" s="654">
        <f>DC15+CZ15</f>
        <v>0.7</v>
      </c>
      <c r="DE15" s="290">
        <v>0</v>
      </c>
      <c r="DF15" s="290">
        <v>0</v>
      </c>
      <c r="DG15" s="282">
        <f>DE15+DF15</f>
        <v>0</v>
      </c>
      <c r="DH15" s="290">
        <v>0</v>
      </c>
      <c r="DI15" s="282">
        <f>+DJ15-DH15</f>
        <v>0</v>
      </c>
      <c r="DJ15" s="282">
        <f>+DK15-DG15</f>
        <v>0</v>
      </c>
      <c r="DK15" s="654">
        <v>0</v>
      </c>
      <c r="DL15" s="292">
        <v>0</v>
      </c>
      <c r="DM15" s="290">
        <v>0</v>
      </c>
      <c r="DN15" s="282">
        <f>DL15+DM15</f>
        <v>0</v>
      </c>
      <c r="DO15" s="290">
        <v>0</v>
      </c>
      <c r="DP15" s="282">
        <f>+DQ15-DO15</f>
        <v>0</v>
      </c>
      <c r="DQ15" s="282">
        <f>+DR15-DN15</f>
        <v>0</v>
      </c>
      <c r="DR15" s="670">
        <v>0</v>
      </c>
      <c r="DS15" s="290">
        <v>0</v>
      </c>
      <c r="DT15" s="290">
        <v>0</v>
      </c>
      <c r="DU15" s="282">
        <f>DS15+DT15</f>
        <v>0</v>
      </c>
      <c r="DV15" s="290">
        <v>0</v>
      </c>
      <c r="DW15" s="282">
        <f>+DX15-DV15</f>
        <v>0</v>
      </c>
      <c r="DX15" s="282">
        <f>+DY15-DU15</f>
        <v>0</v>
      </c>
      <c r="DY15" s="670"/>
      <c r="DZ15" s="290"/>
      <c r="EA15" s="290"/>
      <c r="EB15" s="282">
        <f>DZ15+EA15</f>
        <v>0</v>
      </c>
      <c r="EC15" s="290"/>
      <c r="ED15" s="282">
        <f>+EE15-EC15</f>
        <v>0</v>
      </c>
      <c r="EE15" s="282">
        <f>+EF15-EB15</f>
        <v>0</v>
      </c>
      <c r="EF15" s="670"/>
      <c r="EG15" s="290"/>
      <c r="EH15" s="290"/>
      <c r="EI15" s="282">
        <f>EG15+EH15</f>
        <v>0</v>
      </c>
      <c r="EJ15" s="290"/>
      <c r="EK15" s="282">
        <f>+EL15-EJ15</f>
        <v>0</v>
      </c>
      <c r="EL15" s="282">
        <f>+EM15-EI15</f>
        <v>0</v>
      </c>
      <c r="EM15" s="670"/>
      <c r="EN15" s="697"/>
      <c r="EO15" s="290"/>
      <c r="EP15" s="282">
        <f>EN15+EO15</f>
        <v>0</v>
      </c>
      <c r="EQ15" s="710"/>
      <c r="ER15" s="282"/>
      <c r="ES15" s="282"/>
      <c r="ET15" s="590"/>
      <c r="EU15" s="282"/>
      <c r="EV15" s="282"/>
      <c r="EW15" s="282"/>
      <c r="EX15" s="282"/>
      <c r="EY15" s="282"/>
      <c r="EZ15" s="282"/>
      <c r="FA15" s="590"/>
      <c r="FB15" s="282"/>
      <c r="FC15" s="282"/>
      <c r="FD15" s="282"/>
      <c r="FE15" s="282"/>
      <c r="FF15" s="282"/>
      <c r="FG15" s="282"/>
      <c r="FH15" s="590"/>
      <c r="FI15" s="282"/>
      <c r="FJ15" s="282"/>
      <c r="FK15" s="282"/>
      <c r="FL15" s="282"/>
      <c r="FM15" s="282"/>
      <c r="FN15" s="282"/>
      <c r="FO15" s="590"/>
      <c r="FP15" s="282"/>
      <c r="FQ15" s="282"/>
      <c r="FR15" s="282"/>
      <c r="FS15" s="282"/>
      <c r="FT15" s="282"/>
      <c r="FU15" s="282"/>
      <c r="FV15" s="590"/>
    </row>
    <row r="16" spans="1:280" outlineLevel="1" x14ac:dyDescent="0.3">
      <c r="A16" s="293"/>
      <c r="B16" s="293" t="s">
        <v>410</v>
      </c>
      <c r="C16" s="294" t="s">
        <v>226</v>
      </c>
      <c r="D16" s="295">
        <f t="shared" ref="D16:AI16" si="6">SUM(D10:D15)</f>
        <v>359.4</v>
      </c>
      <c r="E16" s="295">
        <f t="shared" si="6"/>
        <v>376.59999999999997</v>
      </c>
      <c r="F16" s="295">
        <f t="shared" si="6"/>
        <v>736</v>
      </c>
      <c r="G16" s="295">
        <f t="shared" si="6"/>
        <v>362.69999999999993</v>
      </c>
      <c r="H16" s="295">
        <f t="shared" si="6"/>
        <v>389.8</v>
      </c>
      <c r="I16" s="295">
        <f t="shared" si="6"/>
        <v>752.5</v>
      </c>
      <c r="J16" s="296">
        <f t="shared" si="6"/>
        <v>1488.5</v>
      </c>
      <c r="K16" s="297">
        <f t="shared" si="6"/>
        <v>415.49999999999994</v>
      </c>
      <c r="L16" s="297">
        <f t="shared" si="6"/>
        <v>411.40000000000003</v>
      </c>
      <c r="M16" s="297">
        <f t="shared" si="6"/>
        <v>826.9</v>
      </c>
      <c r="N16" s="297">
        <f t="shared" si="6"/>
        <v>355.09999999999997</v>
      </c>
      <c r="O16" s="297">
        <f t="shared" si="6"/>
        <v>360.9</v>
      </c>
      <c r="P16" s="297">
        <f t="shared" si="6"/>
        <v>715.99999999999989</v>
      </c>
      <c r="Q16" s="297">
        <f t="shared" si="6"/>
        <v>1542.9</v>
      </c>
      <c r="R16" s="297">
        <f t="shared" si="6"/>
        <v>424.4</v>
      </c>
      <c r="S16" s="297">
        <f t="shared" si="6"/>
        <v>390.1</v>
      </c>
      <c r="T16" s="297">
        <f t="shared" si="6"/>
        <v>814.5</v>
      </c>
      <c r="U16" s="297">
        <f t="shared" si="6"/>
        <v>341.4</v>
      </c>
      <c r="V16" s="297">
        <f t="shared" si="6"/>
        <v>312.89999999999998</v>
      </c>
      <c r="W16" s="297">
        <f t="shared" si="6"/>
        <v>654.29999999999995</v>
      </c>
      <c r="X16" s="297">
        <f t="shared" si="6"/>
        <v>1468.8</v>
      </c>
      <c r="Y16" s="297">
        <f t="shared" si="6"/>
        <v>365</v>
      </c>
      <c r="Z16" s="297">
        <f t="shared" si="6"/>
        <v>341.9</v>
      </c>
      <c r="AA16" s="297">
        <f t="shared" si="6"/>
        <v>706.90000000000009</v>
      </c>
      <c r="AB16" s="297">
        <f t="shared" si="6"/>
        <v>254.4</v>
      </c>
      <c r="AC16" s="297">
        <f t="shared" si="6"/>
        <v>241.29999999999998</v>
      </c>
      <c r="AD16" s="297">
        <f t="shared" si="6"/>
        <v>495.70000000000005</v>
      </c>
      <c r="AE16" s="297">
        <f t="shared" si="6"/>
        <v>1202.5999999999999</v>
      </c>
      <c r="AF16" s="297">
        <f t="shared" si="6"/>
        <v>284.5</v>
      </c>
      <c r="AG16" s="297">
        <f t="shared" si="6"/>
        <v>304.2</v>
      </c>
      <c r="AH16" s="297">
        <f t="shared" si="6"/>
        <v>588.70000000000005</v>
      </c>
      <c r="AI16" s="297">
        <f t="shared" si="6"/>
        <v>261</v>
      </c>
      <c r="AJ16" s="297">
        <f t="shared" ref="AJ16:BO16" si="7">SUM(AJ10:AJ15)</f>
        <v>274.89999999999998</v>
      </c>
      <c r="AK16" s="297">
        <f t="shared" si="7"/>
        <v>535.9</v>
      </c>
      <c r="AL16" s="297">
        <f t="shared" si="7"/>
        <v>1124.5999999999999</v>
      </c>
      <c r="AM16" s="297">
        <f t="shared" si="7"/>
        <v>318.39999999999998</v>
      </c>
      <c r="AN16" s="297">
        <f t="shared" si="7"/>
        <v>287.60000000000002</v>
      </c>
      <c r="AO16" s="297">
        <f t="shared" si="7"/>
        <v>606</v>
      </c>
      <c r="AP16" s="297">
        <f t="shared" si="7"/>
        <v>276.07729718172021</v>
      </c>
      <c r="AQ16" s="297">
        <f t="shared" si="7"/>
        <v>271.69679637111307</v>
      </c>
      <c r="AR16" s="297">
        <f t="shared" si="7"/>
        <v>547.77409355283328</v>
      </c>
      <c r="AS16" s="297">
        <f t="shared" si="7"/>
        <v>1153.7740935528334</v>
      </c>
      <c r="AT16" s="297">
        <f t="shared" si="7"/>
        <v>313.60000000000002</v>
      </c>
      <c r="AU16" s="297">
        <f t="shared" si="7"/>
        <v>331.6</v>
      </c>
      <c r="AV16" s="297">
        <f t="shared" si="7"/>
        <v>645.20000000000005</v>
      </c>
      <c r="AW16" s="297">
        <f t="shared" si="7"/>
        <v>283</v>
      </c>
      <c r="AX16" s="297">
        <f t="shared" si="7"/>
        <v>309.3</v>
      </c>
      <c r="AY16" s="297">
        <f t="shared" si="7"/>
        <v>592.30000000000007</v>
      </c>
      <c r="AZ16" s="297">
        <f t="shared" si="7"/>
        <v>1237.5</v>
      </c>
      <c r="BA16" s="297">
        <f t="shared" si="7"/>
        <v>339.69999999999993</v>
      </c>
      <c r="BB16" s="297">
        <f t="shared" si="7"/>
        <v>334.4</v>
      </c>
      <c r="BC16" s="297">
        <f t="shared" si="7"/>
        <v>674.1</v>
      </c>
      <c r="BD16" s="297">
        <f t="shared" si="7"/>
        <v>320.40000000000003</v>
      </c>
      <c r="BE16" s="297">
        <f t="shared" si="7"/>
        <v>326.8</v>
      </c>
      <c r="BF16" s="297">
        <f t="shared" si="7"/>
        <v>647.20000000000005</v>
      </c>
      <c r="BG16" s="297">
        <f t="shared" si="7"/>
        <v>1321.3</v>
      </c>
      <c r="BH16" s="297">
        <f t="shared" si="7"/>
        <v>372.19999999999993</v>
      </c>
      <c r="BI16" s="297">
        <f t="shared" si="7"/>
        <v>392</v>
      </c>
      <c r="BJ16" s="297">
        <f t="shared" si="7"/>
        <v>764.19999999999993</v>
      </c>
      <c r="BK16" s="297">
        <f t="shared" si="7"/>
        <v>353.2</v>
      </c>
      <c r="BL16" s="297">
        <f t="shared" si="7"/>
        <v>376.40000000000003</v>
      </c>
      <c r="BM16" s="297">
        <f t="shared" si="7"/>
        <v>729.60000000000014</v>
      </c>
      <c r="BN16" s="297">
        <f t="shared" si="7"/>
        <v>1493.8</v>
      </c>
      <c r="BO16" s="297">
        <f t="shared" si="7"/>
        <v>416.8</v>
      </c>
      <c r="BP16" s="297">
        <f t="shared" ref="BP16:CI16" si="8">SUM(BP10:BP15)</f>
        <v>440.40000000000003</v>
      </c>
      <c r="BQ16" s="297">
        <f t="shared" si="8"/>
        <v>857.19999999999993</v>
      </c>
      <c r="BR16" s="297">
        <f t="shared" si="8"/>
        <v>388.40000000000003</v>
      </c>
      <c r="BS16" s="297">
        <f t="shared" si="8"/>
        <v>411.3</v>
      </c>
      <c r="BT16" s="297">
        <f t="shared" si="8"/>
        <v>799.70000000000016</v>
      </c>
      <c r="BU16" s="297">
        <f t="shared" si="8"/>
        <v>1656.9</v>
      </c>
      <c r="BV16" s="298">
        <f t="shared" si="8"/>
        <v>428.29999999999995</v>
      </c>
      <c r="BW16" s="298">
        <f t="shared" si="8"/>
        <v>450.29999999999995</v>
      </c>
      <c r="BX16" s="298">
        <f t="shared" si="8"/>
        <v>878.6</v>
      </c>
      <c r="BY16" s="298">
        <f t="shared" si="8"/>
        <v>413.9</v>
      </c>
      <c r="BZ16" s="298">
        <f t="shared" si="8"/>
        <v>435.80000000000007</v>
      </c>
      <c r="CA16" s="298">
        <f t="shared" si="8"/>
        <v>849.69999999999993</v>
      </c>
      <c r="CB16" s="297">
        <f t="shared" si="8"/>
        <v>1728.3</v>
      </c>
      <c r="CC16" s="297">
        <f t="shared" si="8"/>
        <v>477.70000000000005</v>
      </c>
      <c r="CD16" s="297">
        <f t="shared" si="8"/>
        <v>495.8</v>
      </c>
      <c r="CE16" s="297">
        <f t="shared" si="8"/>
        <v>973.5</v>
      </c>
      <c r="CF16" s="297">
        <f t="shared" si="8"/>
        <v>453.79999999999995</v>
      </c>
      <c r="CG16" s="297">
        <f t="shared" si="8"/>
        <v>494.3</v>
      </c>
      <c r="CH16" s="297">
        <f t="shared" si="8"/>
        <v>948.09999999999991</v>
      </c>
      <c r="CI16" s="297">
        <f t="shared" si="8"/>
        <v>1921.6</v>
      </c>
      <c r="CJ16" s="299">
        <f t="shared" ref="CJ16:CP16" si="9">SUM(CJ10:CJ11,CJ13:CJ15)</f>
        <v>609.29999999999995</v>
      </c>
      <c r="CK16" s="299">
        <f t="shared" si="9"/>
        <v>639.19999999999993</v>
      </c>
      <c r="CL16" s="299">
        <f t="shared" si="9"/>
        <v>1248.5</v>
      </c>
      <c r="CM16" s="299">
        <f t="shared" si="9"/>
        <v>600.4</v>
      </c>
      <c r="CN16" s="299">
        <f t="shared" si="9"/>
        <v>631</v>
      </c>
      <c r="CO16" s="299">
        <f t="shared" si="9"/>
        <v>1231.4000000000001</v>
      </c>
      <c r="CP16" s="299">
        <f t="shared" si="9"/>
        <v>2479.8999999999996</v>
      </c>
      <c r="CQ16" s="299">
        <f t="shared" ref="CQ16:DV16" si="10">SUM(CQ10:CQ12,CQ15)</f>
        <v>651</v>
      </c>
      <c r="CR16" s="299">
        <f t="shared" si="10"/>
        <v>644.59999999999991</v>
      </c>
      <c r="CS16" s="299">
        <f t="shared" si="10"/>
        <v>1295.6000000000001</v>
      </c>
      <c r="CT16" s="299">
        <f t="shared" si="10"/>
        <v>586.19999999999993</v>
      </c>
      <c r="CU16" s="299">
        <f t="shared" si="10"/>
        <v>624.79999999999995</v>
      </c>
      <c r="CV16" s="299">
        <f t="shared" si="10"/>
        <v>1211</v>
      </c>
      <c r="CW16" s="299">
        <f t="shared" si="10"/>
        <v>2506.6</v>
      </c>
      <c r="CX16" s="299">
        <f t="shared" si="10"/>
        <v>656.8</v>
      </c>
      <c r="CY16" s="300">
        <f t="shared" si="10"/>
        <v>660.1</v>
      </c>
      <c r="CZ16" s="299">
        <f t="shared" si="10"/>
        <v>1316.8999999999999</v>
      </c>
      <c r="DA16" s="299">
        <f t="shared" si="10"/>
        <v>616.70000000000005</v>
      </c>
      <c r="DB16" s="299">
        <f t="shared" si="10"/>
        <v>673.3</v>
      </c>
      <c r="DC16" s="299">
        <f t="shared" si="10"/>
        <v>1289.9999999999998</v>
      </c>
      <c r="DD16" s="655">
        <f t="shared" si="10"/>
        <v>2606.9</v>
      </c>
      <c r="DE16" s="300">
        <f t="shared" si="10"/>
        <v>626.29999999999995</v>
      </c>
      <c r="DF16" s="300">
        <f t="shared" si="10"/>
        <v>736.80000000000007</v>
      </c>
      <c r="DG16" s="299">
        <f t="shared" si="10"/>
        <v>1363.1</v>
      </c>
      <c r="DH16" s="299">
        <f t="shared" si="10"/>
        <v>738.6</v>
      </c>
      <c r="DI16" s="299">
        <f t="shared" si="10"/>
        <v>807.00000000000011</v>
      </c>
      <c r="DJ16" s="299">
        <f t="shared" si="10"/>
        <v>1545.6</v>
      </c>
      <c r="DK16" s="655">
        <f t="shared" si="10"/>
        <v>2908.7000000000003</v>
      </c>
      <c r="DL16" s="301">
        <f t="shared" si="10"/>
        <v>843.30000000000007</v>
      </c>
      <c r="DM16" s="299">
        <f t="shared" si="10"/>
        <v>903.19999999999993</v>
      </c>
      <c r="DN16" s="299">
        <f t="shared" si="10"/>
        <v>1746.5000000000002</v>
      </c>
      <c r="DO16" s="300">
        <f t="shared" si="10"/>
        <v>900</v>
      </c>
      <c r="DP16" s="299">
        <f t="shared" si="10"/>
        <v>968.2</v>
      </c>
      <c r="DQ16" s="299">
        <f t="shared" si="10"/>
        <v>1868.1999999999998</v>
      </c>
      <c r="DR16" s="591">
        <f t="shared" si="10"/>
        <v>3614.7000000000003</v>
      </c>
      <c r="DS16" s="299">
        <f t="shared" si="10"/>
        <v>1000.9000000000001</v>
      </c>
      <c r="DT16" s="299">
        <f t="shared" si="10"/>
        <v>997.60000000000014</v>
      </c>
      <c r="DU16" s="299">
        <f t="shared" si="10"/>
        <v>1998.5000000000002</v>
      </c>
      <c r="DV16" s="306">
        <f t="shared" si="10"/>
        <v>860.8</v>
      </c>
      <c r="DW16" s="299">
        <f t="shared" ref="DW16:EM16" si="11">SUM(DW10:DW12,DW15)</f>
        <v>917.8</v>
      </c>
      <c r="DX16" s="299">
        <f t="shared" si="11"/>
        <v>1778.6</v>
      </c>
      <c r="DY16" s="591">
        <f t="shared" si="11"/>
        <v>3777.1000000000004</v>
      </c>
      <c r="DZ16" s="299">
        <f t="shared" si="11"/>
        <v>954.3</v>
      </c>
      <c r="EA16" s="299">
        <f t="shared" si="11"/>
        <v>998.8</v>
      </c>
      <c r="EB16" s="299">
        <f t="shared" si="11"/>
        <v>1953.1</v>
      </c>
      <c r="EC16" s="306">
        <f t="shared" si="11"/>
        <v>978.19999999999993</v>
      </c>
      <c r="ED16" s="299">
        <f t="shared" si="11"/>
        <v>1005.0000000000002</v>
      </c>
      <c r="EE16" s="299">
        <f t="shared" si="11"/>
        <v>1983.2000000000003</v>
      </c>
      <c r="EF16" s="591">
        <f t="shared" si="11"/>
        <v>3936.2999999999997</v>
      </c>
      <c r="EG16" s="299">
        <f t="shared" si="11"/>
        <v>991.89999999999986</v>
      </c>
      <c r="EH16" s="299">
        <f t="shared" si="11"/>
        <v>960.8</v>
      </c>
      <c r="EI16" s="299">
        <f t="shared" si="11"/>
        <v>1952.6999999999998</v>
      </c>
      <c r="EJ16" s="306">
        <f t="shared" si="11"/>
        <v>953.3</v>
      </c>
      <c r="EK16" s="299">
        <f t="shared" si="11"/>
        <v>971.50000000000023</v>
      </c>
      <c r="EL16" s="299">
        <f t="shared" si="11"/>
        <v>1924.8000000000002</v>
      </c>
      <c r="EM16" s="591">
        <f t="shared" si="11"/>
        <v>3877.5000000000005</v>
      </c>
      <c r="EN16" s="330">
        <f t="shared" ref="EN16" si="12">SUM(EN10:EN12,EN15)</f>
        <v>899.9</v>
      </c>
      <c r="EO16" s="299">
        <f>SUM(EO10:EO14,EO15)</f>
        <v>1292.2</v>
      </c>
      <c r="EP16" s="299">
        <f>SUM(EP10:EP12,EP15)</f>
        <v>1936.3</v>
      </c>
      <c r="EQ16" s="299">
        <f>SUM(EQ10:EQ12,EQ14,EQ15)</f>
        <v>1239.8</v>
      </c>
      <c r="ER16" s="299">
        <f>SUM(ER10:ER12,ER14,ER15)</f>
        <v>1415.3936568579791</v>
      </c>
      <c r="ES16" s="299">
        <f t="shared" ref="ES16:FV16" si="13">SUM(ES10:ES12,ES14,ES15)</f>
        <v>2725.913396857979</v>
      </c>
      <c r="ET16" s="591">
        <f>SUM(ET10:ET12,ET14,ET15)</f>
        <v>4847.2936568579789</v>
      </c>
      <c r="EU16" s="299">
        <f t="shared" si="13"/>
        <v>1397.8333916245156</v>
      </c>
      <c r="EV16" s="299">
        <f t="shared" si="13"/>
        <v>1458.8557637776998</v>
      </c>
      <c r="EW16" s="299">
        <f t="shared" si="13"/>
        <v>2856.6891554022154</v>
      </c>
      <c r="EX16" s="299">
        <f t="shared" si="13"/>
        <v>1398.0519900707795</v>
      </c>
      <c r="EY16" s="299">
        <f t="shared" si="13"/>
        <v>1535.2988775880476</v>
      </c>
      <c r="EZ16" s="299">
        <f t="shared" si="13"/>
        <v>2933.3508676588272</v>
      </c>
      <c r="FA16" s="591">
        <f t="shared" si="13"/>
        <v>5790.040023061043</v>
      </c>
      <c r="FB16" s="299">
        <f t="shared" si="13"/>
        <v>1527.0154285878132</v>
      </c>
      <c r="FC16" s="299">
        <f t="shared" si="13"/>
        <v>1614.1034051648662</v>
      </c>
      <c r="FD16" s="299">
        <f t="shared" si="13"/>
        <v>3141.1188337526792</v>
      </c>
      <c r="FE16" s="299">
        <f t="shared" si="13"/>
        <v>1546.4480428789916</v>
      </c>
      <c r="FF16" s="299">
        <f t="shared" si="13"/>
        <v>1686.4841746470747</v>
      </c>
      <c r="FG16" s="299">
        <f t="shared" si="13"/>
        <v>3232.9322175260659</v>
      </c>
      <c r="FH16" s="591">
        <f t="shared" si="13"/>
        <v>6374.0510512787459</v>
      </c>
      <c r="FI16" s="299">
        <f t="shared" si="13"/>
        <v>1648.304107648961</v>
      </c>
      <c r="FJ16" s="299">
        <f t="shared" si="13"/>
        <v>1734.4340767730978</v>
      </c>
      <c r="FK16" s="299">
        <f t="shared" si="13"/>
        <v>3382.738184422059</v>
      </c>
      <c r="FL16" s="299">
        <f t="shared" si="13"/>
        <v>1658.9953637983194</v>
      </c>
      <c r="FM16" s="299">
        <f t="shared" si="13"/>
        <v>1797.633685718798</v>
      </c>
      <c r="FN16" s="299">
        <f t="shared" si="13"/>
        <v>3456.6290495171174</v>
      </c>
      <c r="FO16" s="591">
        <f t="shared" si="13"/>
        <v>6839.367233939176</v>
      </c>
      <c r="FP16" s="299">
        <f t="shared" si="13"/>
        <v>1763.5516677121216</v>
      </c>
      <c r="FQ16" s="299">
        <f t="shared" si="13"/>
        <v>1867.8709331925456</v>
      </c>
      <c r="FR16" s="299">
        <f t="shared" si="13"/>
        <v>3631.422600904667</v>
      </c>
      <c r="FS16" s="299">
        <f t="shared" si="13"/>
        <v>1792.333314513837</v>
      </c>
      <c r="FT16" s="299">
        <f t="shared" si="13"/>
        <v>1935.2256803760793</v>
      </c>
      <c r="FU16" s="299">
        <f t="shared" si="13"/>
        <v>3727.5589948899155</v>
      </c>
      <c r="FV16" s="591">
        <f t="shared" si="13"/>
        <v>7358.981595794583</v>
      </c>
      <c r="FW16" s="632"/>
      <c r="FX16" s="633"/>
      <c r="FY16" s="633"/>
      <c r="FZ16" s="633"/>
      <c r="GA16" s="633"/>
    </row>
    <row r="17" spans="1:189" outlineLevel="1" x14ac:dyDescent="0.3">
      <c r="B17" s="303" t="s">
        <v>411</v>
      </c>
      <c r="C17" s="304" t="s">
        <v>226</v>
      </c>
      <c r="D17" s="281">
        <f t="shared" ref="D17:BO17" si="14">D16+D20</f>
        <v>359.4</v>
      </c>
      <c r="E17" s="281">
        <f t="shared" si="14"/>
        <v>377.2</v>
      </c>
      <c r="F17" s="281">
        <f t="shared" si="14"/>
        <v>736.6</v>
      </c>
      <c r="G17" s="281">
        <f t="shared" si="14"/>
        <v>362.69999999999993</v>
      </c>
      <c r="H17" s="281">
        <f t="shared" si="14"/>
        <v>389.2</v>
      </c>
      <c r="I17" s="281">
        <f t="shared" si="14"/>
        <v>751.9</v>
      </c>
      <c r="J17" s="305">
        <f t="shared" si="14"/>
        <v>1488.5</v>
      </c>
      <c r="K17" s="305">
        <f t="shared" si="14"/>
        <v>415.49999999999994</v>
      </c>
      <c r="L17" s="305">
        <f t="shared" si="14"/>
        <v>411.40000000000003</v>
      </c>
      <c r="M17" s="305">
        <f t="shared" si="14"/>
        <v>826.9</v>
      </c>
      <c r="N17" s="305">
        <f t="shared" si="14"/>
        <v>355.09999999999997</v>
      </c>
      <c r="O17" s="305">
        <f t="shared" si="14"/>
        <v>360.9</v>
      </c>
      <c r="P17" s="305">
        <f t="shared" si="14"/>
        <v>715.99999999999989</v>
      </c>
      <c r="Q17" s="305">
        <f t="shared" si="14"/>
        <v>1542.9</v>
      </c>
      <c r="R17" s="305">
        <f t="shared" si="14"/>
        <v>424.4</v>
      </c>
      <c r="S17" s="305">
        <f t="shared" si="14"/>
        <v>390.1</v>
      </c>
      <c r="T17" s="305">
        <f t="shared" si="14"/>
        <v>814.5</v>
      </c>
      <c r="U17" s="305">
        <f t="shared" si="14"/>
        <v>341.4</v>
      </c>
      <c r="V17" s="305">
        <f t="shared" si="14"/>
        <v>312.89999999999998</v>
      </c>
      <c r="W17" s="305">
        <f t="shared" si="14"/>
        <v>654.29999999999995</v>
      </c>
      <c r="X17" s="305">
        <f t="shared" si="14"/>
        <v>1468.8</v>
      </c>
      <c r="Y17" s="305">
        <f t="shared" si="14"/>
        <v>365</v>
      </c>
      <c r="Z17" s="305">
        <f t="shared" si="14"/>
        <v>341.9</v>
      </c>
      <c r="AA17" s="305">
        <f t="shared" si="14"/>
        <v>706.90000000000009</v>
      </c>
      <c r="AB17" s="305">
        <f t="shared" si="14"/>
        <v>254.4</v>
      </c>
      <c r="AC17" s="305">
        <f t="shared" si="14"/>
        <v>226.49999999999997</v>
      </c>
      <c r="AD17" s="305">
        <f t="shared" si="14"/>
        <v>480.90000000000003</v>
      </c>
      <c r="AE17" s="305">
        <f t="shared" si="14"/>
        <v>1187.8</v>
      </c>
      <c r="AF17" s="305">
        <f t="shared" si="14"/>
        <v>289.3</v>
      </c>
      <c r="AG17" s="305">
        <f t="shared" si="14"/>
        <v>303.2</v>
      </c>
      <c r="AH17" s="305">
        <f t="shared" si="14"/>
        <v>592.5</v>
      </c>
      <c r="AI17" s="305">
        <f t="shared" si="14"/>
        <v>263.2</v>
      </c>
      <c r="AJ17" s="305">
        <f t="shared" si="14"/>
        <v>275.2</v>
      </c>
      <c r="AK17" s="305">
        <f t="shared" si="14"/>
        <v>538.4</v>
      </c>
      <c r="AL17" s="305">
        <f t="shared" si="14"/>
        <v>1130.8999999999999</v>
      </c>
      <c r="AM17" s="305">
        <f t="shared" si="14"/>
        <v>314</v>
      </c>
      <c r="AN17" s="305">
        <f t="shared" si="14"/>
        <v>284.70000000000005</v>
      </c>
      <c r="AO17" s="305">
        <f t="shared" si="14"/>
        <v>598.70000000000005</v>
      </c>
      <c r="AP17" s="305">
        <f t="shared" si="14"/>
        <v>278.7772971817202</v>
      </c>
      <c r="AQ17" s="305">
        <f t="shared" si="14"/>
        <v>272.59679637111304</v>
      </c>
      <c r="AR17" s="305">
        <f t="shared" si="14"/>
        <v>551.3740935528333</v>
      </c>
      <c r="AS17" s="305">
        <f t="shared" si="14"/>
        <v>1150.0740935528333</v>
      </c>
      <c r="AT17" s="305">
        <f t="shared" si="14"/>
        <v>312.10000000000002</v>
      </c>
      <c r="AU17" s="305">
        <f t="shared" si="14"/>
        <v>331.1</v>
      </c>
      <c r="AV17" s="305">
        <f t="shared" si="14"/>
        <v>643.20000000000005</v>
      </c>
      <c r="AW17" s="305">
        <f t="shared" si="14"/>
        <v>284.5</v>
      </c>
      <c r="AX17" s="305">
        <f t="shared" si="14"/>
        <v>312.8</v>
      </c>
      <c r="AY17" s="305">
        <f t="shared" si="14"/>
        <v>597.30000000000007</v>
      </c>
      <c r="AZ17" s="305">
        <f t="shared" si="14"/>
        <v>1240.5</v>
      </c>
      <c r="BA17" s="305">
        <f t="shared" si="14"/>
        <v>340.09999999999991</v>
      </c>
      <c r="BB17" s="305">
        <f t="shared" si="14"/>
        <v>334.7</v>
      </c>
      <c r="BC17" s="305">
        <f t="shared" si="14"/>
        <v>674.80000000000007</v>
      </c>
      <c r="BD17" s="305">
        <f t="shared" si="14"/>
        <v>320.90000000000003</v>
      </c>
      <c r="BE17" s="305">
        <f t="shared" si="14"/>
        <v>330.3</v>
      </c>
      <c r="BF17" s="305">
        <f t="shared" si="14"/>
        <v>651.20000000000005</v>
      </c>
      <c r="BG17" s="305">
        <f t="shared" si="14"/>
        <v>1326</v>
      </c>
      <c r="BH17" s="305">
        <f t="shared" si="14"/>
        <v>372.29999999999995</v>
      </c>
      <c r="BI17" s="305">
        <f t="shared" si="14"/>
        <v>392.1</v>
      </c>
      <c r="BJ17" s="305">
        <f t="shared" si="14"/>
        <v>764.4</v>
      </c>
      <c r="BK17" s="305">
        <f t="shared" si="14"/>
        <v>354.4</v>
      </c>
      <c r="BL17" s="305">
        <f t="shared" si="14"/>
        <v>379.90000000000003</v>
      </c>
      <c r="BM17" s="305">
        <f t="shared" si="14"/>
        <v>734.30000000000018</v>
      </c>
      <c r="BN17" s="305">
        <f t="shared" si="14"/>
        <v>1498.7</v>
      </c>
      <c r="BO17" s="305">
        <f t="shared" si="14"/>
        <v>413.1</v>
      </c>
      <c r="BP17" s="305">
        <f t="shared" ref="BP17:DR17" si="15">BP16+BP20</f>
        <v>440.40000000000003</v>
      </c>
      <c r="BQ17" s="305">
        <f t="shared" si="15"/>
        <v>853.49999999999989</v>
      </c>
      <c r="BR17" s="305">
        <f t="shared" si="15"/>
        <v>388.20000000000005</v>
      </c>
      <c r="BS17" s="305">
        <f t="shared" si="15"/>
        <v>414.8</v>
      </c>
      <c r="BT17" s="305">
        <f t="shared" si="15"/>
        <v>803.00000000000011</v>
      </c>
      <c r="BU17" s="305">
        <f t="shared" si="15"/>
        <v>1656.5</v>
      </c>
      <c r="BV17" s="305">
        <f t="shared" si="15"/>
        <v>430.99999999999994</v>
      </c>
      <c r="BW17" s="305">
        <f t="shared" si="15"/>
        <v>449.69999999999993</v>
      </c>
      <c r="BX17" s="305">
        <f t="shared" si="15"/>
        <v>880.7</v>
      </c>
      <c r="BY17" s="305">
        <f t="shared" si="15"/>
        <v>415.79999999999995</v>
      </c>
      <c r="BZ17" s="305">
        <f t="shared" si="15"/>
        <v>433.90000000000009</v>
      </c>
      <c r="CA17" s="305">
        <f t="shared" si="15"/>
        <v>849.69999999999993</v>
      </c>
      <c r="CB17" s="305">
        <f t="shared" si="15"/>
        <v>1730.3999999999999</v>
      </c>
      <c r="CC17" s="305">
        <f t="shared" si="15"/>
        <v>477.00000000000006</v>
      </c>
      <c r="CD17" s="305">
        <f t="shared" si="15"/>
        <v>496.3</v>
      </c>
      <c r="CE17" s="305">
        <f t="shared" si="15"/>
        <v>973.3</v>
      </c>
      <c r="CF17" s="305">
        <f t="shared" si="15"/>
        <v>455.19999999999993</v>
      </c>
      <c r="CG17" s="305">
        <f t="shared" si="15"/>
        <v>494.40000000000003</v>
      </c>
      <c r="CH17" s="305">
        <f t="shared" si="15"/>
        <v>949.59999999999991</v>
      </c>
      <c r="CI17" s="305">
        <f t="shared" si="15"/>
        <v>1922.8999999999999</v>
      </c>
      <c r="CJ17" s="305">
        <f t="shared" si="15"/>
        <v>608.9</v>
      </c>
      <c r="CK17" s="305">
        <f t="shared" si="15"/>
        <v>639.19999999999993</v>
      </c>
      <c r="CL17" s="305">
        <f t="shared" si="15"/>
        <v>1248.0999999999999</v>
      </c>
      <c r="CM17" s="305">
        <f t="shared" si="15"/>
        <v>601</v>
      </c>
      <c r="CN17" s="305">
        <f t="shared" si="15"/>
        <v>631.5</v>
      </c>
      <c r="CO17" s="305">
        <f t="shared" si="15"/>
        <v>1232.5</v>
      </c>
      <c r="CP17" s="306">
        <f t="shared" si="15"/>
        <v>2480.5999999999995</v>
      </c>
      <c r="CQ17" s="306">
        <f t="shared" si="15"/>
        <v>651.20000000000005</v>
      </c>
      <c r="CR17" s="306">
        <f t="shared" si="15"/>
        <v>644.69999999999993</v>
      </c>
      <c r="CS17" s="306">
        <f t="shared" si="15"/>
        <v>1295.9000000000001</v>
      </c>
      <c r="CT17" s="306">
        <f t="shared" si="15"/>
        <v>585.99999999999989</v>
      </c>
      <c r="CU17" s="306">
        <f t="shared" si="15"/>
        <v>624.79999999999995</v>
      </c>
      <c r="CV17" s="306">
        <f t="shared" si="15"/>
        <v>1210.8</v>
      </c>
      <c r="CW17" s="306">
        <f t="shared" si="15"/>
        <v>2506.6999999999998</v>
      </c>
      <c r="CX17" s="306">
        <f t="shared" si="15"/>
        <v>656.59999999999991</v>
      </c>
      <c r="CY17" s="306">
        <f t="shared" si="15"/>
        <v>660.2</v>
      </c>
      <c r="CZ17" s="306">
        <f t="shared" si="15"/>
        <v>1316.8</v>
      </c>
      <c r="DA17" s="306">
        <f t="shared" si="15"/>
        <v>616.70000000000005</v>
      </c>
      <c r="DB17" s="306">
        <f t="shared" si="15"/>
        <v>673.3</v>
      </c>
      <c r="DC17" s="306">
        <f>DC16+DC20</f>
        <v>1289.9999999999998</v>
      </c>
      <c r="DD17" s="656">
        <f>DD16+DD20</f>
        <v>2606.8000000000002</v>
      </c>
      <c r="DE17" s="306">
        <f>DE16+DE20</f>
        <v>626.5</v>
      </c>
      <c r="DF17" s="306">
        <f t="shared" ref="DF17:DK17" si="16">DF16+DF20</f>
        <v>737.00000000000011</v>
      </c>
      <c r="DG17" s="306">
        <f t="shared" si="16"/>
        <v>1363.5</v>
      </c>
      <c r="DH17" s="306">
        <f t="shared" si="16"/>
        <v>738.6</v>
      </c>
      <c r="DI17" s="306">
        <f t="shared" si="16"/>
        <v>806.60000000000014</v>
      </c>
      <c r="DJ17" s="306">
        <f t="shared" si="16"/>
        <v>1545.1999999999998</v>
      </c>
      <c r="DK17" s="656">
        <f t="shared" si="16"/>
        <v>2908.7000000000003</v>
      </c>
      <c r="DL17" s="307">
        <f>DL16+DL20</f>
        <v>843.50000000000011</v>
      </c>
      <c r="DM17" s="306">
        <f>DM16+DM20</f>
        <v>903.19999999999993</v>
      </c>
      <c r="DN17" s="306">
        <f t="shared" si="15"/>
        <v>1746.7000000000003</v>
      </c>
      <c r="DO17" s="306">
        <f t="shared" si="15"/>
        <v>900</v>
      </c>
      <c r="DP17" s="306">
        <f t="shared" si="15"/>
        <v>968</v>
      </c>
      <c r="DQ17" s="306">
        <f t="shared" si="15"/>
        <v>1867.9999999999998</v>
      </c>
      <c r="DR17" s="576">
        <f t="shared" si="15"/>
        <v>3614.7000000000003</v>
      </c>
      <c r="DS17" s="306">
        <f t="shared" ref="DS17:EM17" si="17">DS16+DS20</f>
        <v>1001.1000000000001</v>
      </c>
      <c r="DT17" s="306">
        <f t="shared" si="17"/>
        <v>997.60000000000014</v>
      </c>
      <c r="DU17" s="306">
        <f t="shared" si="17"/>
        <v>1998.7000000000003</v>
      </c>
      <c r="DV17" s="306">
        <f t="shared" si="17"/>
        <v>860.8</v>
      </c>
      <c r="DW17" s="306">
        <f t="shared" si="17"/>
        <v>917.59999999999991</v>
      </c>
      <c r="DX17" s="306">
        <f t="shared" si="17"/>
        <v>1778.3999999999999</v>
      </c>
      <c r="DY17" s="576">
        <f t="shared" si="17"/>
        <v>3777.1000000000004</v>
      </c>
      <c r="DZ17" s="306">
        <f t="shared" si="17"/>
        <v>954.3</v>
      </c>
      <c r="EA17" s="306">
        <f t="shared" si="17"/>
        <v>998.8</v>
      </c>
      <c r="EB17" s="306">
        <f t="shared" si="17"/>
        <v>1953.1</v>
      </c>
      <c r="EC17" s="306">
        <f t="shared" si="17"/>
        <v>978.19999999999993</v>
      </c>
      <c r="ED17" s="306">
        <f t="shared" si="17"/>
        <v>1005.0000000000002</v>
      </c>
      <c r="EE17" s="306">
        <f t="shared" si="17"/>
        <v>1983.2000000000003</v>
      </c>
      <c r="EF17" s="576">
        <f t="shared" si="17"/>
        <v>3936.2999999999997</v>
      </c>
      <c r="EG17" s="306">
        <f t="shared" si="17"/>
        <v>991.89999999999986</v>
      </c>
      <c r="EH17" s="306">
        <f t="shared" si="17"/>
        <v>960.8</v>
      </c>
      <c r="EI17" s="306">
        <f t="shared" si="17"/>
        <v>1952.6999999999998</v>
      </c>
      <c r="EJ17" s="306">
        <f t="shared" si="17"/>
        <v>953.3</v>
      </c>
      <c r="EK17" s="306">
        <f t="shared" si="17"/>
        <v>971.50000000000023</v>
      </c>
      <c r="EL17" s="306">
        <f t="shared" si="17"/>
        <v>1924.8000000000002</v>
      </c>
      <c r="EM17" s="576">
        <f t="shared" si="17"/>
        <v>3877.5000000000005</v>
      </c>
      <c r="EN17" s="698">
        <f t="shared" ref="EN17:EP17" si="18">EN16+EN20</f>
        <v>899.9</v>
      </c>
      <c r="EO17" s="306">
        <f t="shared" si="18"/>
        <v>1292.2</v>
      </c>
      <c r="EP17" s="306">
        <f t="shared" si="18"/>
        <v>1936.3</v>
      </c>
      <c r="EQ17" s="306">
        <f t="shared" ref="EQ17:FV17" si="19">EQ16+EQ20</f>
        <v>1239.8</v>
      </c>
      <c r="ER17" s="306">
        <f t="shared" si="19"/>
        <v>1415.3936568579791</v>
      </c>
      <c r="ES17" s="306">
        <f t="shared" si="19"/>
        <v>2725.913396857979</v>
      </c>
      <c r="ET17" s="576">
        <f t="shared" si="19"/>
        <v>4847.2936568579789</v>
      </c>
      <c r="EU17" s="306">
        <f t="shared" si="19"/>
        <v>1397.8333916245156</v>
      </c>
      <c r="EV17" s="306">
        <f t="shared" si="19"/>
        <v>1458.8557637776998</v>
      </c>
      <c r="EW17" s="306">
        <f t="shared" si="19"/>
        <v>2856.6891554022154</v>
      </c>
      <c r="EX17" s="306">
        <f t="shared" si="19"/>
        <v>1398.0519900707795</v>
      </c>
      <c r="EY17" s="306">
        <f t="shared" si="19"/>
        <v>1535.2988775880476</v>
      </c>
      <c r="EZ17" s="306">
        <f t="shared" si="19"/>
        <v>2933.3508676588272</v>
      </c>
      <c r="FA17" s="576">
        <f t="shared" si="19"/>
        <v>5790.040023061043</v>
      </c>
      <c r="FB17" s="306">
        <f t="shared" si="19"/>
        <v>1527.0154285878132</v>
      </c>
      <c r="FC17" s="306">
        <f t="shared" si="19"/>
        <v>1614.1034051648662</v>
      </c>
      <c r="FD17" s="306">
        <f>FD16+FD20</f>
        <v>3141.1188337526792</v>
      </c>
      <c r="FE17" s="306">
        <f t="shared" si="19"/>
        <v>1546.4480428789916</v>
      </c>
      <c r="FF17" s="306">
        <f>FF16+FF20</f>
        <v>1686.4841746470747</v>
      </c>
      <c r="FG17" s="306">
        <f t="shared" si="19"/>
        <v>3232.9322175260659</v>
      </c>
      <c r="FH17" s="576">
        <f t="shared" si="19"/>
        <v>6374.0510512787459</v>
      </c>
      <c r="FI17" s="306">
        <f t="shared" si="19"/>
        <v>1648.304107648961</v>
      </c>
      <c r="FJ17" s="306">
        <f t="shared" si="19"/>
        <v>1734.4340767730978</v>
      </c>
      <c r="FK17" s="306">
        <f t="shared" si="19"/>
        <v>3382.738184422059</v>
      </c>
      <c r="FL17" s="306">
        <f t="shared" si="19"/>
        <v>1658.9953637983194</v>
      </c>
      <c r="FM17" s="306">
        <f t="shared" si="19"/>
        <v>1797.633685718798</v>
      </c>
      <c r="FN17" s="306">
        <f t="shared" si="19"/>
        <v>3456.6290495171174</v>
      </c>
      <c r="FO17" s="576">
        <f t="shared" si="19"/>
        <v>6839.367233939176</v>
      </c>
      <c r="FP17" s="306">
        <f t="shared" si="19"/>
        <v>1763.5516677121216</v>
      </c>
      <c r="FQ17" s="306">
        <f t="shared" si="19"/>
        <v>1867.8709331925456</v>
      </c>
      <c r="FR17" s="306">
        <f t="shared" si="19"/>
        <v>3631.422600904667</v>
      </c>
      <c r="FS17" s="306">
        <f t="shared" si="19"/>
        <v>1792.333314513837</v>
      </c>
      <c r="FT17" s="306">
        <f t="shared" si="19"/>
        <v>1935.2256803760793</v>
      </c>
      <c r="FU17" s="306">
        <f t="shared" si="19"/>
        <v>3727.5589948899155</v>
      </c>
      <c r="FV17" s="576">
        <f t="shared" si="19"/>
        <v>7358.981595794583</v>
      </c>
    </row>
    <row r="18" spans="1:189" outlineLevel="1" x14ac:dyDescent="0.3">
      <c r="B18" s="308" t="s">
        <v>412</v>
      </c>
      <c r="C18" s="309" t="s">
        <v>413</v>
      </c>
      <c r="D18" s="310"/>
      <c r="E18" s="310"/>
      <c r="F18" s="310"/>
      <c r="G18" s="310"/>
      <c r="H18" s="310"/>
      <c r="I18" s="310"/>
      <c r="J18" s="311"/>
      <c r="K18" s="310"/>
      <c r="L18" s="310"/>
      <c r="M18" s="310"/>
      <c r="N18" s="310"/>
      <c r="O18" s="310"/>
      <c r="P18" s="310"/>
      <c r="Q18" s="311">
        <f>Q17/J17-1</f>
        <v>3.6546859254282804E-2</v>
      </c>
      <c r="R18" s="310"/>
      <c r="S18" s="310"/>
      <c r="T18" s="310"/>
      <c r="U18" s="310"/>
      <c r="V18" s="310"/>
      <c r="W18" s="310"/>
      <c r="X18" s="311">
        <f>X17/Q17-1</f>
        <v>-4.802644370989706E-2</v>
      </c>
      <c r="Y18" s="310"/>
      <c r="Z18" s="310"/>
      <c r="AA18" s="310"/>
      <c r="AB18" s="310"/>
      <c r="AC18" s="310"/>
      <c r="AD18" s="310"/>
      <c r="AE18" s="311">
        <f>AE17/X17-1</f>
        <v>-0.19131263616557737</v>
      </c>
      <c r="AF18" s="310"/>
      <c r="AG18" s="310"/>
      <c r="AH18" s="310"/>
      <c r="AI18" s="310"/>
      <c r="AJ18" s="310"/>
      <c r="AK18" s="310"/>
      <c r="AL18" s="311">
        <f>AL17/AE17-1</f>
        <v>-4.7903687489476376E-2</v>
      </c>
      <c r="AM18" s="310"/>
      <c r="AN18" s="310"/>
      <c r="AO18" s="310"/>
      <c r="AP18" s="310"/>
      <c r="AQ18" s="310"/>
      <c r="AR18" s="310"/>
      <c r="AS18" s="312">
        <f t="shared" ref="AS18:BF18" si="20">AS17/AL17-1</f>
        <v>1.6954720623250097E-2</v>
      </c>
      <c r="AT18" s="312">
        <f t="shared" si="20"/>
        <v>-6.050955414012682E-3</v>
      </c>
      <c r="AU18" s="312">
        <f t="shared" si="20"/>
        <v>0.16297857393747783</v>
      </c>
      <c r="AV18" s="312">
        <f t="shared" si="20"/>
        <v>7.4327710038416539E-2</v>
      </c>
      <c r="AW18" s="312">
        <f t="shared" si="20"/>
        <v>2.05278653467591E-2</v>
      </c>
      <c r="AX18" s="312">
        <f t="shared" si="20"/>
        <v>0.14748230413593832</v>
      </c>
      <c r="AY18" s="312">
        <f t="shared" si="20"/>
        <v>8.3293551481968819E-2</v>
      </c>
      <c r="AZ18" s="312">
        <f t="shared" si="20"/>
        <v>7.8626157178987466E-2</v>
      </c>
      <c r="BA18" s="312">
        <f t="shared" si="20"/>
        <v>8.9714834988785297E-2</v>
      </c>
      <c r="BB18" s="312">
        <f t="shared" si="20"/>
        <v>1.0872848082150277E-2</v>
      </c>
      <c r="BC18" s="312">
        <f t="shared" si="20"/>
        <v>4.912935323383083E-2</v>
      </c>
      <c r="BD18" s="312">
        <f t="shared" si="20"/>
        <v>0.12794376098418292</v>
      </c>
      <c r="BE18" s="312">
        <f t="shared" si="20"/>
        <v>5.5946291560102335E-2</v>
      </c>
      <c r="BF18" s="312">
        <f t="shared" si="20"/>
        <v>9.0239410681399512E-2</v>
      </c>
      <c r="BG18" s="312">
        <f>BG17/AZ17-1</f>
        <v>6.8923821039903244E-2</v>
      </c>
      <c r="BH18" s="312">
        <f t="shared" ref="BH18:DS18" si="21">BH17/BA17-1</f>
        <v>9.4678035871802679E-2</v>
      </c>
      <c r="BI18" s="312">
        <f t="shared" si="21"/>
        <v>0.17149686286226484</v>
      </c>
      <c r="BJ18" s="312">
        <f t="shared" si="21"/>
        <v>0.13278008298755162</v>
      </c>
      <c r="BK18" s="312">
        <f t="shared" si="21"/>
        <v>0.10439389217824857</v>
      </c>
      <c r="BL18" s="312">
        <f t="shared" si="21"/>
        <v>0.15016651528913116</v>
      </c>
      <c r="BM18" s="312">
        <f t="shared" si="21"/>
        <v>0.12761056511056523</v>
      </c>
      <c r="BN18" s="312">
        <f t="shared" si="21"/>
        <v>0.13024132730015081</v>
      </c>
      <c r="BO18" s="312">
        <f t="shared" si="21"/>
        <v>0.10958904109589063</v>
      </c>
      <c r="BP18" s="312">
        <f t="shared" si="21"/>
        <v>0.12318286151491975</v>
      </c>
      <c r="BQ18" s="312">
        <f t="shared" si="21"/>
        <v>0.11656200941915218</v>
      </c>
      <c r="BR18" s="312">
        <f t="shared" si="21"/>
        <v>9.5372460496614186E-2</v>
      </c>
      <c r="BS18" s="312">
        <f t="shared" si="21"/>
        <v>9.1866280600157779E-2</v>
      </c>
      <c r="BT18" s="312">
        <f t="shared" si="21"/>
        <v>9.3558491079939854E-2</v>
      </c>
      <c r="BU18" s="312">
        <f t="shared" si="21"/>
        <v>0.1052912524187628</v>
      </c>
      <c r="BV18" s="312">
        <f t="shared" si="21"/>
        <v>4.3330912611958095E-2</v>
      </c>
      <c r="BW18" s="312">
        <f t="shared" si="21"/>
        <v>2.1117166212533789E-2</v>
      </c>
      <c r="BX18" s="312">
        <f t="shared" si="21"/>
        <v>3.1868775629759982E-2</v>
      </c>
      <c r="BY18" s="312">
        <f t="shared" si="21"/>
        <v>7.1097372488407862E-2</v>
      </c>
      <c r="BZ18" s="312">
        <f t="shared" si="21"/>
        <v>4.6046287367406125E-2</v>
      </c>
      <c r="CA18" s="312">
        <f t="shared" si="21"/>
        <v>5.8156911581568771E-2</v>
      </c>
      <c r="CB18" s="312">
        <f t="shared" si="21"/>
        <v>4.4612134017506744E-2</v>
      </c>
      <c r="CC18" s="312">
        <f t="shared" si="21"/>
        <v>0.10672853828306295</v>
      </c>
      <c r="CD18" s="312">
        <f t="shared" si="21"/>
        <v>0.10362463864798777</v>
      </c>
      <c r="CE18" s="312">
        <f t="shared" si="21"/>
        <v>0.10514363574429431</v>
      </c>
      <c r="CF18" s="312">
        <f t="shared" si="21"/>
        <v>9.4757094757094817E-2</v>
      </c>
      <c r="CG18" s="312">
        <f t="shared" si="21"/>
        <v>0.13943304908965182</v>
      </c>
      <c r="CH18" s="312">
        <f t="shared" si="21"/>
        <v>0.11757090737907494</v>
      </c>
      <c r="CI18" s="312">
        <f t="shared" si="21"/>
        <v>0.1112459546925566</v>
      </c>
      <c r="CJ18" s="312">
        <f t="shared" si="21"/>
        <v>0.27651991614255755</v>
      </c>
      <c r="CK18" s="312">
        <f t="shared" si="21"/>
        <v>0.28793068708442449</v>
      </c>
      <c r="CL18" s="312">
        <f t="shared" si="21"/>
        <v>0.28233843624781674</v>
      </c>
      <c r="CM18" s="312">
        <f t="shared" si="21"/>
        <v>0.32029876977152916</v>
      </c>
      <c r="CN18" s="312">
        <f t="shared" si="21"/>
        <v>0.2773058252427183</v>
      </c>
      <c r="CO18" s="312">
        <f t="shared" si="21"/>
        <v>0.29791491154170191</v>
      </c>
      <c r="CP18" s="312">
        <f t="shared" si="21"/>
        <v>0.29003068282281941</v>
      </c>
      <c r="CQ18" s="312">
        <f t="shared" si="21"/>
        <v>6.9469535227459467E-2</v>
      </c>
      <c r="CR18" s="312">
        <f t="shared" si="21"/>
        <v>8.6045056320400715E-3</v>
      </c>
      <c r="CS18" s="312">
        <f t="shared" si="21"/>
        <v>3.8298213284192029E-2</v>
      </c>
      <c r="CT18" s="312">
        <f t="shared" si="21"/>
        <v>-2.4958402662229817E-2</v>
      </c>
      <c r="CU18" s="312">
        <f t="shared" si="21"/>
        <v>-1.0609659540775973E-2</v>
      </c>
      <c r="CV18" s="312">
        <f t="shared" si="21"/>
        <v>-1.7606490872211E-2</v>
      </c>
      <c r="CW18" s="312">
        <f t="shared" si="21"/>
        <v>1.0521647988390059E-2</v>
      </c>
      <c r="CX18" s="312">
        <f t="shared" si="21"/>
        <v>8.292383292383132E-3</v>
      </c>
      <c r="CY18" s="313">
        <f t="shared" si="21"/>
        <v>2.4042190165968869E-2</v>
      </c>
      <c r="CZ18" s="312">
        <f t="shared" si="21"/>
        <v>1.6127787637934876E-2</v>
      </c>
      <c r="DA18" s="312">
        <f t="shared" si="21"/>
        <v>5.2389078498293884E-2</v>
      </c>
      <c r="DB18" s="312">
        <f>DB17/CU17-1</f>
        <v>7.7624839948783553E-2</v>
      </c>
      <c r="DC18" s="312">
        <f>DC17/CV17-1</f>
        <v>6.5411298315163346E-2</v>
      </c>
      <c r="DD18" s="657">
        <f>DD17/CW17-1</f>
        <v>3.9932979614632824E-2</v>
      </c>
      <c r="DE18" s="314">
        <f t="shared" si="21"/>
        <v>-4.5842217484008407E-2</v>
      </c>
      <c r="DF18" s="314">
        <f t="shared" si="21"/>
        <v>0.11632838533777656</v>
      </c>
      <c r="DG18" s="312">
        <f t="shared" si="21"/>
        <v>3.5464763061968441E-2</v>
      </c>
      <c r="DH18" s="312">
        <f t="shared" si="21"/>
        <v>0.1976649910815631</v>
      </c>
      <c r="DI18" s="312">
        <f>DI17/DB17-1</f>
        <v>0.19798009802465488</v>
      </c>
      <c r="DJ18" s="312">
        <f>DJ17/DC17-1</f>
        <v>0.1978294573643411</v>
      </c>
      <c r="DK18" s="657">
        <f>DK17/DD17-1</f>
        <v>0.11581249040969777</v>
      </c>
      <c r="DL18" s="315">
        <f t="shared" si="21"/>
        <v>0.34636871508379907</v>
      </c>
      <c r="DM18" s="312">
        <f t="shared" si="21"/>
        <v>0.22550881953867008</v>
      </c>
      <c r="DN18" s="312">
        <f t="shared" si="21"/>
        <v>0.28104143747708132</v>
      </c>
      <c r="DO18" s="314">
        <f t="shared" si="21"/>
        <v>0.21852152721364737</v>
      </c>
      <c r="DP18" s="312">
        <f>DP17/DI17-1</f>
        <v>0.20009918175055774</v>
      </c>
      <c r="DQ18" s="312">
        <f>DQ17/DJ17-1</f>
        <v>0.20890499611700752</v>
      </c>
      <c r="DR18" s="657">
        <f>DR17/DK17-1</f>
        <v>0.24272011551552231</v>
      </c>
      <c r="DS18" s="552">
        <f t="shared" si="21"/>
        <v>0.18684054534676942</v>
      </c>
      <c r="DT18" s="553">
        <f t="shared" ref="DT18:FV18" si="22">DT17/DM17-1</f>
        <v>0.10451727192205507</v>
      </c>
      <c r="DU18" s="552">
        <f t="shared" si="22"/>
        <v>0.14427205587679626</v>
      </c>
      <c r="DV18" s="552">
        <f t="shared" si="22"/>
        <v>-4.355555555555557E-2</v>
      </c>
      <c r="DW18" s="553">
        <f t="shared" ref="DW18:EB18" si="23">DW17/DP17-1</f>
        <v>-5.2066115702479432E-2</v>
      </c>
      <c r="DX18" s="553">
        <f t="shared" si="23"/>
        <v>-4.7965738758029897E-2</v>
      </c>
      <c r="DY18" s="657">
        <f t="shared" si="23"/>
        <v>4.4927656513680247E-2</v>
      </c>
      <c r="DZ18" s="552">
        <f t="shared" si="23"/>
        <v>-4.67485765657778E-2</v>
      </c>
      <c r="EA18" s="552">
        <f t="shared" si="23"/>
        <v>1.202886928628466E-3</v>
      </c>
      <c r="EB18" s="552">
        <f t="shared" si="23"/>
        <v>-2.2814829639265732E-2</v>
      </c>
      <c r="EC18" s="552">
        <f t="shared" si="22"/>
        <v>0.1363847583643123</v>
      </c>
      <c r="ED18" s="553">
        <f t="shared" ref="ED18:EI18" si="24">ED17/DW17-1</f>
        <v>9.5248474280732687E-2</v>
      </c>
      <c r="EE18" s="553">
        <f t="shared" si="24"/>
        <v>0.11515969410706273</v>
      </c>
      <c r="EF18" s="657">
        <f t="shared" si="24"/>
        <v>4.214873845013356E-2</v>
      </c>
      <c r="EG18" s="552">
        <f t="shared" si="24"/>
        <v>3.9400607775332608E-2</v>
      </c>
      <c r="EH18" s="552">
        <f t="shared" si="24"/>
        <v>-3.8045654785742844E-2</v>
      </c>
      <c r="EI18" s="552">
        <f t="shared" si="24"/>
        <v>-2.0480262147359873E-4</v>
      </c>
      <c r="EJ18" s="552">
        <f t="shared" si="22"/>
        <v>-2.5454917194847604E-2</v>
      </c>
      <c r="EK18" s="552">
        <f>EK17/ED17-1</f>
        <v>-3.3333333333333326E-2</v>
      </c>
      <c r="EL18" s="553">
        <f>EL17/EE17-1</f>
        <v>-2.9447357805566843E-2</v>
      </c>
      <c r="EM18" s="657">
        <f>EM17/EF17-1</f>
        <v>-1.4937885831872388E-2</v>
      </c>
      <c r="EN18" s="552">
        <f t="shared" ref="EN18" si="25">EN17/EG17-1</f>
        <v>-9.2751285411835749E-2</v>
      </c>
      <c r="EO18" s="552">
        <f t="shared" ref="EO18" si="26">EO17/EH17-1</f>
        <v>0.34492089925062452</v>
      </c>
      <c r="EP18" s="552">
        <f t="shared" ref="EP18:EQ18" si="27">EP17/EI17-1</f>
        <v>-8.3986275413528988E-3</v>
      </c>
      <c r="EQ18" s="554">
        <f t="shared" si="27"/>
        <v>0.30053498374069032</v>
      </c>
      <c r="ER18" s="312">
        <f t="shared" si="22"/>
        <v>0.45691575590116185</v>
      </c>
      <c r="ES18" s="312">
        <f t="shared" si="22"/>
        <v>0.41620604574915765</v>
      </c>
      <c r="ET18" s="592">
        <f t="shared" si="22"/>
        <v>0.25010797082088421</v>
      </c>
      <c r="EU18" s="312">
        <f t="shared" si="22"/>
        <v>0.5533208041165858</v>
      </c>
      <c r="EV18" s="312">
        <f t="shared" si="22"/>
        <v>0.12897056475599733</v>
      </c>
      <c r="EW18" s="312">
        <f t="shared" si="22"/>
        <v>0.47533396446946008</v>
      </c>
      <c r="EX18" s="312">
        <f t="shared" si="22"/>
        <v>0.12764316024421651</v>
      </c>
      <c r="EY18" s="312">
        <f t="shared" si="22"/>
        <v>8.4715103921155777E-2</v>
      </c>
      <c r="EZ18" s="312">
        <f t="shared" si="22"/>
        <v>7.6098334980102766E-2</v>
      </c>
      <c r="FA18" s="592">
        <f t="shared" si="22"/>
        <v>0.19448922077771402</v>
      </c>
      <c r="FB18" s="312">
        <f t="shared" si="22"/>
        <v>9.2415904311147212E-2</v>
      </c>
      <c r="FC18" s="312">
        <f t="shared" si="22"/>
        <v>0.10641740276307599</v>
      </c>
      <c r="FD18" s="312">
        <f t="shared" si="22"/>
        <v>9.956619809774736E-2</v>
      </c>
      <c r="FE18" s="312">
        <f t="shared" si="22"/>
        <v>0.1061448743409743</v>
      </c>
      <c r="FF18" s="312">
        <f t="shared" si="22"/>
        <v>9.8472876692607958E-2</v>
      </c>
      <c r="FG18" s="312">
        <f t="shared" si="22"/>
        <v>0.10212939514676656</v>
      </c>
      <c r="FH18" s="592">
        <f t="shared" si="22"/>
        <v>0.10086476533696764</v>
      </c>
      <c r="FI18" s="312">
        <f t="shared" si="22"/>
        <v>7.9428587812839568E-2</v>
      </c>
      <c r="FJ18" s="312">
        <f t="shared" si="22"/>
        <v>7.4549543246853478E-2</v>
      </c>
      <c r="FK18" s="312">
        <f t="shared" si="22"/>
        <v>7.6921429419694487E-2</v>
      </c>
      <c r="FL18" s="312">
        <f t="shared" si="22"/>
        <v>7.2777951666452845E-2</v>
      </c>
      <c r="FM18" s="312">
        <f t="shared" si="22"/>
        <v>6.5906050434765051E-2</v>
      </c>
      <c r="FN18" s="312">
        <f t="shared" si="22"/>
        <v>6.9193171071873172E-2</v>
      </c>
      <c r="FO18" s="592">
        <f t="shared" si="22"/>
        <v>7.300164038803536E-2</v>
      </c>
      <c r="FP18" s="312">
        <f t="shared" si="22"/>
        <v>6.991886966024885E-2</v>
      </c>
      <c r="FQ18" s="312">
        <f t="shared" si="22"/>
        <v>7.6933945317602559E-2</v>
      </c>
      <c r="FR18" s="312">
        <f t="shared" si="22"/>
        <v>7.3515715058242392E-2</v>
      </c>
      <c r="FS18" s="312">
        <f t="shared" si="22"/>
        <v>8.0372708462690623E-2</v>
      </c>
      <c r="FT18" s="312">
        <f t="shared" si="22"/>
        <v>7.6540618787005021E-2</v>
      </c>
      <c r="FU18" s="312">
        <f t="shared" si="22"/>
        <v>7.8379814984962382E-2</v>
      </c>
      <c r="FV18" s="592">
        <f t="shared" si="22"/>
        <v>7.5974040299650936E-2</v>
      </c>
    </row>
    <row r="19" spans="1:189" outlineLevel="1" x14ac:dyDescent="0.3">
      <c r="B19" s="279" t="s">
        <v>414</v>
      </c>
      <c r="C19" s="280" t="s">
        <v>226</v>
      </c>
      <c r="D19" s="289">
        <v>1</v>
      </c>
      <c r="E19" s="289">
        <v>1.3</v>
      </c>
      <c r="F19" s="281">
        <f>SUM(D19:E19)</f>
        <v>2.2999999999999998</v>
      </c>
      <c r="G19" s="288">
        <v>1.9</v>
      </c>
      <c r="H19" s="281">
        <f>I19-G19</f>
        <v>2.8000000000000003</v>
      </c>
      <c r="I19" s="281">
        <f>J19-F19</f>
        <v>4.7</v>
      </c>
      <c r="J19" s="289">
        <v>7</v>
      </c>
      <c r="K19" s="289">
        <v>3.6</v>
      </c>
      <c r="L19" s="289">
        <v>1.2</v>
      </c>
      <c r="M19" s="281">
        <f>SUM(K19:L19)</f>
        <v>4.8</v>
      </c>
      <c r="N19" s="289">
        <v>0.2</v>
      </c>
      <c r="O19" s="281">
        <f>P19-N19</f>
        <v>0.50000000000000022</v>
      </c>
      <c r="P19" s="281">
        <f>Q19-M19</f>
        <v>0.70000000000000018</v>
      </c>
      <c r="Q19" s="289">
        <v>5.5</v>
      </c>
      <c r="R19" s="289">
        <v>1.8</v>
      </c>
      <c r="S19" s="289">
        <v>4.5</v>
      </c>
      <c r="T19" s="281">
        <f>SUM(R19:S19)</f>
        <v>6.3</v>
      </c>
      <c r="U19" s="289">
        <v>3.7</v>
      </c>
      <c r="V19" s="281">
        <f>W19-U19</f>
        <v>2.1999999999999993</v>
      </c>
      <c r="W19" s="281">
        <f>X19-T19</f>
        <v>5.8999999999999995</v>
      </c>
      <c r="X19" s="289">
        <v>12.2</v>
      </c>
      <c r="Y19" s="289">
        <v>1.5</v>
      </c>
      <c r="Z19" s="289">
        <v>2.6</v>
      </c>
      <c r="AA19" s="281">
        <f>SUM(Y19:Z19)</f>
        <v>4.0999999999999996</v>
      </c>
      <c r="AB19" s="289">
        <v>1.4</v>
      </c>
      <c r="AC19" s="281">
        <f>AD19-AB19</f>
        <v>2.6999999999999997</v>
      </c>
      <c r="AD19" s="281">
        <f>AE19-AA19</f>
        <v>4.0999999999999996</v>
      </c>
      <c r="AE19" s="289">
        <v>8.1999999999999993</v>
      </c>
      <c r="AF19" s="289">
        <v>0.8</v>
      </c>
      <c r="AG19" s="289">
        <v>1.1000000000000001</v>
      </c>
      <c r="AH19" s="281">
        <f>SUM(AF19:AG19)</f>
        <v>1.9000000000000001</v>
      </c>
      <c r="AI19" s="289">
        <v>1</v>
      </c>
      <c r="AJ19" s="281">
        <f>AK19-AI19</f>
        <v>0.8</v>
      </c>
      <c r="AK19" s="281">
        <f>AL19-AH19</f>
        <v>1.8</v>
      </c>
      <c r="AL19" s="289">
        <v>3.7</v>
      </c>
      <c r="AM19" s="289">
        <v>0.7</v>
      </c>
      <c r="AN19" s="289">
        <v>1.3</v>
      </c>
      <c r="AO19" s="281">
        <f>SUM(AM19:AN19)</f>
        <v>2</v>
      </c>
      <c r="AP19" s="289">
        <v>0.7</v>
      </c>
      <c r="AQ19" s="281">
        <f>AR19-AP19</f>
        <v>1.8999999999999997</v>
      </c>
      <c r="AR19" s="281">
        <f>AS19-AO19</f>
        <v>2.5999999999999996</v>
      </c>
      <c r="AS19" s="289">
        <v>4.5999999999999996</v>
      </c>
      <c r="AT19" s="289">
        <v>0.7</v>
      </c>
      <c r="AU19" s="289">
        <v>0.9</v>
      </c>
      <c r="AV19" s="281">
        <f>SUM(AT19:AU19)</f>
        <v>1.6</v>
      </c>
      <c r="AW19" s="289">
        <v>0.8</v>
      </c>
      <c r="AX19" s="281">
        <f>+AY19-AW19</f>
        <v>1.3999999999999997</v>
      </c>
      <c r="AY19" s="281">
        <f>+AZ19-AV19</f>
        <v>2.1999999999999997</v>
      </c>
      <c r="AZ19" s="289">
        <v>3.8</v>
      </c>
      <c r="BA19" s="289">
        <v>1.5</v>
      </c>
      <c r="BB19" s="289">
        <v>1.3</v>
      </c>
      <c r="BC19" s="281">
        <f>SUM(BA19:BB19)</f>
        <v>2.8</v>
      </c>
      <c r="BD19" s="289">
        <v>3.5</v>
      </c>
      <c r="BE19" s="281">
        <f>+BE61</f>
        <v>1.6000000000000005</v>
      </c>
      <c r="BF19" s="281">
        <f>SUM(BD19:BE19)</f>
        <v>5.1000000000000005</v>
      </c>
      <c r="BG19" s="281">
        <f>BF19+BC19</f>
        <v>7.9</v>
      </c>
      <c r="BH19" s="289">
        <v>1.2</v>
      </c>
      <c r="BI19" s="289">
        <v>0.8</v>
      </c>
      <c r="BJ19" s="281">
        <f>SUM(BH19:BI19)</f>
        <v>2</v>
      </c>
      <c r="BK19" s="289">
        <v>0.7</v>
      </c>
      <c r="BL19" s="281">
        <f>BN19-BK19-BJ19</f>
        <v>0.70000000000000018</v>
      </c>
      <c r="BM19" s="281">
        <f>SUM(BK19:BL19)</f>
        <v>1.4000000000000001</v>
      </c>
      <c r="BN19" s="289">
        <v>3.4</v>
      </c>
      <c r="BO19" s="289">
        <v>0.6</v>
      </c>
      <c r="BP19" s="289">
        <v>0.8</v>
      </c>
      <c r="BQ19" s="281">
        <f>SUM(BO19:BP19)</f>
        <v>1.4</v>
      </c>
      <c r="BR19" s="289">
        <v>0.1</v>
      </c>
      <c r="BS19" s="281"/>
      <c r="BT19" s="281">
        <f>SUM(BR19:BS19)</f>
        <v>0.1</v>
      </c>
      <c r="BU19" s="281">
        <f>BT19+BQ19</f>
        <v>1.5</v>
      </c>
      <c r="BV19" s="289">
        <f>0.2</f>
        <v>0.2</v>
      </c>
      <c r="BW19" s="289">
        <v>0.3</v>
      </c>
      <c r="BX19" s="281">
        <f>SUM(BV19:BW19)</f>
        <v>0.5</v>
      </c>
      <c r="BY19" s="289">
        <v>0.2</v>
      </c>
      <c r="BZ19" s="289">
        <v>0.1</v>
      </c>
      <c r="CA19" s="281">
        <f>SUM(BY19:BZ19)</f>
        <v>0.30000000000000004</v>
      </c>
      <c r="CB19" s="281">
        <f>CA19+BX19</f>
        <v>0.8</v>
      </c>
      <c r="CC19" s="289">
        <v>0.2</v>
      </c>
      <c r="CD19" s="289">
        <v>0.3</v>
      </c>
      <c r="CE19" s="281">
        <f>SUM(CC19:CD19)</f>
        <v>0.5</v>
      </c>
      <c r="CF19" s="289">
        <v>0.2</v>
      </c>
      <c r="CG19" s="289">
        <v>0.2</v>
      </c>
      <c r="CH19" s="281">
        <f>SUM(CF19:CG19)</f>
        <v>0.4</v>
      </c>
      <c r="CI19" s="281">
        <f>CH19+CE19</f>
        <v>0.9</v>
      </c>
      <c r="CJ19" s="289">
        <v>0.2</v>
      </c>
      <c r="CK19" s="289">
        <v>0.3</v>
      </c>
      <c r="CL19" s="281">
        <f>SUM(CJ19:CK19)</f>
        <v>0.5</v>
      </c>
      <c r="CM19" s="289">
        <v>0.7</v>
      </c>
      <c r="CN19" s="289">
        <v>0.7</v>
      </c>
      <c r="CO19" s="281">
        <f>SUM(CM19:CN19)</f>
        <v>1.4</v>
      </c>
      <c r="CP19" s="282">
        <f>CO19+CL19</f>
        <v>1.9</v>
      </c>
      <c r="CQ19" s="290">
        <f>0.5+0.3</f>
        <v>0.8</v>
      </c>
      <c r="CR19" s="290">
        <f>0.4+0.5</f>
        <v>0.9</v>
      </c>
      <c r="CS19" s="282">
        <f>SUM(CQ19:CR19)</f>
        <v>1.7000000000000002</v>
      </c>
      <c r="CT19" s="290">
        <v>1.2</v>
      </c>
      <c r="CU19" s="291">
        <v>0.7</v>
      </c>
      <c r="CV19" s="282">
        <f>SUM(CT19:CU19)</f>
        <v>1.9</v>
      </c>
      <c r="CW19" s="282">
        <f>CV19+CS19</f>
        <v>3.6</v>
      </c>
      <c r="CX19" s="316">
        <v>0.8</v>
      </c>
      <c r="CY19" s="317">
        <f>0.4+0.4</f>
        <v>0.8</v>
      </c>
      <c r="CZ19" s="283">
        <f>SUM(CX19:CY19)</f>
        <v>1.6</v>
      </c>
      <c r="DA19" s="317">
        <v>0.5</v>
      </c>
      <c r="DB19" s="317">
        <v>0.1</v>
      </c>
      <c r="DC19" s="283">
        <f>SUM(DA19:DB19)</f>
        <v>0.6</v>
      </c>
      <c r="DD19" s="654">
        <f>DC19+CZ19</f>
        <v>2.2000000000000002</v>
      </c>
      <c r="DE19" s="290">
        <v>0</v>
      </c>
      <c r="DF19" s="317">
        <f>0.1+0.1</f>
        <v>0.2</v>
      </c>
      <c r="DG19" s="283">
        <f>SUM(DE19:DF19)</f>
        <v>0.2</v>
      </c>
      <c r="DH19" s="317">
        <v>0</v>
      </c>
      <c r="DI19" s="282">
        <f>+DJ19-DH19</f>
        <v>0</v>
      </c>
      <c r="DJ19" s="282">
        <f>+DK19-DG19</f>
        <v>0</v>
      </c>
      <c r="DK19" s="654">
        <v>0.2</v>
      </c>
      <c r="DL19" s="292">
        <v>0</v>
      </c>
      <c r="DM19" s="290">
        <f>0.1+0.2</f>
        <v>0.30000000000000004</v>
      </c>
      <c r="DN19" s="283">
        <f>SUM(DL19:DM19)</f>
        <v>0.30000000000000004</v>
      </c>
      <c r="DO19" s="290">
        <v>0</v>
      </c>
      <c r="DP19" s="282">
        <f>+DQ19-DO19</f>
        <v>-0.20000000000000004</v>
      </c>
      <c r="DQ19" s="282">
        <f>+DR19-DN19</f>
        <v>-0.20000000000000004</v>
      </c>
      <c r="DR19" s="670">
        <v>0.1</v>
      </c>
      <c r="DS19" s="290">
        <v>0</v>
      </c>
      <c r="DT19" s="290">
        <f>0.4+0.8</f>
        <v>1.2000000000000002</v>
      </c>
      <c r="DU19" s="282">
        <f>SUM(DS19:DT19)</f>
        <v>1.2000000000000002</v>
      </c>
      <c r="DV19" s="290">
        <v>0</v>
      </c>
      <c r="DW19" s="282">
        <f>+DX19-DV19</f>
        <v>0.89999999999999991</v>
      </c>
      <c r="DX19" s="282">
        <f>+DY19-DU19</f>
        <v>0.89999999999999991</v>
      </c>
      <c r="DY19" s="670">
        <v>2.1</v>
      </c>
      <c r="DZ19" s="290">
        <v>0</v>
      </c>
      <c r="EA19" s="290">
        <v>0</v>
      </c>
      <c r="EB19" s="282">
        <f>SUM(DZ19:EA19)</f>
        <v>0</v>
      </c>
      <c r="EC19" s="290">
        <v>0</v>
      </c>
      <c r="ED19" s="282">
        <f>+EE19-EC19</f>
        <v>12.1</v>
      </c>
      <c r="EE19" s="282">
        <f>+EF19-EB19</f>
        <v>12.1</v>
      </c>
      <c r="EF19" s="670">
        <v>12.1</v>
      </c>
      <c r="EG19" s="290">
        <v>4.8</v>
      </c>
      <c r="EH19" s="290">
        <v>4.4000000000000004</v>
      </c>
      <c r="EI19" s="282">
        <f>SUM(EG19:EH19)</f>
        <v>9.1999999999999993</v>
      </c>
      <c r="EJ19" s="290">
        <v>4.7</v>
      </c>
      <c r="EK19" s="282">
        <f>+EL19-EJ19</f>
        <v>5.9000000000000012</v>
      </c>
      <c r="EL19" s="282">
        <f>+EM19-EI19</f>
        <v>10.600000000000001</v>
      </c>
      <c r="EM19" s="670">
        <v>19.8</v>
      </c>
      <c r="EN19" s="697">
        <v>4.2</v>
      </c>
      <c r="EO19" s="290"/>
      <c r="EP19" s="282">
        <f>SUM(EN19:EO19)</f>
        <v>4.2</v>
      </c>
      <c r="EQ19" s="710"/>
      <c r="ER19" s="282">
        <f>ER157</f>
        <v>0</v>
      </c>
      <c r="ES19" s="282">
        <f>SUM(EQ19:ER19)</f>
        <v>0</v>
      </c>
      <c r="ET19" s="590">
        <f>ES19+EP19</f>
        <v>4.2</v>
      </c>
      <c r="EU19" s="282">
        <f>EU157</f>
        <v>1.5350669613834353</v>
      </c>
      <c r="EV19" s="282">
        <f>EV157</f>
        <v>1.5350669613834353</v>
      </c>
      <c r="EW19" s="282">
        <f>SUM(EU19:EV19)</f>
        <v>3.0701339227668707</v>
      </c>
      <c r="EX19" s="282">
        <f>EX157</f>
        <v>1.5350669613834353</v>
      </c>
      <c r="EY19" s="282">
        <f>EY157</f>
        <v>1.5350669613834353</v>
      </c>
      <c r="EZ19" s="282">
        <f>SUM(EX19:EY19)</f>
        <v>3.0701339227668707</v>
      </c>
      <c r="FA19" s="590">
        <f>EZ19+EW19</f>
        <v>6.1402678455337414</v>
      </c>
      <c r="FB19" s="282">
        <f>FB157</f>
        <v>1.5350669613834353</v>
      </c>
      <c r="FC19" s="282">
        <f>FC157</f>
        <v>1.5350669613834353</v>
      </c>
      <c r="FD19" s="282">
        <f>SUM(FB19:FC19)</f>
        <v>3.0701339227668707</v>
      </c>
      <c r="FE19" s="282">
        <f>FE157</f>
        <v>1.5350669613834353</v>
      </c>
      <c r="FF19" s="282">
        <f>FF157</f>
        <v>1.5350669613834353</v>
      </c>
      <c r="FG19" s="282">
        <f>SUM(FE19:FF19)</f>
        <v>3.0701339227668707</v>
      </c>
      <c r="FH19" s="590">
        <f>FG19+FD19</f>
        <v>6.1402678455337414</v>
      </c>
      <c r="FI19" s="282">
        <f>FI157</f>
        <v>1.5350669613834353</v>
      </c>
      <c r="FJ19" s="282">
        <f>FJ157</f>
        <v>1.5350669613834353</v>
      </c>
      <c r="FK19" s="282">
        <f>SUM(FI19:FJ19)</f>
        <v>3.0701339227668707</v>
      </c>
      <c r="FL19" s="282">
        <f>FL157</f>
        <v>1.5350669613834353</v>
      </c>
      <c r="FM19" s="282">
        <f>FM157</f>
        <v>1.5350669613834353</v>
      </c>
      <c r="FN19" s="282">
        <f>SUM(FL19:FM19)</f>
        <v>3.0701339227668707</v>
      </c>
      <c r="FO19" s="590">
        <f>FN19+FK19</f>
        <v>6.1402678455337414</v>
      </c>
      <c r="FP19" s="282">
        <f>FP157</f>
        <v>1.5350669613834353</v>
      </c>
      <c r="FQ19" s="282">
        <f>FQ157</f>
        <v>1.5350669613834353</v>
      </c>
      <c r="FR19" s="282">
        <f>SUM(FP19:FQ19)</f>
        <v>3.0701339227668707</v>
      </c>
      <c r="FS19" s="282">
        <f>FS157</f>
        <v>1.5350669613834353</v>
      </c>
      <c r="FT19" s="282">
        <f>FT157</f>
        <v>1.5350669613834353</v>
      </c>
      <c r="FU19" s="282">
        <f>SUM(FS19:FT19)</f>
        <v>3.0701339227668707</v>
      </c>
      <c r="FV19" s="590">
        <f>FU19+FR19</f>
        <v>6.1402678455337414</v>
      </c>
    </row>
    <row r="20" spans="1:189" outlineLevel="1" x14ac:dyDescent="0.3">
      <c r="B20" s="279" t="s">
        <v>415</v>
      </c>
      <c r="C20" s="280" t="s">
        <v>226</v>
      </c>
      <c r="D20" s="289">
        <v>0</v>
      </c>
      <c r="E20" s="289">
        <v>0.6</v>
      </c>
      <c r="F20" s="281">
        <f>SUM(D20:E20)</f>
        <v>0.6</v>
      </c>
      <c r="G20" s="289">
        <v>0</v>
      </c>
      <c r="H20" s="281">
        <f>I20-G20</f>
        <v>-0.6</v>
      </c>
      <c r="I20" s="281">
        <f>J20-F20</f>
        <v>-0.6</v>
      </c>
      <c r="J20" s="289">
        <v>0</v>
      </c>
      <c r="K20" s="289">
        <v>0</v>
      </c>
      <c r="L20" s="289">
        <v>0</v>
      </c>
      <c r="M20" s="281">
        <f>SUM(K20:L20)</f>
        <v>0</v>
      </c>
      <c r="N20" s="289">
        <v>0</v>
      </c>
      <c r="O20" s="281">
        <f>P20-N20</f>
        <v>0</v>
      </c>
      <c r="P20" s="281">
        <f>Q20-M20</f>
        <v>0</v>
      </c>
      <c r="Q20" s="289">
        <v>0</v>
      </c>
      <c r="R20" s="289">
        <v>0</v>
      </c>
      <c r="S20" s="289">
        <v>0</v>
      </c>
      <c r="T20" s="281">
        <f>SUM(R20:S20)</f>
        <v>0</v>
      </c>
      <c r="U20" s="289">
        <v>0</v>
      </c>
      <c r="V20" s="281">
        <f>W20-U20</f>
        <v>0</v>
      </c>
      <c r="W20" s="281">
        <f>X20-T20</f>
        <v>0</v>
      </c>
      <c r="X20" s="289">
        <v>0</v>
      </c>
      <c r="Y20" s="289">
        <v>0</v>
      </c>
      <c r="Z20" s="289">
        <v>0</v>
      </c>
      <c r="AA20" s="281">
        <f>SUM(Y20:Z20)</f>
        <v>0</v>
      </c>
      <c r="AB20" s="289">
        <v>0</v>
      </c>
      <c r="AC20" s="281">
        <f>AD20-AB20</f>
        <v>-14.8</v>
      </c>
      <c r="AD20" s="281">
        <f>AE20-AA20</f>
        <v>-14.8</v>
      </c>
      <c r="AE20" s="289">
        <v>-14.8</v>
      </c>
      <c r="AF20" s="289">
        <v>4.8</v>
      </c>
      <c r="AG20" s="289">
        <v>-1</v>
      </c>
      <c r="AH20" s="281">
        <f>SUM(AF20:AG20)</f>
        <v>3.8</v>
      </c>
      <c r="AI20" s="289">
        <v>2.2000000000000002</v>
      </c>
      <c r="AJ20" s="281">
        <f>AK20-AI20</f>
        <v>0.29999999999999982</v>
      </c>
      <c r="AK20" s="281">
        <f>AL20-AH20</f>
        <v>2.5</v>
      </c>
      <c r="AL20" s="289">
        <v>6.3</v>
      </c>
      <c r="AM20" s="289">
        <v>-4.4000000000000004</v>
      </c>
      <c r="AN20" s="289">
        <v>-2.9</v>
      </c>
      <c r="AO20" s="281">
        <f>AN20+AM20</f>
        <v>-7.3000000000000007</v>
      </c>
      <c r="AP20" s="289">
        <v>2.7</v>
      </c>
      <c r="AQ20" s="289">
        <v>0.9</v>
      </c>
      <c r="AR20" s="281">
        <f>AQ20+AP20</f>
        <v>3.6</v>
      </c>
      <c r="AS20" s="281">
        <f>AR20+AO20</f>
        <v>-3.7000000000000006</v>
      </c>
      <c r="AT20" s="289">
        <v>-1.5</v>
      </c>
      <c r="AU20" s="289">
        <v>-0.5</v>
      </c>
      <c r="AV20" s="281">
        <f>AU20+AT20</f>
        <v>-2</v>
      </c>
      <c r="AW20" s="289">
        <v>1.5</v>
      </c>
      <c r="AX20" s="281">
        <f>+AY20-AW20</f>
        <v>3.5</v>
      </c>
      <c r="AY20" s="281">
        <f>+AZ20-AV20</f>
        <v>5</v>
      </c>
      <c r="AZ20" s="289">
        <v>3</v>
      </c>
      <c r="BA20" s="289">
        <v>0.4</v>
      </c>
      <c r="BB20" s="289">
        <v>0.3</v>
      </c>
      <c r="BC20" s="281">
        <f>BB20+BA20</f>
        <v>0.7</v>
      </c>
      <c r="BD20" s="289">
        <v>0.5</v>
      </c>
      <c r="BE20" s="281">
        <f>AX20</f>
        <v>3.5</v>
      </c>
      <c r="BF20" s="281">
        <f>BE20+BD20</f>
        <v>4</v>
      </c>
      <c r="BG20" s="281">
        <f>BF20+BC20</f>
        <v>4.7</v>
      </c>
      <c r="BH20" s="289">
        <v>0.1</v>
      </c>
      <c r="BI20" s="289">
        <v>0.1</v>
      </c>
      <c r="BJ20" s="281">
        <f>BI20+BH20</f>
        <v>0.2</v>
      </c>
      <c r="BK20" s="289">
        <v>1.2</v>
      </c>
      <c r="BL20" s="281">
        <f>BE20</f>
        <v>3.5</v>
      </c>
      <c r="BM20" s="281">
        <f>BL20+BK20</f>
        <v>4.7</v>
      </c>
      <c r="BN20" s="281">
        <f>BM20+BJ20</f>
        <v>4.9000000000000004</v>
      </c>
      <c r="BO20" s="289">
        <v>-3.7</v>
      </c>
      <c r="BP20" s="289">
        <v>0</v>
      </c>
      <c r="BQ20" s="281">
        <f>BP20+BO20</f>
        <v>-3.7</v>
      </c>
      <c r="BR20" s="289">
        <v>-0.2</v>
      </c>
      <c r="BS20" s="281">
        <f>BL20</f>
        <v>3.5</v>
      </c>
      <c r="BT20" s="281">
        <f>BS20+BR20</f>
        <v>3.3</v>
      </c>
      <c r="BU20" s="281">
        <f>BT20+BQ20</f>
        <v>-0.40000000000000036</v>
      </c>
      <c r="BV20" s="289">
        <v>2.7</v>
      </c>
      <c r="BW20" s="289">
        <v>-0.6</v>
      </c>
      <c r="BX20" s="281">
        <f>BW20+BV20</f>
        <v>2.1</v>
      </c>
      <c r="BY20" s="289">
        <v>1.9</v>
      </c>
      <c r="BZ20" s="289">
        <v>-1.9</v>
      </c>
      <c r="CA20" s="281">
        <f>BZ20+BY20</f>
        <v>0</v>
      </c>
      <c r="CB20" s="281">
        <f>CA20+BX20</f>
        <v>2.1</v>
      </c>
      <c r="CC20" s="289">
        <v>-0.7</v>
      </c>
      <c r="CD20" s="289">
        <v>0.5</v>
      </c>
      <c r="CE20" s="281">
        <f>CD20+CC20</f>
        <v>-0.19999999999999996</v>
      </c>
      <c r="CF20" s="289">
        <v>1.4</v>
      </c>
      <c r="CG20" s="289">
        <v>0.1</v>
      </c>
      <c r="CH20" s="281">
        <f>CG20+CF20</f>
        <v>1.5</v>
      </c>
      <c r="CI20" s="281">
        <f>CH20+CE20</f>
        <v>1.3</v>
      </c>
      <c r="CJ20" s="289">
        <f>-0.4</f>
        <v>-0.4</v>
      </c>
      <c r="CK20" s="289">
        <v>0</v>
      </c>
      <c r="CL20" s="281">
        <f>CK20+CJ20</f>
        <v>-0.4</v>
      </c>
      <c r="CM20" s="289">
        <v>0.6</v>
      </c>
      <c r="CN20" s="289">
        <v>0.5</v>
      </c>
      <c r="CO20" s="281">
        <f>CN20+CM20</f>
        <v>1.1000000000000001</v>
      </c>
      <c r="CP20" s="282">
        <f>CO20+CL20</f>
        <v>0.70000000000000007</v>
      </c>
      <c r="CQ20" s="290">
        <v>0.2</v>
      </c>
      <c r="CR20" s="290">
        <v>0.1</v>
      </c>
      <c r="CS20" s="282">
        <f>CR20+CQ20</f>
        <v>0.30000000000000004</v>
      </c>
      <c r="CT20" s="290">
        <v>-0.2</v>
      </c>
      <c r="CU20" s="291">
        <v>0</v>
      </c>
      <c r="CV20" s="282">
        <f>CU20+CT20</f>
        <v>-0.2</v>
      </c>
      <c r="CW20" s="282">
        <f>CV20+CS20</f>
        <v>0.10000000000000003</v>
      </c>
      <c r="CX20" s="316">
        <v>-0.2</v>
      </c>
      <c r="CY20" s="317">
        <v>0.1</v>
      </c>
      <c r="CZ20" s="283">
        <f>CY20+CX20</f>
        <v>-0.1</v>
      </c>
      <c r="DA20" s="317">
        <v>0</v>
      </c>
      <c r="DB20" s="317">
        <v>0</v>
      </c>
      <c r="DC20" s="283">
        <f>DB20+DA20</f>
        <v>0</v>
      </c>
      <c r="DD20" s="654">
        <f>DC20+CZ20</f>
        <v>-0.1</v>
      </c>
      <c r="DE20" s="290">
        <v>0.2</v>
      </c>
      <c r="DF20" s="290">
        <v>0.2</v>
      </c>
      <c r="DG20" s="283">
        <f>DF20+DE20</f>
        <v>0.4</v>
      </c>
      <c r="DH20" s="317">
        <v>0</v>
      </c>
      <c r="DI20" s="282">
        <f>+DJ20-DH20</f>
        <v>-0.4</v>
      </c>
      <c r="DJ20" s="282">
        <f>+DK20-DG20</f>
        <v>-0.4</v>
      </c>
      <c r="DK20" s="654">
        <v>0</v>
      </c>
      <c r="DL20" s="292">
        <v>0.2</v>
      </c>
      <c r="DM20" s="290">
        <v>0</v>
      </c>
      <c r="DN20" s="283">
        <f>DM20+DL20</f>
        <v>0.2</v>
      </c>
      <c r="DO20" s="290">
        <v>0</v>
      </c>
      <c r="DP20" s="282">
        <f>+DQ20-DO20</f>
        <v>-0.2</v>
      </c>
      <c r="DQ20" s="282">
        <f>+DR20-DN20</f>
        <v>-0.2</v>
      </c>
      <c r="DR20" s="670">
        <v>0</v>
      </c>
      <c r="DS20" s="290">
        <v>0.2</v>
      </c>
      <c r="DT20" s="290">
        <v>0</v>
      </c>
      <c r="DU20" s="282">
        <f>DT20+DS20</f>
        <v>0.2</v>
      </c>
      <c r="DV20" s="290">
        <v>0</v>
      </c>
      <c r="DW20" s="282">
        <f>+DX20-DV20</f>
        <v>-0.2</v>
      </c>
      <c r="DX20" s="282">
        <f>+DY20-DU20</f>
        <v>-0.2</v>
      </c>
      <c r="DY20" s="670">
        <v>0</v>
      </c>
      <c r="DZ20" s="290">
        <v>0</v>
      </c>
      <c r="EA20" s="290">
        <v>0</v>
      </c>
      <c r="EB20" s="282">
        <f>EA20+DZ20</f>
        <v>0</v>
      </c>
      <c r="EC20" s="290">
        <v>0</v>
      </c>
      <c r="ED20" s="282">
        <f>+EE20-EC20</f>
        <v>0</v>
      </c>
      <c r="EE20" s="282">
        <f>+EF20-EB20</f>
        <v>0</v>
      </c>
      <c r="EF20" s="670">
        <v>0</v>
      </c>
      <c r="EG20" s="290">
        <v>0</v>
      </c>
      <c r="EH20" s="290">
        <v>0</v>
      </c>
      <c r="EI20" s="282">
        <f>EH20+EG20</f>
        <v>0</v>
      </c>
      <c r="EJ20" s="290">
        <v>0</v>
      </c>
      <c r="EK20" s="282">
        <f>+EL20-EJ20</f>
        <v>0</v>
      </c>
      <c r="EL20" s="282">
        <f>+EM20-EI20</f>
        <v>0</v>
      </c>
      <c r="EM20" s="670">
        <v>0</v>
      </c>
      <c r="EN20" s="697">
        <v>0</v>
      </c>
      <c r="EO20" s="290"/>
      <c r="EP20" s="282">
        <f>EO20+EN20</f>
        <v>0</v>
      </c>
      <c r="EQ20" s="710"/>
      <c r="ER20" s="282">
        <f>EK20</f>
        <v>0</v>
      </c>
      <c r="ES20" s="282">
        <f>ER20+EQ20</f>
        <v>0</v>
      </c>
      <c r="ET20" s="590">
        <f>ES20+EP20</f>
        <v>0</v>
      </c>
      <c r="EU20" s="282">
        <f>EN20</f>
        <v>0</v>
      </c>
      <c r="EV20" s="282">
        <f>EO20</f>
        <v>0</v>
      </c>
      <c r="EW20" s="282">
        <f>EV20+EU20</f>
        <v>0</v>
      </c>
      <c r="EX20" s="282">
        <f>EQ20</f>
        <v>0</v>
      </c>
      <c r="EY20" s="282">
        <f>ER20</f>
        <v>0</v>
      </c>
      <c r="EZ20" s="282">
        <f>EY20+EX20</f>
        <v>0</v>
      </c>
      <c r="FA20" s="590">
        <f>EZ20+EW20</f>
        <v>0</v>
      </c>
      <c r="FB20" s="282">
        <f>EU20</f>
        <v>0</v>
      </c>
      <c r="FC20" s="282">
        <f>EV20</f>
        <v>0</v>
      </c>
      <c r="FD20" s="282">
        <f>FC20+FB20</f>
        <v>0</v>
      </c>
      <c r="FE20" s="282">
        <f>EX20</f>
        <v>0</v>
      </c>
      <c r="FF20" s="282">
        <f>EY20</f>
        <v>0</v>
      </c>
      <c r="FG20" s="282">
        <f>FF20+FE20</f>
        <v>0</v>
      </c>
      <c r="FH20" s="590">
        <f>FG20+FD20</f>
        <v>0</v>
      </c>
      <c r="FI20" s="282">
        <f>FB20</f>
        <v>0</v>
      </c>
      <c r="FJ20" s="282">
        <f>FC20</f>
        <v>0</v>
      </c>
      <c r="FK20" s="282">
        <f>FJ20+FI20</f>
        <v>0</v>
      </c>
      <c r="FL20" s="282">
        <f>FE20</f>
        <v>0</v>
      </c>
      <c r="FM20" s="282">
        <f>FF20</f>
        <v>0</v>
      </c>
      <c r="FN20" s="282">
        <f>FM20+FL20</f>
        <v>0</v>
      </c>
      <c r="FO20" s="590">
        <f>FN20+FK20</f>
        <v>0</v>
      </c>
      <c r="FP20" s="282">
        <f>FI20</f>
        <v>0</v>
      </c>
      <c r="FQ20" s="282">
        <f>FJ20</f>
        <v>0</v>
      </c>
      <c r="FR20" s="282">
        <f>FQ20+FP20</f>
        <v>0</v>
      </c>
      <c r="FS20" s="282">
        <f>FL20</f>
        <v>0</v>
      </c>
      <c r="FT20" s="282">
        <f>FM20</f>
        <v>0</v>
      </c>
      <c r="FU20" s="282">
        <f>FT20+FS20</f>
        <v>0</v>
      </c>
      <c r="FV20" s="590">
        <f>FU20+FR20</f>
        <v>0</v>
      </c>
    </row>
    <row r="21" spans="1:189" outlineLevel="1" x14ac:dyDescent="0.3">
      <c r="B21" s="279" t="s">
        <v>416</v>
      </c>
      <c r="C21" s="280" t="s">
        <v>226</v>
      </c>
      <c r="D21" s="288">
        <v>214.1</v>
      </c>
      <c r="E21" s="289">
        <v>239.3</v>
      </c>
      <c r="F21" s="281">
        <f>SUM(D21:E21)</f>
        <v>453.4</v>
      </c>
      <c r="G21" s="289">
        <v>234</v>
      </c>
      <c r="H21" s="289">
        <v>250.3</v>
      </c>
      <c r="I21" s="281">
        <f>SUM(G21:H21)</f>
        <v>484.3</v>
      </c>
      <c r="J21" s="289">
        <v>937.7</v>
      </c>
      <c r="K21" s="289">
        <v>257.8</v>
      </c>
      <c r="L21" s="289">
        <v>256.2</v>
      </c>
      <c r="M21" s="281">
        <f>SUM(K21:L21)</f>
        <v>514</v>
      </c>
      <c r="N21" s="289">
        <v>228.8</v>
      </c>
      <c r="O21" s="289">
        <v>227.1</v>
      </c>
      <c r="P21" s="281">
        <f>SUM(N21:O21)</f>
        <v>455.9</v>
      </c>
      <c r="Q21" s="289">
        <v>969.9</v>
      </c>
      <c r="R21" s="289">
        <v>257.5</v>
      </c>
      <c r="S21" s="289">
        <v>251.3</v>
      </c>
      <c r="T21" s="281">
        <f>SUM(R21:S21)</f>
        <v>508.8</v>
      </c>
      <c r="U21" s="289">
        <v>224.3</v>
      </c>
      <c r="V21" s="289">
        <v>205.7</v>
      </c>
      <c r="W21" s="281">
        <f>SUM(U21:V21)</f>
        <v>430</v>
      </c>
      <c r="X21" s="289">
        <v>938.8</v>
      </c>
      <c r="Y21" s="283">
        <f t="shared" ref="Y21:BD21" si="28">-Y312-Y30</f>
        <v>227</v>
      </c>
      <c r="Z21" s="283">
        <f t="shared" si="28"/>
        <v>214.1</v>
      </c>
      <c r="AA21" s="283">
        <f t="shared" si="28"/>
        <v>441.09999999999997</v>
      </c>
      <c r="AB21" s="283">
        <f t="shared" si="28"/>
        <v>159</v>
      </c>
      <c r="AC21" s="283">
        <f t="shared" si="28"/>
        <v>157.29999999999995</v>
      </c>
      <c r="AD21" s="283">
        <f t="shared" si="28"/>
        <v>316.29999999999995</v>
      </c>
      <c r="AE21" s="283">
        <f t="shared" si="28"/>
        <v>757.4</v>
      </c>
      <c r="AF21" s="283">
        <f t="shared" si="28"/>
        <v>159.1</v>
      </c>
      <c r="AG21" s="283">
        <f t="shared" si="28"/>
        <v>171.79999999999998</v>
      </c>
      <c r="AH21" s="283">
        <f t="shared" si="28"/>
        <v>330.9</v>
      </c>
      <c r="AI21" s="283">
        <f t="shared" si="28"/>
        <v>148.5</v>
      </c>
      <c r="AJ21" s="283">
        <f t="shared" si="28"/>
        <v>167.4</v>
      </c>
      <c r="AK21" s="283">
        <f t="shared" si="28"/>
        <v>315.90000000000003</v>
      </c>
      <c r="AL21" s="283">
        <f t="shared" si="28"/>
        <v>646.79999999999995</v>
      </c>
      <c r="AM21" s="283">
        <f t="shared" si="28"/>
        <v>186.2</v>
      </c>
      <c r="AN21" s="283">
        <f t="shared" si="28"/>
        <v>178.6</v>
      </c>
      <c r="AO21" s="283">
        <f t="shared" si="28"/>
        <v>364.79999999999995</v>
      </c>
      <c r="AP21" s="283">
        <f t="shared" si="28"/>
        <v>171.9</v>
      </c>
      <c r="AQ21" s="283">
        <f t="shared" si="28"/>
        <v>175.50000000000006</v>
      </c>
      <c r="AR21" s="283">
        <f t="shared" si="28"/>
        <v>347.40000000000009</v>
      </c>
      <c r="AS21" s="283">
        <f t="shared" si="28"/>
        <v>712.2</v>
      </c>
      <c r="AT21" s="283">
        <f t="shared" si="28"/>
        <v>189.20000000000002</v>
      </c>
      <c r="AU21" s="283">
        <f t="shared" si="28"/>
        <v>204.4</v>
      </c>
      <c r="AV21" s="283">
        <f t="shared" si="28"/>
        <v>393.59999999999997</v>
      </c>
      <c r="AW21" s="283">
        <f t="shared" si="28"/>
        <v>175.4</v>
      </c>
      <c r="AX21" s="283">
        <f t="shared" si="28"/>
        <v>196.3</v>
      </c>
      <c r="AY21" s="283">
        <f t="shared" si="28"/>
        <v>371.70000000000005</v>
      </c>
      <c r="AZ21" s="283">
        <f t="shared" si="28"/>
        <v>765.3</v>
      </c>
      <c r="BA21" s="283">
        <f t="shared" si="28"/>
        <v>214.29999999999998</v>
      </c>
      <c r="BB21" s="283">
        <f t="shared" si="28"/>
        <v>207.79999999999998</v>
      </c>
      <c r="BC21" s="283">
        <f t="shared" si="28"/>
        <v>422.09999999999997</v>
      </c>
      <c r="BD21" s="283">
        <f t="shared" si="28"/>
        <v>206.89999999999998</v>
      </c>
      <c r="BE21" s="283">
        <f t="shared" ref="BE21:CJ21" si="29">-BE312-BE30</f>
        <v>211.80000000000007</v>
      </c>
      <c r="BF21" s="283">
        <f t="shared" si="29"/>
        <v>418.70000000000005</v>
      </c>
      <c r="BG21" s="283">
        <f t="shared" si="29"/>
        <v>840.8</v>
      </c>
      <c r="BH21" s="283">
        <f t="shared" si="29"/>
        <v>230.5</v>
      </c>
      <c r="BI21" s="283">
        <f t="shared" si="29"/>
        <v>243.7</v>
      </c>
      <c r="BJ21" s="283">
        <f t="shared" si="29"/>
        <v>474.19999999999993</v>
      </c>
      <c r="BK21" s="283">
        <f t="shared" si="29"/>
        <v>216.1</v>
      </c>
      <c r="BL21" s="283">
        <f t="shared" si="29"/>
        <v>235.70000000000005</v>
      </c>
      <c r="BM21" s="283">
        <f t="shared" si="29"/>
        <v>451.8</v>
      </c>
      <c r="BN21" s="283">
        <f t="shared" si="29"/>
        <v>926</v>
      </c>
      <c r="BO21" s="283">
        <f t="shared" si="29"/>
        <v>260</v>
      </c>
      <c r="BP21" s="283">
        <f t="shared" si="29"/>
        <v>272</v>
      </c>
      <c r="BQ21" s="283">
        <f t="shared" si="29"/>
        <v>532</v>
      </c>
      <c r="BR21" s="283">
        <f t="shared" si="29"/>
        <v>235.29999999999998</v>
      </c>
      <c r="BS21" s="283">
        <f t="shared" si="29"/>
        <v>239.89999999999989</v>
      </c>
      <c r="BT21" s="283">
        <f t="shared" si="29"/>
        <v>475.19999999999987</v>
      </c>
      <c r="BU21" s="283">
        <f t="shared" si="29"/>
        <v>1007.1999999999999</v>
      </c>
      <c r="BV21" s="283">
        <f t="shared" si="29"/>
        <v>252.5</v>
      </c>
      <c r="BW21" s="283">
        <f t="shared" si="29"/>
        <v>267.59999999999997</v>
      </c>
      <c r="BX21" s="283">
        <f t="shared" si="29"/>
        <v>520.1</v>
      </c>
      <c r="BY21" s="283">
        <f t="shared" si="29"/>
        <v>245.09999999999997</v>
      </c>
      <c r="BZ21" s="283">
        <f t="shared" si="29"/>
        <v>248.80000000000004</v>
      </c>
      <c r="CA21" s="283">
        <f t="shared" si="29"/>
        <v>493.90000000000003</v>
      </c>
      <c r="CB21" s="283">
        <f t="shared" si="29"/>
        <v>1014</v>
      </c>
      <c r="CC21" s="283">
        <f t="shared" si="29"/>
        <v>281.39999999999998</v>
      </c>
      <c r="CD21" s="283">
        <f t="shared" si="29"/>
        <v>293.39999999999998</v>
      </c>
      <c r="CE21" s="283">
        <f t="shared" si="29"/>
        <v>574.79999999999995</v>
      </c>
      <c r="CF21" s="283">
        <f t="shared" si="29"/>
        <v>276.2</v>
      </c>
      <c r="CG21" s="283">
        <f t="shared" si="29"/>
        <v>312.80000000000018</v>
      </c>
      <c r="CH21" s="283">
        <f t="shared" si="29"/>
        <v>589.00000000000023</v>
      </c>
      <c r="CI21" s="283">
        <f t="shared" si="29"/>
        <v>1163.8000000000002</v>
      </c>
      <c r="CJ21" s="283">
        <f t="shared" si="29"/>
        <v>316.89999999999998</v>
      </c>
      <c r="CK21" s="283">
        <f t="shared" ref="CK21:DP21" si="30">-CK312-CK30</f>
        <v>315.20000000000005</v>
      </c>
      <c r="CL21" s="283">
        <f t="shared" si="30"/>
        <v>632.09999999999991</v>
      </c>
      <c r="CM21" s="283">
        <f t="shared" si="30"/>
        <v>288.8</v>
      </c>
      <c r="CN21" s="283">
        <f t="shared" si="30"/>
        <v>311.40000000000003</v>
      </c>
      <c r="CO21" s="283">
        <f t="shared" si="30"/>
        <v>600.20000000000005</v>
      </c>
      <c r="CP21" s="283">
        <f t="shared" si="30"/>
        <v>1232.3</v>
      </c>
      <c r="CQ21" s="283">
        <f t="shared" si="30"/>
        <v>402.59999999999997</v>
      </c>
      <c r="CR21" s="283">
        <f t="shared" si="30"/>
        <v>406.7</v>
      </c>
      <c r="CS21" s="283">
        <f t="shared" si="30"/>
        <v>809.3</v>
      </c>
      <c r="CT21" s="283">
        <f t="shared" si="30"/>
        <v>364.2</v>
      </c>
      <c r="CU21" s="283">
        <f t="shared" si="30"/>
        <v>383.49999999999994</v>
      </c>
      <c r="CV21" s="283">
        <f t="shared" si="30"/>
        <v>747.69999999999993</v>
      </c>
      <c r="CW21" s="283">
        <f t="shared" si="30"/>
        <v>1557</v>
      </c>
      <c r="CX21" s="283">
        <f t="shared" si="30"/>
        <v>392.09999999999997</v>
      </c>
      <c r="CY21" s="283">
        <f t="shared" si="30"/>
        <v>388</v>
      </c>
      <c r="CZ21" s="283">
        <f t="shared" si="30"/>
        <v>780.1</v>
      </c>
      <c r="DA21" s="283">
        <f t="shared" si="30"/>
        <v>365.90000000000003</v>
      </c>
      <c r="DB21" s="283">
        <f t="shared" si="30"/>
        <v>401.29999999999984</v>
      </c>
      <c r="DC21" s="283">
        <f t="shared" si="30"/>
        <v>767.19999999999982</v>
      </c>
      <c r="DD21" s="608">
        <f t="shared" si="30"/>
        <v>1547.3</v>
      </c>
      <c r="DE21" s="283">
        <f t="shared" si="30"/>
        <v>375.6</v>
      </c>
      <c r="DF21" s="283">
        <f t="shared" si="30"/>
        <v>435.70000000000005</v>
      </c>
      <c r="DG21" s="283">
        <f t="shared" si="30"/>
        <v>811.30000000000007</v>
      </c>
      <c r="DH21" s="283">
        <f t="shared" si="30"/>
        <v>432.6</v>
      </c>
      <c r="DI21" s="283">
        <f t="shared" si="30"/>
        <v>478.09999999999991</v>
      </c>
      <c r="DJ21" s="282">
        <f t="shared" si="30"/>
        <v>910.69999999999993</v>
      </c>
      <c r="DK21" s="608">
        <f t="shared" si="30"/>
        <v>1722</v>
      </c>
      <c r="DL21" s="318">
        <f t="shared" si="30"/>
        <v>497.1</v>
      </c>
      <c r="DM21" s="283">
        <f t="shared" si="30"/>
        <v>534.4</v>
      </c>
      <c r="DN21" s="283">
        <f t="shared" si="30"/>
        <v>1031.5</v>
      </c>
      <c r="DO21" s="283">
        <f t="shared" si="30"/>
        <v>536.29999999999995</v>
      </c>
      <c r="DP21" s="283">
        <f t="shared" si="30"/>
        <v>571.59999999999991</v>
      </c>
      <c r="DQ21" s="282">
        <f t="shared" ref="DQ21:EM21" si="31">-DQ312-DQ30</f>
        <v>1107.8999999999999</v>
      </c>
      <c r="DR21" s="590">
        <f t="shared" si="31"/>
        <v>2139.3999999999996</v>
      </c>
      <c r="DS21" s="282">
        <f t="shared" si="31"/>
        <v>621.29999999999995</v>
      </c>
      <c r="DT21" s="282">
        <f t="shared" si="31"/>
        <v>601.69999999999993</v>
      </c>
      <c r="DU21" s="282">
        <f t="shared" si="31"/>
        <v>1223</v>
      </c>
      <c r="DV21" s="282">
        <f t="shared" si="31"/>
        <v>527.70000000000005</v>
      </c>
      <c r="DW21" s="282">
        <f t="shared" si="31"/>
        <v>541.79999999999995</v>
      </c>
      <c r="DX21" s="282">
        <f t="shared" si="31"/>
        <v>1069.5</v>
      </c>
      <c r="DY21" s="590">
        <f t="shared" si="31"/>
        <v>2292.5</v>
      </c>
      <c r="DZ21" s="282">
        <f t="shared" si="31"/>
        <v>536</v>
      </c>
      <c r="EA21" s="282">
        <f t="shared" si="31"/>
        <v>549.70000000000005</v>
      </c>
      <c r="EB21" s="282">
        <f t="shared" si="31"/>
        <v>1085.6999999999998</v>
      </c>
      <c r="EC21" s="282">
        <f t="shared" si="31"/>
        <v>531.30000000000007</v>
      </c>
      <c r="ED21" s="282">
        <f t="shared" si="31"/>
        <v>546.60000000000014</v>
      </c>
      <c r="EE21" s="282">
        <f t="shared" si="31"/>
        <v>1077.9000000000001</v>
      </c>
      <c r="EF21" s="590">
        <f t="shared" si="31"/>
        <v>2163.6</v>
      </c>
      <c r="EG21" s="282">
        <f t="shared" si="31"/>
        <v>545.20000000000005</v>
      </c>
      <c r="EH21" s="282">
        <f t="shared" si="31"/>
        <v>536</v>
      </c>
      <c r="EI21" s="282">
        <f t="shared" si="31"/>
        <v>1081.2</v>
      </c>
      <c r="EJ21" s="282">
        <f t="shared" si="31"/>
        <v>535.79999999999995</v>
      </c>
      <c r="EK21" s="282">
        <f t="shared" si="31"/>
        <v>539.29999999999995</v>
      </c>
      <c r="EL21" s="282">
        <f t="shared" si="31"/>
        <v>1075.0999999999999</v>
      </c>
      <c r="EM21" s="590">
        <f t="shared" si="31"/>
        <v>2156.3000000000002</v>
      </c>
      <c r="EN21" s="540">
        <f t="shared" ref="EN21:EP21" si="32">-EN312-EN30</f>
        <v>506.5</v>
      </c>
      <c r="EO21" s="282">
        <f t="shared" si="32"/>
        <v>793.4</v>
      </c>
      <c r="EP21" s="282">
        <f t="shared" si="32"/>
        <v>1299.8999999999999</v>
      </c>
      <c r="EQ21" s="282">
        <f>EQ17-EQ36-EQ22</f>
        <v>660.2</v>
      </c>
      <c r="ER21" s="282">
        <f>ER17-ER36-ER22</f>
        <v>882.27089390486412</v>
      </c>
      <c r="ES21" s="282">
        <f>+ER21+EQ21</f>
        <v>1542.4708939048642</v>
      </c>
      <c r="ET21" s="590">
        <f>ET17-ET36-ET22</f>
        <v>2783.4708939048642</v>
      </c>
      <c r="EU21" s="282">
        <f>EU17-EU36-EU22</f>
        <v>863.94267033298672</v>
      </c>
      <c r="EV21" s="282">
        <f>EV17-EV36-EV22</f>
        <v>816.83967223691639</v>
      </c>
      <c r="EW21" s="282">
        <f>+EV21+EU21</f>
        <v>1680.782342569903</v>
      </c>
      <c r="EX21" s="282">
        <f>EX17-EX36-EX22</f>
        <v>752.22397228944624</v>
      </c>
      <c r="EY21" s="282">
        <f>EY17-EY36-EY22</f>
        <v>948.53491267089964</v>
      </c>
      <c r="EZ21" s="282">
        <f>+EY21+EX21</f>
        <v>1700.7588849603458</v>
      </c>
      <c r="FA21" s="590">
        <f>FA17-FA36-FA22</f>
        <v>3381.5412275302492</v>
      </c>
      <c r="FB21" s="282">
        <f>FB17-FB36-FB22</f>
        <v>946.69551934267668</v>
      </c>
      <c r="FC21" s="282">
        <f>FC17-FC36-FC22</f>
        <v>915.63108260009153</v>
      </c>
      <c r="FD21" s="282">
        <f>+FC21+FB21</f>
        <v>1862.3266019427683</v>
      </c>
      <c r="FE21" s="282">
        <f>FE17-FE36-FE22</f>
        <v>833.9651802300657</v>
      </c>
      <c r="FF21" s="282">
        <f>FF17-FF36-FF22</f>
        <v>1047.1469634157475</v>
      </c>
      <c r="FG21" s="282">
        <f>+FF21+FE21</f>
        <v>1881.1121436458131</v>
      </c>
      <c r="FH21" s="590">
        <f>FH17-FH36-FH22</f>
        <v>3743.4387455885817</v>
      </c>
      <c r="FI21" s="282">
        <f>FI17-FI36-FI22</f>
        <v>1016.9324684740354</v>
      </c>
      <c r="FJ21" s="282">
        <f>FJ17-FJ36-FJ22</f>
        <v>990.2564326863137</v>
      </c>
      <c r="FK21" s="282">
        <f>+FJ21+FI21</f>
        <v>2007.1889011603491</v>
      </c>
      <c r="FL21" s="282">
        <f>FL17-FL36-FL22</f>
        <v>900.76808813628782</v>
      </c>
      <c r="FM21" s="282">
        <f>FM17-FM36-FM22</f>
        <v>1117.5303905299229</v>
      </c>
      <c r="FN21" s="282">
        <f>+FM21+FL21</f>
        <v>2018.2984786662107</v>
      </c>
      <c r="FO21" s="590">
        <f>FO17-FO36-FO22</f>
        <v>4025.4873798265598</v>
      </c>
      <c r="FP21" s="282">
        <f>FP17-FP36-FP22</f>
        <v>1087.7833968016068</v>
      </c>
      <c r="FQ21" s="282">
        <f>FQ17-FQ36-FQ22</f>
        <v>1068.3775797483718</v>
      </c>
      <c r="FR21" s="282">
        <f>+FQ21+FP21</f>
        <v>2156.1609765499788</v>
      </c>
      <c r="FS21" s="282">
        <f>FS17-FS36-FS22</f>
        <v>978.53564686750713</v>
      </c>
      <c r="FT21" s="282">
        <f>FT17-FT36-FT22</f>
        <v>1203.9677570379995</v>
      </c>
      <c r="FU21" s="282">
        <f>+FT21+FS21</f>
        <v>2182.5034039055067</v>
      </c>
      <c r="FV21" s="590">
        <f>FV17-FV36-FV22</f>
        <v>4338.6643804554842</v>
      </c>
    </row>
    <row r="22" spans="1:189" outlineLevel="1" x14ac:dyDescent="0.3">
      <c r="B22" s="279" t="s">
        <v>417</v>
      </c>
      <c r="C22" s="280" t="s">
        <v>226</v>
      </c>
      <c r="D22" s="281">
        <f>D17-D21-D36</f>
        <v>43.799999999999983</v>
      </c>
      <c r="E22" s="281">
        <f>E17-E21-E36</f>
        <v>43.699999999999989</v>
      </c>
      <c r="F22" s="281">
        <f>SUM(D22:E22)</f>
        <v>87.499999999999972</v>
      </c>
      <c r="G22" s="281">
        <f>G17-G21-G36</f>
        <v>48.199999999999918</v>
      </c>
      <c r="H22" s="281">
        <f>H17-H21-H36</f>
        <v>58.299999999999983</v>
      </c>
      <c r="I22" s="281">
        <f>SUM(G22:H22)</f>
        <v>106.4999999999999</v>
      </c>
      <c r="J22" s="281">
        <f>SUM(F22,I22)</f>
        <v>193.99999999999989</v>
      </c>
      <c r="K22" s="281">
        <f>K17-K21-K36</f>
        <v>50.599999999999937</v>
      </c>
      <c r="L22" s="281">
        <f>L17-L21-L36</f>
        <v>53.80000000000004</v>
      </c>
      <c r="M22" s="281">
        <f>SUM(K22:L22)</f>
        <v>104.39999999999998</v>
      </c>
      <c r="N22" s="281">
        <f>N17-N21-N36</f>
        <v>49.399999999999963</v>
      </c>
      <c r="O22" s="281">
        <f>O17-O21-O36</f>
        <v>49.699999999999989</v>
      </c>
      <c r="P22" s="281">
        <f>SUM(N22:O22)</f>
        <v>99.099999999999952</v>
      </c>
      <c r="Q22" s="281">
        <f>SUM(M22,P22)</f>
        <v>203.49999999999994</v>
      </c>
      <c r="R22" s="281">
        <f>R17-R21-R36</f>
        <v>45.299999999999969</v>
      </c>
      <c r="S22" s="281">
        <f>S17-S21-S36</f>
        <v>48.7</v>
      </c>
      <c r="T22" s="281">
        <f>SUM(R22:S22)</f>
        <v>93.999999999999972</v>
      </c>
      <c r="U22" s="281">
        <f>U17-U21-U36</f>
        <v>43.799999999999969</v>
      </c>
      <c r="V22" s="281">
        <f>V17-V21-V36</f>
        <v>48.499999999999986</v>
      </c>
      <c r="W22" s="281">
        <f>SUM(U22:V22)</f>
        <v>92.299999999999955</v>
      </c>
      <c r="X22" s="281">
        <f>SUM(T22,W22)</f>
        <v>186.29999999999993</v>
      </c>
      <c r="Y22" s="282">
        <f t="shared" ref="Y22:CJ22" si="33">-Y313</f>
        <v>54.2</v>
      </c>
      <c r="Z22" s="282">
        <f t="shared" si="33"/>
        <v>56</v>
      </c>
      <c r="AA22" s="282">
        <f t="shared" si="33"/>
        <v>110.2</v>
      </c>
      <c r="AB22" s="282">
        <f t="shared" si="33"/>
        <v>51.9</v>
      </c>
      <c r="AC22" s="282">
        <f t="shared" si="33"/>
        <v>46.70000000000001</v>
      </c>
      <c r="AD22" s="282">
        <f t="shared" si="33"/>
        <v>98.600000000000009</v>
      </c>
      <c r="AE22" s="282">
        <f t="shared" si="33"/>
        <v>208.8</v>
      </c>
      <c r="AF22" s="282">
        <f t="shared" si="33"/>
        <v>41.4</v>
      </c>
      <c r="AG22" s="282">
        <f t="shared" si="33"/>
        <v>49</v>
      </c>
      <c r="AH22" s="282">
        <f t="shared" si="33"/>
        <v>90.4</v>
      </c>
      <c r="AI22" s="282">
        <f t="shared" si="33"/>
        <v>46.9</v>
      </c>
      <c r="AJ22" s="282">
        <f t="shared" si="33"/>
        <v>48.500000000000007</v>
      </c>
      <c r="AK22" s="282">
        <f t="shared" si="33"/>
        <v>95.4</v>
      </c>
      <c r="AL22" s="282">
        <f t="shared" si="33"/>
        <v>185.8</v>
      </c>
      <c r="AM22" s="282">
        <f t="shared" si="33"/>
        <v>45.9</v>
      </c>
      <c r="AN22" s="282">
        <f t="shared" si="33"/>
        <v>35.1</v>
      </c>
      <c r="AO22" s="282">
        <f t="shared" si="33"/>
        <v>81</v>
      </c>
      <c r="AP22" s="282">
        <f t="shared" si="33"/>
        <v>49.4</v>
      </c>
      <c r="AQ22" s="282">
        <f t="shared" si="33"/>
        <v>43.000000000000007</v>
      </c>
      <c r="AR22" s="282">
        <f t="shared" si="33"/>
        <v>92.4</v>
      </c>
      <c r="AS22" s="282">
        <f t="shared" si="33"/>
        <v>173.4</v>
      </c>
      <c r="AT22" s="282">
        <f t="shared" si="33"/>
        <v>45.5</v>
      </c>
      <c r="AU22" s="282">
        <f t="shared" si="33"/>
        <v>48.6</v>
      </c>
      <c r="AV22" s="282">
        <f t="shared" si="33"/>
        <v>94.1</v>
      </c>
      <c r="AW22" s="282">
        <f t="shared" si="33"/>
        <v>48</v>
      </c>
      <c r="AX22" s="282">
        <f t="shared" si="33"/>
        <v>48.900000000000006</v>
      </c>
      <c r="AY22" s="282">
        <f t="shared" si="33"/>
        <v>96.9</v>
      </c>
      <c r="AZ22" s="282">
        <f t="shared" si="33"/>
        <v>191</v>
      </c>
      <c r="BA22" s="282">
        <f t="shared" si="33"/>
        <v>44.3</v>
      </c>
      <c r="BB22" s="282">
        <f t="shared" si="33"/>
        <v>56.6</v>
      </c>
      <c r="BC22" s="282">
        <f t="shared" si="33"/>
        <v>100.9</v>
      </c>
      <c r="BD22" s="282">
        <f t="shared" si="33"/>
        <v>59.7</v>
      </c>
      <c r="BE22" s="282">
        <f t="shared" si="33"/>
        <v>57.999999999999986</v>
      </c>
      <c r="BF22" s="282">
        <f t="shared" si="33"/>
        <v>117.69999999999999</v>
      </c>
      <c r="BG22" s="282">
        <f t="shared" si="33"/>
        <v>218.6</v>
      </c>
      <c r="BH22" s="282">
        <f t="shared" si="33"/>
        <v>54.9</v>
      </c>
      <c r="BI22" s="282">
        <f t="shared" si="33"/>
        <v>53.8</v>
      </c>
      <c r="BJ22" s="282">
        <f t="shared" si="33"/>
        <v>108.69999999999999</v>
      </c>
      <c r="BK22" s="282">
        <f t="shared" si="33"/>
        <v>53.8</v>
      </c>
      <c r="BL22" s="282">
        <f t="shared" si="33"/>
        <v>61.90000000000002</v>
      </c>
      <c r="BM22" s="282">
        <f t="shared" si="33"/>
        <v>115.70000000000002</v>
      </c>
      <c r="BN22" s="282">
        <f t="shared" si="33"/>
        <v>224.4</v>
      </c>
      <c r="BO22" s="282">
        <f t="shared" si="33"/>
        <v>59.9</v>
      </c>
      <c r="BP22" s="282">
        <f t="shared" si="33"/>
        <v>60.8</v>
      </c>
      <c r="BQ22" s="282">
        <f t="shared" si="33"/>
        <v>120.69999999999999</v>
      </c>
      <c r="BR22" s="282">
        <f t="shared" si="33"/>
        <v>56</v>
      </c>
      <c r="BS22" s="282">
        <f t="shared" si="33"/>
        <v>68.800000000000011</v>
      </c>
      <c r="BT22" s="282">
        <f t="shared" si="33"/>
        <v>124.80000000000001</v>
      </c>
      <c r="BU22" s="282">
        <f t="shared" si="33"/>
        <v>245.5</v>
      </c>
      <c r="BV22" s="282">
        <f t="shared" si="33"/>
        <v>61.5</v>
      </c>
      <c r="BW22" s="282">
        <f t="shared" si="33"/>
        <v>62.6</v>
      </c>
      <c r="BX22" s="282">
        <f t="shared" si="33"/>
        <v>124.1</v>
      </c>
      <c r="BY22" s="282">
        <f t="shared" si="33"/>
        <v>61.4</v>
      </c>
      <c r="BZ22" s="282">
        <f t="shared" si="33"/>
        <v>68.699999999999989</v>
      </c>
      <c r="CA22" s="282">
        <f t="shared" si="33"/>
        <v>130.1</v>
      </c>
      <c r="CB22" s="282">
        <f t="shared" si="33"/>
        <v>254.2</v>
      </c>
      <c r="CC22" s="282">
        <f t="shared" si="33"/>
        <v>72</v>
      </c>
      <c r="CD22" s="282">
        <f t="shared" si="33"/>
        <v>69.099999999999994</v>
      </c>
      <c r="CE22" s="282">
        <f t="shared" si="33"/>
        <v>141.1</v>
      </c>
      <c r="CF22" s="282">
        <f t="shared" si="33"/>
        <v>74.599999999999994</v>
      </c>
      <c r="CG22" s="282">
        <f t="shared" si="33"/>
        <v>75.900000000000034</v>
      </c>
      <c r="CH22" s="282">
        <f t="shared" si="33"/>
        <v>150.50000000000003</v>
      </c>
      <c r="CI22" s="282">
        <f t="shared" si="33"/>
        <v>291.60000000000002</v>
      </c>
      <c r="CJ22" s="282">
        <f t="shared" si="33"/>
        <v>73.5</v>
      </c>
      <c r="CK22" s="282">
        <f t="shared" ref="CK22:DU22" si="34">-CK313</f>
        <v>75</v>
      </c>
      <c r="CL22" s="282">
        <f t="shared" si="34"/>
        <v>148.5</v>
      </c>
      <c r="CM22" s="282">
        <f t="shared" si="34"/>
        <v>77.7</v>
      </c>
      <c r="CN22" s="282">
        <f t="shared" si="34"/>
        <v>85.100000000000009</v>
      </c>
      <c r="CO22" s="282">
        <f t="shared" si="34"/>
        <v>162.80000000000001</v>
      </c>
      <c r="CP22" s="282">
        <f t="shared" si="34"/>
        <v>311.3</v>
      </c>
      <c r="CQ22" s="282">
        <f t="shared" si="34"/>
        <v>104.9</v>
      </c>
      <c r="CR22" s="282">
        <f t="shared" si="34"/>
        <v>98.9</v>
      </c>
      <c r="CS22" s="282">
        <f t="shared" si="34"/>
        <v>203.8</v>
      </c>
      <c r="CT22" s="282">
        <f t="shared" si="34"/>
        <v>97.5</v>
      </c>
      <c r="CU22" s="282">
        <f t="shared" si="34"/>
        <v>102.30000000000001</v>
      </c>
      <c r="CV22" s="282">
        <f t="shared" si="34"/>
        <v>199.8</v>
      </c>
      <c r="CW22" s="282">
        <f t="shared" si="34"/>
        <v>403.6</v>
      </c>
      <c r="CX22" s="282">
        <f t="shared" si="34"/>
        <v>101.5</v>
      </c>
      <c r="CY22" s="282">
        <f t="shared" si="34"/>
        <v>98.1</v>
      </c>
      <c r="CZ22" s="282">
        <f t="shared" si="34"/>
        <v>199.6</v>
      </c>
      <c r="DA22" s="282">
        <f t="shared" si="34"/>
        <v>105.9</v>
      </c>
      <c r="DB22" s="282">
        <f t="shared" si="34"/>
        <v>110.30000000000001</v>
      </c>
      <c r="DC22" s="282">
        <f t="shared" si="34"/>
        <v>216.20000000000002</v>
      </c>
      <c r="DD22" s="608">
        <f t="shared" si="34"/>
        <v>415.8</v>
      </c>
      <c r="DE22" s="282">
        <f t="shared" si="34"/>
        <v>87.6</v>
      </c>
      <c r="DF22" s="282">
        <f t="shared" si="34"/>
        <v>98</v>
      </c>
      <c r="DG22" s="282">
        <f t="shared" si="34"/>
        <v>185.6</v>
      </c>
      <c r="DH22" s="282">
        <f t="shared" si="34"/>
        <v>94.9</v>
      </c>
      <c r="DI22" s="282">
        <f t="shared" si="34"/>
        <v>109.10000000000002</v>
      </c>
      <c r="DJ22" s="282">
        <f t="shared" si="34"/>
        <v>204.00000000000003</v>
      </c>
      <c r="DK22" s="608">
        <f t="shared" si="34"/>
        <v>389.6</v>
      </c>
      <c r="DL22" s="284">
        <f t="shared" si="34"/>
        <v>119.1</v>
      </c>
      <c r="DM22" s="282">
        <f t="shared" si="34"/>
        <v>114.2</v>
      </c>
      <c r="DN22" s="282">
        <f t="shared" si="34"/>
        <v>233.3</v>
      </c>
      <c r="DO22" s="282">
        <f t="shared" si="34"/>
        <v>109</v>
      </c>
      <c r="DP22" s="282">
        <f t="shared" si="34"/>
        <v>118.89999999999998</v>
      </c>
      <c r="DQ22" s="282">
        <f t="shared" si="34"/>
        <v>227.89999999999998</v>
      </c>
      <c r="DR22" s="590">
        <f t="shared" si="34"/>
        <v>461.2</v>
      </c>
      <c r="DS22" s="282">
        <f t="shared" si="34"/>
        <v>121.6</v>
      </c>
      <c r="DT22" s="282">
        <f t="shared" si="34"/>
        <v>124.6</v>
      </c>
      <c r="DU22" s="282">
        <f t="shared" si="34"/>
        <v>246.2</v>
      </c>
      <c r="DV22" s="282">
        <f>-DV313</f>
        <v>115.1</v>
      </c>
      <c r="DW22" s="282">
        <f>-DW313</f>
        <v>132.70000000000002</v>
      </c>
      <c r="DX22" s="282">
        <f>-DX313</f>
        <v>247.8</v>
      </c>
      <c r="DY22" s="590">
        <f>-DY313</f>
        <v>494</v>
      </c>
      <c r="DZ22" s="282">
        <f t="shared" ref="DZ22:EE22" si="35">-DZ313</f>
        <v>128.9</v>
      </c>
      <c r="EA22" s="282">
        <f t="shared" si="35"/>
        <v>152.80000000000001</v>
      </c>
      <c r="EB22" s="282">
        <f t="shared" si="35"/>
        <v>281.70000000000005</v>
      </c>
      <c r="EC22" s="282">
        <f t="shared" si="35"/>
        <v>156.30000000000001</v>
      </c>
      <c r="ED22" s="282">
        <f t="shared" si="35"/>
        <v>164.2</v>
      </c>
      <c r="EE22" s="282">
        <f t="shared" si="35"/>
        <v>320.5</v>
      </c>
      <c r="EF22" s="590">
        <f>-EF313</f>
        <v>602.20000000000005</v>
      </c>
      <c r="EG22" s="282">
        <f t="shared" ref="EG22:EL22" si="36">-EG313</f>
        <v>149.80000000000001</v>
      </c>
      <c r="EH22" s="282">
        <f t="shared" si="36"/>
        <v>149.9</v>
      </c>
      <c r="EI22" s="282">
        <f t="shared" si="36"/>
        <v>299.70000000000005</v>
      </c>
      <c r="EJ22" s="282">
        <f t="shared" si="36"/>
        <v>144.69999999999999</v>
      </c>
      <c r="EK22" s="282">
        <f t="shared" si="36"/>
        <v>151.80000000000001</v>
      </c>
      <c r="EL22" s="282">
        <f t="shared" si="36"/>
        <v>296.5</v>
      </c>
      <c r="EM22" s="590">
        <f>-EM313</f>
        <v>596.20000000000005</v>
      </c>
      <c r="EN22" s="540">
        <f t="shared" ref="EN22:EP22" si="37">-EN313</f>
        <v>156.1</v>
      </c>
      <c r="EO22" s="282">
        <f t="shared" si="37"/>
        <v>250.8</v>
      </c>
      <c r="EP22" s="282">
        <f t="shared" si="37"/>
        <v>406.9</v>
      </c>
      <c r="EQ22" s="547">
        <f t="shared" ref="EQ22" si="38">-EQ313</f>
        <v>249.7</v>
      </c>
      <c r="ER22" s="282">
        <f>EK22*(1.03)</f>
        <v>156.35400000000001</v>
      </c>
      <c r="ES22" s="282">
        <f>SUM(EQ22:ER22)</f>
        <v>406.05399999999997</v>
      </c>
      <c r="ET22" s="590">
        <f>SUM(EP22,ES22)</f>
        <v>812.95399999999995</v>
      </c>
      <c r="EU22" s="282">
        <f>EN22*(1.03)</f>
        <v>160.78299999999999</v>
      </c>
      <c r="EV22" s="282">
        <f>EO22*(1.03)</f>
        <v>258.32400000000001</v>
      </c>
      <c r="EW22" s="282">
        <f>SUM(EU22:EV22)</f>
        <v>419.10699999999997</v>
      </c>
      <c r="EX22" s="282">
        <f>EQ22*(1.03)</f>
        <v>257.19099999999997</v>
      </c>
      <c r="EY22" s="282">
        <f>ER22*(1.03)</f>
        <v>161.04462000000001</v>
      </c>
      <c r="EZ22" s="282">
        <f>SUM(EX22:EY22)</f>
        <v>418.23561999999998</v>
      </c>
      <c r="FA22" s="590">
        <f>SUM(EW22,EZ22)</f>
        <v>837.3426199999999</v>
      </c>
      <c r="FB22" s="282">
        <f>EU22*(1.03)</f>
        <v>165.60648999999998</v>
      </c>
      <c r="FC22" s="282">
        <f>EV22*(1.03)</f>
        <v>266.07372000000004</v>
      </c>
      <c r="FD22" s="282">
        <f>SUM(FB22:FC22)</f>
        <v>431.68020999999999</v>
      </c>
      <c r="FE22" s="282">
        <f>EX22*(1.03)</f>
        <v>264.90672999999998</v>
      </c>
      <c r="FF22" s="282">
        <f>EY22*(1.03)</f>
        <v>165.87595860000002</v>
      </c>
      <c r="FG22" s="282">
        <f>SUM(FE22:FF22)</f>
        <v>430.78268860000003</v>
      </c>
      <c r="FH22" s="590">
        <f>SUM(FD22,FG22)</f>
        <v>862.46289860000002</v>
      </c>
      <c r="FI22" s="282">
        <f>FB22*(1.03)</f>
        <v>170.57468469999998</v>
      </c>
      <c r="FJ22" s="282">
        <f>FC22*(1.03)</f>
        <v>274.05593160000006</v>
      </c>
      <c r="FK22" s="282">
        <f>SUM(FI22:FJ22)</f>
        <v>444.63061630000004</v>
      </c>
      <c r="FL22" s="282">
        <f>FE22*(1.03)</f>
        <v>272.85393189999996</v>
      </c>
      <c r="FM22" s="282">
        <f>FF22*(1.03)</f>
        <v>170.85223735800002</v>
      </c>
      <c r="FN22" s="282">
        <f>SUM(FL22:FM22)</f>
        <v>443.70616925799999</v>
      </c>
      <c r="FO22" s="590">
        <f>SUM(FK22,FN22)</f>
        <v>888.33678555799997</v>
      </c>
      <c r="FP22" s="282">
        <f>FI22*(1.03)</f>
        <v>175.69192524099998</v>
      </c>
      <c r="FQ22" s="282">
        <f>FJ22*(1.03)</f>
        <v>282.2776095480001</v>
      </c>
      <c r="FR22" s="282">
        <f>SUM(FP22:FQ22)</f>
        <v>457.96953478900008</v>
      </c>
      <c r="FS22" s="282">
        <f>FL22*(1.03)</f>
        <v>281.039549857</v>
      </c>
      <c r="FT22" s="282">
        <f>FM22*(1.03)</f>
        <v>175.97780447874004</v>
      </c>
      <c r="FU22" s="282">
        <f>SUM(FS22:FT22)</f>
        <v>457.01735433574004</v>
      </c>
      <c r="FV22" s="590">
        <f>SUM(FR22,FU22)</f>
        <v>914.98688912474017</v>
      </c>
    </row>
    <row r="23" spans="1:189" outlineLevel="1" x14ac:dyDescent="0.3">
      <c r="B23" s="273" t="s">
        <v>198</v>
      </c>
      <c r="C23" s="319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275"/>
      <c r="AE23" s="275"/>
      <c r="AF23" s="275"/>
      <c r="AG23" s="275"/>
      <c r="AH23" s="275"/>
      <c r="AI23" s="275"/>
      <c r="AJ23" s="275"/>
      <c r="AK23" s="275"/>
      <c r="AL23" s="275"/>
      <c r="AM23" s="275"/>
      <c r="AN23" s="275"/>
      <c r="AO23" s="275"/>
      <c r="AP23" s="275"/>
      <c r="AQ23" s="275"/>
      <c r="AR23" s="275"/>
      <c r="AS23" s="275"/>
      <c r="AT23" s="276"/>
      <c r="AU23" s="276"/>
      <c r="AV23" s="276"/>
      <c r="AW23" s="276"/>
      <c r="AX23" s="276"/>
      <c r="AY23" s="276"/>
      <c r="AZ23" s="276"/>
      <c r="BA23" s="276"/>
      <c r="BB23" s="276"/>
      <c r="BC23" s="276"/>
      <c r="BD23" s="276"/>
      <c r="BE23" s="276"/>
      <c r="BF23" s="276"/>
      <c r="BG23" s="276"/>
      <c r="BH23" s="276"/>
      <c r="BI23" s="276"/>
      <c r="BJ23" s="276"/>
      <c r="BK23" s="276"/>
      <c r="BL23" s="276"/>
      <c r="BM23" s="276"/>
      <c r="BN23" s="276"/>
      <c r="BO23" s="276"/>
      <c r="BP23" s="276"/>
      <c r="BQ23" s="276"/>
      <c r="BR23" s="276"/>
      <c r="BS23" s="276"/>
      <c r="BT23" s="276"/>
      <c r="BU23" s="276"/>
      <c r="BV23" s="276"/>
      <c r="BW23" s="276"/>
      <c r="BX23" s="276"/>
      <c r="BY23" s="276"/>
      <c r="BZ23" s="276"/>
      <c r="CA23" s="276"/>
      <c r="CB23" s="277"/>
      <c r="CC23" s="277"/>
      <c r="CD23" s="277"/>
      <c r="CE23" s="277"/>
      <c r="CF23" s="277"/>
      <c r="CG23" s="277"/>
      <c r="CH23" s="277"/>
      <c r="CI23" s="277"/>
      <c r="CJ23" s="277"/>
      <c r="CK23" s="277"/>
      <c r="CL23" s="277"/>
      <c r="CM23" s="277"/>
      <c r="CN23" s="277"/>
      <c r="CO23" s="277"/>
      <c r="CP23" s="277"/>
      <c r="CQ23" s="277"/>
      <c r="CR23" s="277"/>
      <c r="CS23" s="277"/>
      <c r="CT23" s="277"/>
      <c r="CU23" s="277"/>
      <c r="CV23" s="277"/>
      <c r="CW23" s="277"/>
      <c r="CX23" s="277"/>
      <c r="CY23" s="277"/>
      <c r="CZ23" s="277"/>
      <c r="DA23" s="277"/>
      <c r="DB23" s="277"/>
      <c r="DC23" s="277"/>
      <c r="DD23" s="608"/>
      <c r="DE23" s="277"/>
      <c r="DF23" s="277"/>
      <c r="DG23" s="277"/>
      <c r="DH23" s="277"/>
      <c r="DI23" s="277"/>
      <c r="DJ23" s="286"/>
      <c r="DK23" s="608"/>
      <c r="DL23" s="278"/>
      <c r="DM23" s="277"/>
      <c r="DN23" s="277"/>
      <c r="DO23" s="277"/>
      <c r="DP23" s="277"/>
      <c r="DQ23" s="286"/>
      <c r="DR23" s="590"/>
      <c r="DS23" s="286"/>
      <c r="DT23" s="286"/>
      <c r="DU23" s="286"/>
      <c r="DV23" s="286"/>
      <c r="DW23" s="286"/>
      <c r="DX23" s="286"/>
      <c r="DY23" s="590"/>
      <c r="DZ23" s="286"/>
      <c r="EA23" s="282"/>
      <c r="EB23" s="286"/>
      <c r="EC23" s="286"/>
      <c r="ED23" s="286"/>
      <c r="EE23" s="286"/>
      <c r="EF23" s="590"/>
      <c r="EG23" s="286"/>
      <c r="EH23" s="282"/>
      <c r="EI23" s="286"/>
      <c r="EJ23" s="286"/>
      <c r="EK23" s="286"/>
      <c r="EL23" s="286"/>
      <c r="EM23" s="590"/>
      <c r="EN23" s="548"/>
      <c r="EO23" s="282"/>
      <c r="EP23" s="286"/>
      <c r="EQ23" s="549"/>
      <c r="ER23" s="277"/>
      <c r="ES23" s="277"/>
      <c r="ET23" s="575"/>
      <c r="EU23" s="277"/>
      <c r="EV23" s="277"/>
      <c r="EW23" s="277"/>
      <c r="EX23" s="277"/>
      <c r="EY23" s="277"/>
      <c r="EZ23" s="277"/>
      <c r="FA23" s="575"/>
      <c r="FB23" s="277"/>
      <c r="FC23" s="277"/>
      <c r="FD23" s="277"/>
      <c r="FE23" s="277"/>
      <c r="FF23" s="277"/>
      <c r="FG23" s="277"/>
      <c r="FH23" s="575"/>
      <c r="FI23" s="277"/>
      <c r="FJ23" s="277"/>
      <c r="FK23" s="277"/>
      <c r="FL23" s="277"/>
      <c r="FM23" s="277"/>
      <c r="FN23" s="277"/>
      <c r="FO23" s="575"/>
      <c r="FP23" s="277"/>
      <c r="FQ23" s="277"/>
      <c r="FR23" s="277"/>
      <c r="FS23" s="277"/>
      <c r="FT23" s="277"/>
      <c r="FU23" s="277"/>
      <c r="FV23" s="575"/>
    </row>
    <row r="24" spans="1:189" outlineLevel="1" x14ac:dyDescent="0.3">
      <c r="B24" s="279" t="str">
        <f>B10</f>
        <v>Siding &amp; Triming</v>
      </c>
      <c r="C24" s="280" t="s">
        <v>226</v>
      </c>
      <c r="D24" s="281">
        <v>6.1</v>
      </c>
      <c r="E24" s="281">
        <v>10.199999999999999</v>
      </c>
      <c r="F24" s="281">
        <v>16.299999999999997</v>
      </c>
      <c r="G24" s="281">
        <v>8</v>
      </c>
      <c r="H24" s="281">
        <v>8.1999999999999993</v>
      </c>
      <c r="I24" s="281">
        <v>16.2</v>
      </c>
      <c r="J24" s="281">
        <v>32.4</v>
      </c>
      <c r="K24" s="281">
        <v>7.9</v>
      </c>
      <c r="L24" s="281">
        <v>10</v>
      </c>
      <c r="M24" s="281">
        <v>17.899999999999999</v>
      </c>
      <c r="N24" s="281">
        <v>9.6999999999999993</v>
      </c>
      <c r="O24" s="281">
        <v>10.199999999999999</v>
      </c>
      <c r="P24" s="281">
        <v>19.899999999999999</v>
      </c>
      <c r="Q24" s="281">
        <v>37.799999999999997</v>
      </c>
      <c r="R24" s="281">
        <v>11.5</v>
      </c>
      <c r="S24" s="281">
        <v>11.6</v>
      </c>
      <c r="T24" s="281">
        <v>23.1</v>
      </c>
      <c r="U24" s="281">
        <v>12.6</v>
      </c>
      <c r="V24" s="281">
        <v>10.5</v>
      </c>
      <c r="W24" s="281">
        <v>23.1</v>
      </c>
      <c r="X24" s="281">
        <v>46.2</v>
      </c>
      <c r="Y24" s="281">
        <v>11.4</v>
      </c>
      <c r="Z24" s="281">
        <v>11.7</v>
      </c>
      <c r="AA24" s="281">
        <v>23.1</v>
      </c>
      <c r="AB24" s="281">
        <v>10.7</v>
      </c>
      <c r="AC24" s="281">
        <v>12.7</v>
      </c>
      <c r="AD24" s="281">
        <v>23.4</v>
      </c>
      <c r="AE24" s="281">
        <v>46.5</v>
      </c>
      <c r="AF24" s="281">
        <v>12.4</v>
      </c>
      <c r="AG24" s="281">
        <v>12.8</v>
      </c>
      <c r="AH24" s="281">
        <v>25.200000000000003</v>
      </c>
      <c r="AI24" s="281">
        <v>13.2</v>
      </c>
      <c r="AJ24" s="281">
        <v>13.5</v>
      </c>
      <c r="AK24" s="281">
        <v>26.7</v>
      </c>
      <c r="AL24" s="281">
        <v>51.9</v>
      </c>
      <c r="AM24" s="281">
        <v>12.9</v>
      </c>
      <c r="AN24" s="281">
        <v>13.5</v>
      </c>
      <c r="AO24" s="281">
        <v>26.4</v>
      </c>
      <c r="AP24" s="281">
        <v>13.2</v>
      </c>
      <c r="AQ24" s="281">
        <v>13.3</v>
      </c>
      <c r="AR24" s="281">
        <v>26.5</v>
      </c>
      <c r="AS24" s="281">
        <v>52.9</v>
      </c>
      <c r="AT24" s="320">
        <v>13.2</v>
      </c>
      <c r="AU24" s="320">
        <v>12.2</v>
      </c>
      <c r="AV24" s="320">
        <v>25.4</v>
      </c>
      <c r="AW24" s="320">
        <v>14.4</v>
      </c>
      <c r="AX24" s="320">
        <v>14.7</v>
      </c>
      <c r="AY24" s="320">
        <v>29.1</v>
      </c>
      <c r="AZ24" s="320">
        <v>54.5</v>
      </c>
      <c r="BA24" s="320">
        <v>13.3</v>
      </c>
      <c r="BB24" s="320">
        <v>12.6</v>
      </c>
      <c r="BC24" s="320">
        <v>25.9</v>
      </c>
      <c r="BD24" s="320">
        <v>14.7</v>
      </c>
      <c r="BE24" s="320">
        <v>10.8</v>
      </c>
      <c r="BF24" s="320">
        <v>25.5</v>
      </c>
      <c r="BG24" s="320">
        <v>51.4</v>
      </c>
      <c r="BH24" s="320">
        <v>13.4</v>
      </c>
      <c r="BI24" s="320">
        <v>13.200000000000001</v>
      </c>
      <c r="BJ24" s="320">
        <v>26.6</v>
      </c>
      <c r="BK24" s="320">
        <v>13.5</v>
      </c>
      <c r="BL24" s="320">
        <v>13</v>
      </c>
      <c r="BM24" s="320">
        <v>26.5</v>
      </c>
      <c r="BN24" s="320">
        <v>53.1</v>
      </c>
      <c r="BO24" s="320">
        <v>14.4</v>
      </c>
      <c r="BP24" s="320">
        <v>15.2</v>
      </c>
      <c r="BQ24" s="320">
        <v>29.6</v>
      </c>
      <c r="BR24" s="320">
        <v>15.6</v>
      </c>
      <c r="BS24" s="320">
        <v>15.699999999999998</v>
      </c>
      <c r="BT24" s="320">
        <v>31.299999999999997</v>
      </c>
      <c r="BU24" s="320">
        <v>60.9</v>
      </c>
      <c r="BV24" s="320">
        <v>14.8</v>
      </c>
      <c r="BW24" s="320">
        <v>15.2</v>
      </c>
      <c r="BX24" s="320">
        <v>30</v>
      </c>
      <c r="BY24" s="320">
        <v>17.399999999999999</v>
      </c>
      <c r="BZ24" s="320">
        <v>21.800000000000004</v>
      </c>
      <c r="CA24" s="320">
        <v>39.200000000000003</v>
      </c>
      <c r="CB24" s="281">
        <v>69.2</v>
      </c>
      <c r="CC24" s="281">
        <v>15</v>
      </c>
      <c r="CD24" s="281">
        <v>15.2</v>
      </c>
      <c r="CE24" s="281">
        <v>30.2</v>
      </c>
      <c r="CF24" s="281">
        <v>17.8</v>
      </c>
      <c r="CG24" s="281">
        <v>16.3</v>
      </c>
      <c r="CH24" s="281">
        <v>34.1</v>
      </c>
      <c r="CI24" s="281">
        <v>64.3</v>
      </c>
      <c r="CJ24" s="281">
        <v>17.100000000000001</v>
      </c>
      <c r="CK24" s="281">
        <v>18.2</v>
      </c>
      <c r="CL24" s="281">
        <v>35.299999999999997</v>
      </c>
      <c r="CM24" s="281">
        <v>18.8</v>
      </c>
      <c r="CN24" s="281">
        <v>18.399999999999999</v>
      </c>
      <c r="CO24" s="281">
        <v>37.200000000000003</v>
      </c>
      <c r="CP24" s="282">
        <v>72.5</v>
      </c>
      <c r="CQ24" s="282">
        <v>18.100000000000001</v>
      </c>
      <c r="CR24" s="282">
        <v>19.5</v>
      </c>
      <c r="CS24" s="283">
        <v>37.6</v>
      </c>
      <c r="CT24" s="282">
        <v>20.9</v>
      </c>
      <c r="CU24" s="282">
        <v>21.7</v>
      </c>
      <c r="CV24" s="283">
        <v>42.599999999999994</v>
      </c>
      <c r="CW24" s="283">
        <v>80.199999999999989</v>
      </c>
      <c r="CX24" s="282">
        <v>22</v>
      </c>
      <c r="CY24" s="282">
        <v>22</v>
      </c>
      <c r="CZ24" s="282">
        <v>44</v>
      </c>
      <c r="DA24" s="282">
        <v>22</v>
      </c>
      <c r="DB24" s="282">
        <v>22.7</v>
      </c>
      <c r="DC24" s="283">
        <v>44.7</v>
      </c>
      <c r="DD24" s="608">
        <v>88.7</v>
      </c>
      <c r="DE24" s="282">
        <v>21.2</v>
      </c>
      <c r="DF24" s="282">
        <v>21.7</v>
      </c>
      <c r="DG24" s="282">
        <v>42.9</v>
      </c>
      <c r="DH24" s="282">
        <v>21.8</v>
      </c>
      <c r="DI24" s="282">
        <v>24.399999999999995</v>
      </c>
      <c r="DJ24" s="282">
        <v>46.199999999999996</v>
      </c>
      <c r="DK24" s="608">
        <v>89.1</v>
      </c>
      <c r="DL24" s="284">
        <v>26.4</v>
      </c>
      <c r="DM24" s="282">
        <v>28.2</v>
      </c>
      <c r="DN24" s="282">
        <v>54.599999999999994</v>
      </c>
      <c r="DO24" s="282">
        <v>29.3</v>
      </c>
      <c r="DP24" s="282">
        <v>30.500000000000011</v>
      </c>
      <c r="DQ24" s="282">
        <v>59.800000000000011</v>
      </c>
      <c r="DR24" s="590">
        <v>114.4</v>
      </c>
      <c r="DS24" s="282">
        <v>30</v>
      </c>
      <c r="DT24" s="282">
        <v>32</v>
      </c>
      <c r="DU24" s="282">
        <v>62</v>
      </c>
      <c r="DV24" s="282">
        <v>32.1</v>
      </c>
      <c r="DW24" s="282">
        <v>31.999999999999993</v>
      </c>
      <c r="DX24" s="282">
        <v>64.099999999999994</v>
      </c>
      <c r="DY24" s="590">
        <v>126.1</v>
      </c>
      <c r="DZ24" s="282">
        <v>32.700000000000003</v>
      </c>
      <c r="EA24" s="282">
        <v>33.4</v>
      </c>
      <c r="EB24" s="282">
        <v>66.099999999999994</v>
      </c>
      <c r="EC24" s="282">
        <v>33.5</v>
      </c>
      <c r="ED24" s="282">
        <v>34.200000000000017</v>
      </c>
      <c r="EE24" s="282">
        <v>67.700000000000017</v>
      </c>
      <c r="EF24" s="590">
        <v>133.80000000000001</v>
      </c>
      <c r="EG24" s="282">
        <v>36.1</v>
      </c>
      <c r="EH24" s="282">
        <v>38.200000000000003</v>
      </c>
      <c r="EI24" s="282">
        <v>74.300000000000011</v>
      </c>
      <c r="EJ24" s="282">
        <v>41.2</v>
      </c>
      <c r="EK24" s="282">
        <v>45.200000000000031</v>
      </c>
      <c r="EL24" s="282">
        <v>86.400000000000034</v>
      </c>
      <c r="EM24" s="590">
        <v>160.70000000000005</v>
      </c>
      <c r="EN24" s="540">
        <v>43.6</v>
      </c>
      <c r="EO24" s="282">
        <v>58</v>
      </c>
      <c r="EP24" s="282">
        <v>101.6</v>
      </c>
      <c r="EQ24" s="547">
        <v>49.3</v>
      </c>
      <c r="ER24" s="282">
        <v>45.878000000000029</v>
      </c>
      <c r="ES24" s="282">
        <v>95.178000000000026</v>
      </c>
      <c r="ET24" s="590">
        <v>196.77800000000002</v>
      </c>
      <c r="EU24" s="282">
        <v>44.253999999999998</v>
      </c>
      <c r="EV24" s="282">
        <v>58.87</v>
      </c>
      <c r="EW24" s="282">
        <v>103.124</v>
      </c>
      <c r="EX24" s="282">
        <v>50.532499999999992</v>
      </c>
      <c r="EY24" s="282">
        <v>47.024950000000025</v>
      </c>
      <c r="EZ24" s="282">
        <v>97.557450000000017</v>
      </c>
      <c r="FA24" s="590">
        <v>200.68145000000001</v>
      </c>
      <c r="FB24" s="282">
        <v>44.917809999999996</v>
      </c>
      <c r="FC24" s="282">
        <v>59.753049999999995</v>
      </c>
      <c r="FD24" s="282">
        <v>104.67085999999999</v>
      </c>
      <c r="FE24" s="282">
        <v>51.79581249999999</v>
      </c>
      <c r="FF24" s="282">
        <v>48.200573750000025</v>
      </c>
      <c r="FG24" s="282">
        <v>99.996386250000015</v>
      </c>
      <c r="FH24" s="590">
        <v>204.66724625000001</v>
      </c>
      <c r="FI24" s="282">
        <v>45.591577149999992</v>
      </c>
      <c r="FJ24" s="282">
        <v>60.649345749999988</v>
      </c>
      <c r="FK24" s="282">
        <v>106.24092289999999</v>
      </c>
      <c r="FL24" s="282">
        <v>53.090707812499986</v>
      </c>
      <c r="FM24" s="282">
        <v>49.405588093750019</v>
      </c>
      <c r="FN24" s="282">
        <v>102.49629590625</v>
      </c>
      <c r="FO24" s="590">
        <v>208.73721880624998</v>
      </c>
      <c r="FP24" s="282">
        <v>46.275450807249989</v>
      </c>
      <c r="FQ24" s="282">
        <v>61.559085936249978</v>
      </c>
      <c r="FR24" s="282">
        <v>107.83453674349997</v>
      </c>
      <c r="FS24" s="282">
        <v>54.417975507812478</v>
      </c>
      <c r="FT24" s="282">
        <v>50.640727796093763</v>
      </c>
      <c r="FU24" s="282">
        <v>105.05870330390624</v>
      </c>
      <c r="FV24" s="590">
        <v>212.89324004740621</v>
      </c>
    </row>
    <row r="25" spans="1:189" outlineLevel="1" x14ac:dyDescent="0.3">
      <c r="B25" s="279" t="str">
        <f>B11</f>
        <v>A&amp;NZ</v>
      </c>
      <c r="C25" s="280" t="s">
        <v>226</v>
      </c>
      <c r="D25" s="27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6"/>
      <c r="AU25" s="276"/>
      <c r="AV25" s="276"/>
      <c r="AW25" s="276"/>
      <c r="AX25" s="276"/>
      <c r="AY25" s="276"/>
      <c r="AZ25" s="276"/>
      <c r="BA25" s="276"/>
      <c r="BB25" s="276"/>
      <c r="BC25" s="276"/>
      <c r="BD25" s="276"/>
      <c r="BE25" s="276"/>
      <c r="BF25" s="276"/>
      <c r="BG25" s="276"/>
      <c r="BH25" s="276"/>
      <c r="BI25" s="276"/>
      <c r="BJ25" s="276"/>
      <c r="BK25" s="276"/>
      <c r="BL25" s="276"/>
      <c r="BM25" s="276"/>
      <c r="BN25" s="276"/>
      <c r="BO25" s="276"/>
      <c r="BP25" s="276"/>
      <c r="BQ25" s="276"/>
      <c r="BR25" s="276"/>
      <c r="BS25" s="276"/>
      <c r="BT25" s="276"/>
      <c r="BU25" s="276"/>
      <c r="BV25" s="276"/>
      <c r="BW25" s="276"/>
      <c r="BX25" s="276"/>
      <c r="BY25" s="276"/>
      <c r="BZ25" s="276"/>
      <c r="CA25" s="276"/>
      <c r="CB25" s="277"/>
      <c r="CC25" s="277"/>
      <c r="CD25" s="277"/>
      <c r="CE25" s="277"/>
      <c r="CF25" s="277"/>
      <c r="CG25" s="277"/>
      <c r="CH25" s="277"/>
      <c r="CI25" s="277"/>
      <c r="CJ25" s="277"/>
      <c r="CK25" s="277"/>
      <c r="CL25" s="277"/>
      <c r="CM25" s="277"/>
      <c r="CN25" s="277"/>
      <c r="CO25" s="277"/>
      <c r="CP25" s="282"/>
      <c r="CQ25" s="282">
        <v>3.1</v>
      </c>
      <c r="CR25" s="282">
        <v>3.3</v>
      </c>
      <c r="CS25" s="283">
        <v>6.4</v>
      </c>
      <c r="CT25" s="282">
        <v>3.4</v>
      </c>
      <c r="CU25" s="282">
        <v>3</v>
      </c>
      <c r="CV25" s="283">
        <v>6.4</v>
      </c>
      <c r="CW25" s="283">
        <v>12.8</v>
      </c>
      <c r="CX25" s="282">
        <v>3</v>
      </c>
      <c r="CY25" s="282">
        <v>3.2</v>
      </c>
      <c r="CZ25" s="282">
        <v>6.2</v>
      </c>
      <c r="DA25" s="282">
        <v>3.2</v>
      </c>
      <c r="DB25" s="282">
        <v>3.3</v>
      </c>
      <c r="DC25" s="283">
        <v>6.5</v>
      </c>
      <c r="DD25" s="608">
        <v>12.7</v>
      </c>
      <c r="DE25" s="282">
        <v>2.8</v>
      </c>
      <c r="DF25" s="282">
        <v>3</v>
      </c>
      <c r="DG25" s="282">
        <v>5.8</v>
      </c>
      <c r="DH25" s="282">
        <v>3.2</v>
      </c>
      <c r="DI25" s="282">
        <v>4.9000000000000012</v>
      </c>
      <c r="DJ25" s="282">
        <v>8.1000000000000014</v>
      </c>
      <c r="DK25" s="608">
        <v>13.9</v>
      </c>
      <c r="DL25" s="284">
        <v>3.6</v>
      </c>
      <c r="DM25" s="282">
        <v>3.1</v>
      </c>
      <c r="DN25" s="282">
        <v>6.7</v>
      </c>
      <c r="DO25" s="282">
        <v>3.1</v>
      </c>
      <c r="DP25" s="282">
        <v>3.7999999999999994</v>
      </c>
      <c r="DQ25" s="282">
        <v>6.8999999999999995</v>
      </c>
      <c r="DR25" s="590">
        <v>13.6</v>
      </c>
      <c r="DS25" s="282">
        <v>3.1</v>
      </c>
      <c r="DT25" s="282">
        <v>2.9</v>
      </c>
      <c r="DU25" s="282">
        <v>6</v>
      </c>
      <c r="DV25" s="282">
        <v>3.2</v>
      </c>
      <c r="DW25" s="282">
        <v>5.4999999999999991</v>
      </c>
      <c r="DX25" s="282">
        <v>8.6999999999999993</v>
      </c>
      <c r="DY25" s="590">
        <v>14.7</v>
      </c>
      <c r="DZ25" s="282">
        <v>4.0999999999999996</v>
      </c>
      <c r="EA25" s="282">
        <v>4.2</v>
      </c>
      <c r="EB25" s="282">
        <v>8.3000000000000007</v>
      </c>
      <c r="EC25" s="282">
        <v>4.2</v>
      </c>
      <c r="ED25" s="282">
        <v>4.4999999999999991</v>
      </c>
      <c r="EE25" s="282">
        <v>8.6999999999999993</v>
      </c>
      <c r="EF25" s="590">
        <v>17</v>
      </c>
      <c r="EG25" s="282">
        <v>4.8</v>
      </c>
      <c r="EH25" s="282">
        <v>4.7</v>
      </c>
      <c r="EI25" s="282">
        <v>9.5</v>
      </c>
      <c r="EJ25" s="282">
        <v>4.9000000000000004</v>
      </c>
      <c r="EK25" s="282">
        <v>4.7999999999999883</v>
      </c>
      <c r="EL25" s="282">
        <v>9.6999999999999886</v>
      </c>
      <c r="EM25" s="590">
        <v>19.199999999999989</v>
      </c>
      <c r="EN25" s="540">
        <v>5.2</v>
      </c>
      <c r="EO25" s="282">
        <v>5.5</v>
      </c>
      <c r="EP25" s="282">
        <v>10.7</v>
      </c>
      <c r="EQ25" s="547">
        <v>5.6</v>
      </c>
      <c r="ER25" s="282">
        <v>4.9199999999999875</v>
      </c>
      <c r="ES25" s="282">
        <v>10.519999999999987</v>
      </c>
      <c r="ET25" s="590">
        <v>21.219999999999985</v>
      </c>
      <c r="EU25" s="282">
        <v>5.33</v>
      </c>
      <c r="EV25" s="282">
        <v>5.6374999999999993</v>
      </c>
      <c r="EW25" s="282">
        <v>10.967499999999999</v>
      </c>
      <c r="EX25" s="282">
        <v>5.7399999999999993</v>
      </c>
      <c r="EY25" s="282">
        <v>5.0429999999999868</v>
      </c>
      <c r="EZ25" s="282">
        <v>10.782999999999987</v>
      </c>
      <c r="FA25" s="590">
        <v>21.750499999999988</v>
      </c>
      <c r="FB25" s="282">
        <v>5.4632499999999995</v>
      </c>
      <c r="FC25" s="282">
        <v>5.778437499999999</v>
      </c>
      <c r="FD25" s="282">
        <v>11.241687499999998</v>
      </c>
      <c r="FE25" s="282">
        <v>5.8834999999999988</v>
      </c>
      <c r="FF25" s="282">
        <v>5.1690749999999861</v>
      </c>
      <c r="FG25" s="282">
        <v>11.052574999999985</v>
      </c>
      <c r="FH25" s="590">
        <v>22.294262499999981</v>
      </c>
      <c r="FI25" s="282">
        <v>5.5998312499999994</v>
      </c>
      <c r="FJ25" s="282">
        <v>5.9228984374999989</v>
      </c>
      <c r="FK25" s="282">
        <v>11.522729687499998</v>
      </c>
      <c r="FL25" s="282">
        <v>6.0305874999999984</v>
      </c>
      <c r="FM25" s="282">
        <v>5.2983018749999857</v>
      </c>
      <c r="FN25" s="282">
        <v>11.328889374999985</v>
      </c>
      <c r="FO25" s="590">
        <v>22.851619062499985</v>
      </c>
      <c r="FP25" s="282">
        <v>5.739827031249999</v>
      </c>
      <c r="FQ25" s="282">
        <v>6.0709708984374986</v>
      </c>
      <c r="FR25" s="282">
        <v>11.810797929687498</v>
      </c>
      <c r="FS25" s="282">
        <v>6.1813521874999982</v>
      </c>
      <c r="FT25" s="282">
        <v>5.4307594218749848</v>
      </c>
      <c r="FU25" s="282">
        <v>11.612111609374983</v>
      </c>
      <c r="FV25" s="590">
        <v>23.422909539062481</v>
      </c>
    </row>
    <row r="26" spans="1:189" outlineLevel="1" x14ac:dyDescent="0.3">
      <c r="B26" s="279" t="s">
        <v>643</v>
      </c>
      <c r="C26" s="280" t="s">
        <v>226</v>
      </c>
      <c r="D26" s="277"/>
      <c r="E26" s="277"/>
      <c r="F26" s="277"/>
      <c r="G26" s="27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6"/>
      <c r="AU26" s="276"/>
      <c r="AV26" s="276"/>
      <c r="AW26" s="276"/>
      <c r="AX26" s="276"/>
      <c r="AY26" s="276"/>
      <c r="AZ26" s="276"/>
      <c r="BA26" s="276"/>
      <c r="BB26" s="276"/>
      <c r="BC26" s="276"/>
      <c r="BD26" s="276"/>
      <c r="BE26" s="276"/>
      <c r="BF26" s="276"/>
      <c r="BG26" s="276"/>
      <c r="BH26" s="276"/>
      <c r="BI26" s="276"/>
      <c r="BJ26" s="276"/>
      <c r="BK26" s="276"/>
      <c r="BL26" s="276"/>
      <c r="BM26" s="276"/>
      <c r="BN26" s="276"/>
      <c r="BO26" s="276"/>
      <c r="BP26" s="276"/>
      <c r="BQ26" s="276"/>
      <c r="BR26" s="276"/>
      <c r="BS26" s="276"/>
      <c r="BT26" s="276"/>
      <c r="BU26" s="276"/>
      <c r="BV26" s="276"/>
      <c r="BW26" s="276"/>
      <c r="BX26" s="276"/>
      <c r="BY26" s="276"/>
      <c r="BZ26" s="276"/>
      <c r="CA26" s="276"/>
      <c r="CB26" s="277"/>
      <c r="CC26" s="277"/>
      <c r="CD26" s="277"/>
      <c r="CE26" s="277"/>
      <c r="CF26" s="277"/>
      <c r="CG26" s="277"/>
      <c r="CH26" s="277"/>
      <c r="CI26" s="277"/>
      <c r="CJ26" s="277"/>
      <c r="CK26" s="277"/>
      <c r="CL26" s="277"/>
      <c r="CM26" s="277"/>
      <c r="CN26" s="277"/>
      <c r="CO26" s="277"/>
      <c r="CP26" s="282"/>
      <c r="CQ26" s="282">
        <v>4.7</v>
      </c>
      <c r="CR26" s="282">
        <v>5.7</v>
      </c>
      <c r="CS26" s="283">
        <v>10.4</v>
      </c>
      <c r="CT26" s="282">
        <v>3.8</v>
      </c>
      <c r="CU26" s="282">
        <v>4.5</v>
      </c>
      <c r="CV26" s="283">
        <v>8.3000000000000007</v>
      </c>
      <c r="CW26" s="283">
        <v>18.700000000000003</v>
      </c>
      <c r="CX26" s="282">
        <v>5.4</v>
      </c>
      <c r="CY26" s="282">
        <v>5.7</v>
      </c>
      <c r="CZ26" s="282">
        <v>11.100000000000001</v>
      </c>
      <c r="DA26" s="282">
        <v>3.9</v>
      </c>
      <c r="DB26" s="282">
        <v>4.5</v>
      </c>
      <c r="DC26" s="283">
        <v>8.4</v>
      </c>
      <c r="DD26" s="608">
        <v>19.5</v>
      </c>
      <c r="DE26" s="282">
        <v>6.1</v>
      </c>
      <c r="DF26" s="282">
        <v>6.2</v>
      </c>
      <c r="DG26" s="282">
        <v>12.3</v>
      </c>
      <c r="DH26" s="282">
        <v>7.8</v>
      </c>
      <c r="DI26" s="282">
        <v>7.8999999999999995</v>
      </c>
      <c r="DJ26" s="282">
        <v>15.7</v>
      </c>
      <c r="DK26" s="608">
        <v>28</v>
      </c>
      <c r="DL26" s="284">
        <v>7.6</v>
      </c>
      <c r="DM26" s="282">
        <v>7.6</v>
      </c>
      <c r="DN26" s="282">
        <v>15.2</v>
      </c>
      <c r="DO26" s="282">
        <v>7.4</v>
      </c>
      <c r="DP26" s="282">
        <v>7.2000000000000011</v>
      </c>
      <c r="DQ26" s="282">
        <v>14.600000000000001</v>
      </c>
      <c r="DR26" s="590">
        <v>29.8</v>
      </c>
      <c r="DS26" s="282">
        <v>6.6</v>
      </c>
      <c r="DT26" s="282">
        <v>6.6</v>
      </c>
      <c r="DU26" s="282">
        <v>13.2</v>
      </c>
      <c r="DV26" s="282">
        <v>7.4</v>
      </c>
      <c r="DW26" s="282">
        <v>7.4</v>
      </c>
      <c r="DX26" s="282">
        <v>14.8</v>
      </c>
      <c r="DY26" s="590">
        <v>28</v>
      </c>
      <c r="DZ26" s="282">
        <v>7</v>
      </c>
      <c r="EA26" s="282">
        <v>6.9</v>
      </c>
      <c r="EB26" s="282">
        <v>13.9</v>
      </c>
      <c r="EC26" s="282">
        <v>7.6</v>
      </c>
      <c r="ED26" s="282">
        <v>8.1999999999999993</v>
      </c>
      <c r="EE26" s="282">
        <v>15.799999999999999</v>
      </c>
      <c r="EF26" s="590">
        <v>29.7</v>
      </c>
      <c r="EG26" s="282">
        <v>7.5</v>
      </c>
      <c r="EH26" s="282">
        <v>8.1</v>
      </c>
      <c r="EI26" s="282">
        <v>15.6</v>
      </c>
      <c r="EJ26" s="282">
        <v>8.3000000000000007</v>
      </c>
      <c r="EK26" s="282">
        <v>8.5</v>
      </c>
      <c r="EL26" s="282">
        <v>16.799999999999997</v>
      </c>
      <c r="EM26" s="590">
        <v>32.4</v>
      </c>
      <c r="EN26" s="540">
        <v>6.8</v>
      </c>
      <c r="EO26" s="282">
        <v>7.3</v>
      </c>
      <c r="EP26" s="282">
        <v>14.1</v>
      </c>
      <c r="EQ26" s="547">
        <v>7.5</v>
      </c>
      <c r="ER26" s="282">
        <v>8.67</v>
      </c>
      <c r="ES26" s="282">
        <v>16.170000000000002</v>
      </c>
      <c r="ET26" s="590">
        <v>30.270000000000003</v>
      </c>
      <c r="EU26" s="282">
        <v>6.8</v>
      </c>
      <c r="EV26" s="282">
        <v>7.3</v>
      </c>
      <c r="EW26" s="282">
        <v>14.1</v>
      </c>
      <c r="EX26" s="282">
        <v>7.5</v>
      </c>
      <c r="EY26" s="282">
        <v>8.67</v>
      </c>
      <c r="EZ26" s="282">
        <v>16.170000000000002</v>
      </c>
      <c r="FA26" s="590">
        <v>30.270000000000003</v>
      </c>
      <c r="FB26" s="282">
        <v>6.9699999999999989</v>
      </c>
      <c r="FC26" s="282">
        <v>7.482499999999999</v>
      </c>
      <c r="FD26" s="282">
        <v>14.452499999999997</v>
      </c>
      <c r="FE26" s="282">
        <v>7.6874999999999991</v>
      </c>
      <c r="FF26" s="282">
        <v>8.8867499999999993</v>
      </c>
      <c r="FG26" s="282">
        <v>16.574249999999999</v>
      </c>
      <c r="FH26" s="590">
        <v>31.026749999999996</v>
      </c>
      <c r="FI26" s="282">
        <v>7.1442499999999987</v>
      </c>
      <c r="FJ26" s="282">
        <v>7.6695624999999987</v>
      </c>
      <c r="FK26" s="282">
        <v>14.813812499999997</v>
      </c>
      <c r="FL26" s="282">
        <v>7.8796874999999984</v>
      </c>
      <c r="FM26" s="282">
        <v>9.1089187499999991</v>
      </c>
      <c r="FN26" s="282">
        <v>16.988606249999997</v>
      </c>
      <c r="FO26" s="590">
        <v>31.802418749999994</v>
      </c>
      <c r="FP26" s="282">
        <v>7.3228562499999983</v>
      </c>
      <c r="FQ26" s="282">
        <v>7.8613015624999978</v>
      </c>
      <c r="FR26" s="282">
        <v>15.184157812499997</v>
      </c>
      <c r="FS26" s="282">
        <v>8.0766796874999969</v>
      </c>
      <c r="FT26" s="282">
        <v>9.3366417187499984</v>
      </c>
      <c r="FU26" s="282">
        <v>17.413321406249995</v>
      </c>
      <c r="FV26" s="590">
        <v>32.597479218749996</v>
      </c>
    </row>
    <row r="27" spans="1:189" hidden="1" outlineLevel="1" x14ac:dyDescent="0.3">
      <c r="B27" s="279" t="s">
        <v>122</v>
      </c>
      <c r="C27" s="280" t="s">
        <v>226</v>
      </c>
      <c r="D27" s="285">
        <v>2.5</v>
      </c>
      <c r="E27" s="285">
        <v>2.2000000000000002</v>
      </c>
      <c r="F27" s="285">
        <v>4.7</v>
      </c>
      <c r="G27" s="285">
        <v>2.6</v>
      </c>
      <c r="H27" s="285">
        <v>2.6</v>
      </c>
      <c r="I27" s="285">
        <v>5.2</v>
      </c>
      <c r="J27" s="281">
        <v>10</v>
      </c>
      <c r="K27" s="281">
        <v>2.5</v>
      </c>
      <c r="L27" s="281">
        <v>2.6</v>
      </c>
      <c r="M27" s="281">
        <v>5.0999999999999996</v>
      </c>
      <c r="N27" s="281">
        <v>2.4</v>
      </c>
      <c r="O27" s="281">
        <v>2.6</v>
      </c>
      <c r="P27" s="281">
        <v>5</v>
      </c>
      <c r="Q27" s="281">
        <v>10.1</v>
      </c>
      <c r="R27" s="281">
        <v>2.7</v>
      </c>
      <c r="S27" s="281">
        <v>1.9</v>
      </c>
      <c r="T27" s="281">
        <v>4.5999999999999996</v>
      </c>
      <c r="U27" s="281">
        <v>1.8</v>
      </c>
      <c r="V27" s="281">
        <v>3.9</v>
      </c>
      <c r="W27" s="281">
        <v>5.7</v>
      </c>
      <c r="X27" s="281">
        <v>10.3</v>
      </c>
      <c r="Y27" s="281">
        <v>2.6</v>
      </c>
      <c r="Z27" s="281">
        <v>2.9</v>
      </c>
      <c r="AA27" s="281">
        <v>5.5</v>
      </c>
      <c r="AB27" s="281">
        <v>2.2999999999999998</v>
      </c>
      <c r="AC27" s="281">
        <v>2.1</v>
      </c>
      <c r="AD27" s="281">
        <v>4.4000000000000004</v>
      </c>
      <c r="AE27" s="281">
        <v>9.9</v>
      </c>
      <c r="AF27" s="281">
        <v>2.6</v>
      </c>
      <c r="AG27" s="281">
        <v>2</v>
      </c>
      <c r="AH27" s="281">
        <v>4.5999999999999996</v>
      </c>
      <c r="AI27" s="281">
        <v>2.6</v>
      </c>
      <c r="AJ27" s="281">
        <v>2.6</v>
      </c>
      <c r="AK27" s="281">
        <v>5.2</v>
      </c>
      <c r="AL27" s="281">
        <v>9.8000000000000007</v>
      </c>
      <c r="AM27" s="281">
        <v>2.5</v>
      </c>
      <c r="AN27" s="281">
        <v>2.1</v>
      </c>
      <c r="AO27" s="281">
        <v>4.5999999999999996</v>
      </c>
      <c r="AP27" s="281">
        <v>2.7</v>
      </c>
      <c r="AQ27" s="281">
        <v>2.7</v>
      </c>
      <c r="AR27" s="281">
        <v>5.4</v>
      </c>
      <c r="AS27" s="281">
        <v>10</v>
      </c>
      <c r="AT27" s="320">
        <v>3</v>
      </c>
      <c r="AU27" s="320">
        <v>2.4</v>
      </c>
      <c r="AV27" s="320">
        <v>5.4</v>
      </c>
      <c r="AW27" s="320">
        <v>2.6</v>
      </c>
      <c r="AX27" s="320">
        <v>2.7</v>
      </c>
      <c r="AY27" s="320">
        <v>5.3000000000000007</v>
      </c>
      <c r="AZ27" s="320">
        <v>10.700000000000001</v>
      </c>
      <c r="BA27" s="320">
        <v>2.1</v>
      </c>
      <c r="BB27" s="320">
        <v>2.7</v>
      </c>
      <c r="BC27" s="320">
        <v>4.8000000000000007</v>
      </c>
      <c r="BD27" s="320">
        <v>2.6</v>
      </c>
      <c r="BE27" s="320">
        <v>2.4</v>
      </c>
      <c r="BF27" s="320">
        <v>5</v>
      </c>
      <c r="BG27" s="320">
        <v>9.8000000000000007</v>
      </c>
      <c r="BH27" s="320">
        <v>2</v>
      </c>
      <c r="BI27" s="320">
        <v>2</v>
      </c>
      <c r="BJ27" s="320">
        <v>4</v>
      </c>
      <c r="BK27" s="320">
        <v>2.1</v>
      </c>
      <c r="BL27" s="320">
        <v>2.2000000000000006</v>
      </c>
      <c r="BM27" s="320">
        <v>4.3000000000000007</v>
      </c>
      <c r="BN27" s="320">
        <v>8.3000000000000007</v>
      </c>
      <c r="BO27" s="320">
        <v>2.2000000000000002</v>
      </c>
      <c r="BP27" s="320">
        <v>2.2999999999999998</v>
      </c>
      <c r="BQ27" s="320">
        <v>4.5</v>
      </c>
      <c r="BR27" s="320">
        <v>2.2999999999999998</v>
      </c>
      <c r="BS27" s="320">
        <v>3.2</v>
      </c>
      <c r="BT27" s="320">
        <v>5.5</v>
      </c>
      <c r="BU27" s="320">
        <v>10</v>
      </c>
      <c r="BV27" s="320">
        <v>2.2000000000000002</v>
      </c>
      <c r="BW27" s="320">
        <v>1.4</v>
      </c>
      <c r="BX27" s="320">
        <v>3.6</v>
      </c>
      <c r="BY27" s="320">
        <v>1.9</v>
      </c>
      <c r="BZ27" s="320">
        <v>5.0999999999999996</v>
      </c>
      <c r="CA27" s="320">
        <v>7</v>
      </c>
      <c r="CB27" s="281">
        <v>10.6</v>
      </c>
      <c r="CC27" s="281">
        <v>2.9</v>
      </c>
      <c r="CD27" s="281">
        <v>3</v>
      </c>
      <c r="CE27" s="281">
        <v>5.9</v>
      </c>
      <c r="CF27" s="281">
        <v>3</v>
      </c>
      <c r="CG27" s="281">
        <v>2.9</v>
      </c>
      <c r="CH27" s="281">
        <v>5.9</v>
      </c>
      <c r="CI27" s="281">
        <v>11.8</v>
      </c>
      <c r="CJ27" s="281">
        <v>3.1</v>
      </c>
      <c r="CK27" s="281">
        <v>3.3</v>
      </c>
      <c r="CL27" s="281">
        <v>6.4</v>
      </c>
      <c r="CM27" s="281">
        <v>3.1</v>
      </c>
      <c r="CN27" s="281">
        <v>3.1</v>
      </c>
      <c r="CO27" s="281">
        <v>6.2</v>
      </c>
      <c r="CP27" s="282">
        <v>12.600000000000001</v>
      </c>
      <c r="CQ27" s="282"/>
      <c r="CR27" s="282"/>
      <c r="CS27" s="282"/>
      <c r="CT27" s="282"/>
      <c r="CU27" s="282"/>
      <c r="CV27" s="282"/>
      <c r="CW27" s="286"/>
      <c r="CX27" s="286"/>
      <c r="CY27" s="286"/>
      <c r="CZ27" s="286"/>
      <c r="DA27" s="286"/>
      <c r="DB27" s="286"/>
      <c r="DC27" s="286"/>
      <c r="DD27" s="608"/>
      <c r="DE27" s="286"/>
      <c r="DF27" s="286"/>
      <c r="DG27" s="286"/>
      <c r="DH27" s="286"/>
      <c r="DI27" s="286"/>
      <c r="DJ27" s="286"/>
      <c r="DK27" s="608"/>
      <c r="DL27" s="287"/>
      <c r="DM27" s="286"/>
      <c r="DN27" s="286"/>
      <c r="DO27" s="286"/>
      <c r="DP27" s="286"/>
      <c r="DQ27" s="286"/>
      <c r="DR27" s="590"/>
      <c r="DS27" s="286"/>
      <c r="DT27" s="286"/>
      <c r="DU27" s="286"/>
      <c r="DV27" s="286"/>
      <c r="DW27" s="286"/>
      <c r="DX27" s="286"/>
      <c r="DY27" s="590"/>
      <c r="DZ27" s="286"/>
      <c r="EA27" s="282"/>
      <c r="EB27" s="286"/>
      <c r="EC27" s="286"/>
      <c r="ED27" s="286"/>
      <c r="EE27" s="286"/>
      <c r="EF27" s="590"/>
      <c r="EG27" s="286"/>
      <c r="EH27" s="282"/>
      <c r="EI27" s="286"/>
      <c r="EJ27" s="286"/>
      <c r="EK27" s="286"/>
      <c r="EL27" s="286"/>
      <c r="EM27" s="590"/>
      <c r="EN27" s="548"/>
      <c r="EO27" s="282"/>
      <c r="EP27" s="286"/>
      <c r="EQ27" s="549"/>
      <c r="ER27" s="286"/>
      <c r="ES27" s="286"/>
      <c r="ET27" s="590"/>
      <c r="EU27" s="286"/>
      <c r="EV27" s="286"/>
      <c r="EW27" s="286"/>
      <c r="EX27" s="286"/>
      <c r="EY27" s="286"/>
      <c r="EZ27" s="286"/>
      <c r="FA27" s="590"/>
      <c r="FB27" s="286"/>
      <c r="FC27" s="286"/>
      <c r="FD27" s="286"/>
      <c r="FE27" s="286"/>
      <c r="FF27" s="286"/>
      <c r="FG27" s="286"/>
      <c r="FH27" s="590"/>
      <c r="FI27" s="286"/>
      <c r="FJ27" s="286"/>
      <c r="FK27" s="286"/>
      <c r="FL27" s="286"/>
      <c r="FM27" s="286"/>
      <c r="FN27" s="286"/>
      <c r="FO27" s="590"/>
      <c r="FP27" s="286"/>
      <c r="FQ27" s="286"/>
      <c r="FR27" s="286"/>
      <c r="FS27" s="286"/>
      <c r="FT27" s="286"/>
      <c r="FU27" s="286"/>
      <c r="FV27" s="590"/>
    </row>
    <row r="28" spans="1:189" s="258" customFormat="1" outlineLevel="1" x14ac:dyDescent="0.3">
      <c r="B28" s="623" t="str">
        <f>B14</f>
        <v>Decking, Railing &amp; Accessories</v>
      </c>
      <c r="C28" s="624"/>
      <c r="D28" s="625"/>
      <c r="E28" s="625"/>
      <c r="F28" s="626"/>
      <c r="G28" s="625"/>
      <c r="H28" s="285"/>
      <c r="I28" s="626"/>
      <c r="J28" s="627"/>
      <c r="K28" s="627"/>
      <c r="L28" s="627"/>
      <c r="M28" s="285"/>
      <c r="N28" s="627"/>
      <c r="O28" s="285"/>
      <c r="P28" s="285"/>
      <c r="Q28" s="627"/>
      <c r="R28" s="627"/>
      <c r="S28" s="285"/>
      <c r="T28" s="285"/>
      <c r="U28" s="627"/>
      <c r="V28" s="285"/>
      <c r="W28" s="285"/>
      <c r="X28" s="285"/>
      <c r="Y28" s="627"/>
      <c r="Z28" s="285"/>
      <c r="AA28" s="285"/>
      <c r="AB28" s="627"/>
      <c r="AC28" s="285"/>
      <c r="AD28" s="285"/>
      <c r="AE28" s="285"/>
      <c r="AF28" s="627"/>
      <c r="AG28" s="285"/>
      <c r="AH28" s="285"/>
      <c r="AI28" s="627"/>
      <c r="AJ28" s="285"/>
      <c r="AK28" s="285"/>
      <c r="AL28" s="285"/>
      <c r="AM28" s="627"/>
      <c r="AN28" s="627"/>
      <c r="AO28" s="285"/>
      <c r="AP28" s="285"/>
      <c r="AQ28" s="285"/>
      <c r="AR28" s="285"/>
      <c r="AS28" s="285"/>
      <c r="AT28" s="627"/>
      <c r="AU28" s="627"/>
      <c r="AV28" s="285"/>
      <c r="AW28" s="627"/>
      <c r="AX28" s="627"/>
      <c r="AY28" s="285"/>
      <c r="AZ28" s="285"/>
      <c r="BA28" s="627"/>
      <c r="BB28" s="627"/>
      <c r="BC28" s="285"/>
      <c r="BD28" s="627"/>
      <c r="BE28" s="627"/>
      <c r="BF28" s="285"/>
      <c r="BG28" s="285"/>
      <c r="BH28" s="627"/>
      <c r="BI28" s="627"/>
      <c r="BJ28" s="285"/>
      <c r="BK28" s="627"/>
      <c r="BL28" s="627"/>
      <c r="BM28" s="285"/>
      <c r="BN28" s="285"/>
      <c r="BO28" s="627"/>
      <c r="BP28" s="627"/>
      <c r="BQ28" s="285"/>
      <c r="BR28" s="627"/>
      <c r="BS28" s="627"/>
      <c r="BT28" s="285"/>
      <c r="BU28" s="285"/>
      <c r="BV28" s="627"/>
      <c r="BW28" s="627"/>
      <c r="BX28" s="285"/>
      <c r="BY28" s="627"/>
      <c r="BZ28" s="627"/>
      <c r="CA28" s="285"/>
      <c r="CB28" s="285"/>
      <c r="CC28" s="627"/>
      <c r="CD28" s="627"/>
      <c r="CE28" s="285"/>
      <c r="CF28" s="627"/>
      <c r="CG28" s="627"/>
      <c r="CH28" s="285"/>
      <c r="CI28" s="285"/>
      <c r="CJ28" s="627"/>
      <c r="CK28" s="627"/>
      <c r="CL28" s="285"/>
      <c r="CM28" s="627"/>
      <c r="CN28" s="627"/>
      <c r="CO28" s="285"/>
      <c r="CP28" s="628"/>
      <c r="CQ28" s="629"/>
      <c r="CR28" s="629"/>
      <c r="CS28" s="628"/>
      <c r="CT28" s="629"/>
      <c r="CU28" s="630"/>
      <c r="CV28" s="628"/>
      <c r="CW28" s="628"/>
      <c r="CX28" s="630"/>
      <c r="CY28" s="629"/>
      <c r="CZ28" s="628"/>
      <c r="DA28" s="629"/>
      <c r="DB28" s="629"/>
      <c r="DC28" s="628"/>
      <c r="DD28" s="654"/>
      <c r="DE28" s="629"/>
      <c r="DF28" s="629"/>
      <c r="DG28" s="628"/>
      <c r="DH28" s="629"/>
      <c r="DI28" s="628"/>
      <c r="DJ28" s="628"/>
      <c r="DK28" s="654"/>
      <c r="DL28" s="631"/>
      <c r="DM28" s="629"/>
      <c r="DN28" s="628"/>
      <c r="DO28" s="629"/>
      <c r="DP28" s="628"/>
      <c r="DQ28" s="628"/>
      <c r="DR28" s="670"/>
      <c r="DS28" s="629"/>
      <c r="DT28" s="629"/>
      <c r="DU28" s="628"/>
      <c r="DV28" s="629"/>
      <c r="DW28" s="628"/>
      <c r="DX28" s="628"/>
      <c r="DY28" s="670"/>
      <c r="DZ28" s="629"/>
      <c r="EA28" s="629"/>
      <c r="EB28" s="628"/>
      <c r="EC28" s="629"/>
      <c r="ED28" s="628"/>
      <c r="EE28" s="628"/>
      <c r="EF28" s="670"/>
      <c r="EG28" s="629"/>
      <c r="EH28" s="629"/>
      <c r="EI28" s="628"/>
      <c r="EJ28" s="629"/>
      <c r="EK28" s="628"/>
      <c r="EL28" s="628"/>
      <c r="EM28" s="670"/>
      <c r="EN28" s="696"/>
      <c r="EO28" s="628">
        <v>15.9</v>
      </c>
      <c r="EP28" s="628">
        <f>EO28</f>
        <v>15.9</v>
      </c>
      <c r="EQ28" s="628">
        <v>25.7</v>
      </c>
      <c r="ER28" s="628">
        <v>25.7</v>
      </c>
      <c r="ES28" s="628">
        <v>51.4</v>
      </c>
      <c r="ET28" s="590">
        <f>EO28+EQ28+ER28</f>
        <v>67.3</v>
      </c>
      <c r="EU28" s="628">
        <v>26.21968</v>
      </c>
      <c r="EV28" s="628">
        <v>27.006270400000002</v>
      </c>
      <c r="EW28" s="628">
        <v>53.225950400000002</v>
      </c>
      <c r="EX28" s="628">
        <v>27.816458512000004</v>
      </c>
      <c r="EY28" s="628">
        <v>28.650952267360005</v>
      </c>
      <c r="EZ28" s="628">
        <v>56.467410779360009</v>
      </c>
      <c r="FA28" s="590">
        <v>109.69336117936001</v>
      </c>
      <c r="FB28" s="628">
        <v>27.006270400000002</v>
      </c>
      <c r="FC28" s="628">
        <v>27.816458512000004</v>
      </c>
      <c r="FD28" s="628">
        <v>54.822728912000002</v>
      </c>
      <c r="FE28" s="628">
        <v>28.650952267360005</v>
      </c>
      <c r="FF28" s="628">
        <v>29.510480835380804</v>
      </c>
      <c r="FG28" s="628">
        <v>58.161433102740808</v>
      </c>
      <c r="FH28" s="590">
        <v>112.9841620147408</v>
      </c>
      <c r="FI28" s="628">
        <v>27.816458512000004</v>
      </c>
      <c r="FJ28" s="628">
        <v>28.650952267360005</v>
      </c>
      <c r="FK28" s="628">
        <v>56.467410779360009</v>
      </c>
      <c r="FL28" s="628">
        <v>29.510480835380804</v>
      </c>
      <c r="FM28" s="628">
        <v>30.395795260442227</v>
      </c>
      <c r="FN28" s="628">
        <v>59.906276095823031</v>
      </c>
      <c r="FO28" s="590">
        <v>116.37368687518304</v>
      </c>
      <c r="FP28" s="628">
        <v>28.650952267360005</v>
      </c>
      <c r="FQ28" s="628">
        <v>29.510480835380804</v>
      </c>
      <c r="FR28" s="628">
        <v>58.161433102740808</v>
      </c>
      <c r="FS28" s="628">
        <v>30.395795260442227</v>
      </c>
      <c r="FT28" s="628">
        <v>31.307669118255497</v>
      </c>
      <c r="FU28" s="628">
        <v>61.703464378697724</v>
      </c>
      <c r="FV28" s="590">
        <v>119.86489748143853</v>
      </c>
      <c r="GB28"/>
      <c r="GC28"/>
      <c r="GD28"/>
      <c r="GE28"/>
      <c r="GF28"/>
      <c r="GG28"/>
    </row>
    <row r="29" spans="1:189" ht="10.25" customHeight="1" outlineLevel="1" x14ac:dyDescent="0.3">
      <c r="B29" s="279" t="s">
        <v>49</v>
      </c>
      <c r="C29" s="280" t="s">
        <v>226</v>
      </c>
      <c r="D29" s="289">
        <v>0.8</v>
      </c>
      <c r="E29" s="289">
        <v>0.7</v>
      </c>
      <c r="F29" s="281">
        <f>SUM(D29:E29)</f>
        <v>1.5</v>
      </c>
      <c r="G29" s="289">
        <v>0.7</v>
      </c>
      <c r="H29" s="289">
        <v>0.7</v>
      </c>
      <c r="I29" s="281">
        <f>SUM(G29:H29)</f>
        <v>1.4</v>
      </c>
      <c r="J29" s="289">
        <v>2.9</v>
      </c>
      <c r="K29" s="289">
        <v>0.6</v>
      </c>
      <c r="L29" s="289">
        <v>0.6</v>
      </c>
      <c r="M29" s="281">
        <f>SUM(K29:L29)</f>
        <v>1.2</v>
      </c>
      <c r="N29" s="289">
        <v>0.7</v>
      </c>
      <c r="O29" s="289">
        <v>0.8</v>
      </c>
      <c r="P29" s="281">
        <f>SUM(N29:O29)</f>
        <v>1.5</v>
      </c>
      <c r="Q29" s="289">
        <v>2.8</v>
      </c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  <c r="AF29" s="281"/>
      <c r="AG29" s="281"/>
      <c r="AH29" s="281"/>
      <c r="AI29" s="281"/>
      <c r="AJ29" s="281"/>
      <c r="AK29" s="281"/>
      <c r="AL29" s="281"/>
      <c r="AM29" s="281"/>
      <c r="AN29" s="281"/>
      <c r="AO29" s="281"/>
      <c r="AP29" s="281"/>
      <c r="AQ29" s="281"/>
      <c r="AR29" s="281"/>
      <c r="AS29" s="281"/>
      <c r="AT29" s="281"/>
      <c r="AU29" s="281"/>
      <c r="AV29" s="281"/>
      <c r="AW29" s="281"/>
      <c r="AX29" s="281"/>
      <c r="AY29" s="281"/>
      <c r="AZ29" s="281"/>
      <c r="BA29" s="281"/>
      <c r="BB29" s="281"/>
      <c r="BC29" s="281"/>
      <c r="BD29" s="281"/>
      <c r="BE29" s="281"/>
      <c r="BF29" s="281"/>
      <c r="BG29" s="281"/>
      <c r="BH29" s="281"/>
      <c r="BI29" s="281"/>
      <c r="BJ29" s="281"/>
      <c r="BK29" s="281"/>
      <c r="BL29" s="281"/>
      <c r="BM29" s="281"/>
      <c r="BN29" s="281"/>
      <c r="BO29" s="281"/>
      <c r="BP29" s="281"/>
      <c r="BQ29" s="281"/>
      <c r="BR29" s="281"/>
      <c r="BS29" s="281"/>
      <c r="BT29" s="281"/>
      <c r="BU29" s="281"/>
      <c r="BV29" s="289">
        <f>+(1+0.9+0.3)-BW29</f>
        <v>1.1999999999999997</v>
      </c>
      <c r="BW29" s="289">
        <f>0.5+0.4+0.1</f>
        <v>1</v>
      </c>
      <c r="BX29" s="281">
        <f>BW29+BV29</f>
        <v>2.1999999999999997</v>
      </c>
      <c r="BY29" s="281"/>
      <c r="BZ29" s="281"/>
      <c r="CA29" s="281"/>
      <c r="CB29" s="281">
        <f>CA29+BX29</f>
        <v>2.1999999999999997</v>
      </c>
      <c r="CC29" s="289">
        <f>0.5+0.4+0.7</f>
        <v>1.6</v>
      </c>
      <c r="CD29" s="289">
        <f>0.6+0.4+1.1</f>
        <v>2.1</v>
      </c>
      <c r="CE29" s="281">
        <f>CD29+CC29</f>
        <v>3.7</v>
      </c>
      <c r="CF29" s="289">
        <f>0.6+0.5+0.7</f>
        <v>1.8</v>
      </c>
      <c r="CG29" s="289">
        <f>0.5+0.3+0.7</f>
        <v>1.5</v>
      </c>
      <c r="CH29" s="281">
        <f>CG29+CF29</f>
        <v>3.3</v>
      </c>
      <c r="CI29" s="281">
        <f>CH29+CE29</f>
        <v>7</v>
      </c>
      <c r="CJ29" s="289">
        <f>0.5+0.4+0.7</f>
        <v>1.6</v>
      </c>
      <c r="CK29" s="289">
        <f>0.6+0.4+0.9</f>
        <v>1.9</v>
      </c>
      <c r="CL29" s="281">
        <f>CK29+CJ29</f>
        <v>3.5</v>
      </c>
      <c r="CM29" s="289">
        <f>0.5+0.3+0.7</f>
        <v>1.5</v>
      </c>
      <c r="CN29" s="289">
        <f>0.5+0.3+1.1</f>
        <v>1.9000000000000001</v>
      </c>
      <c r="CO29" s="281">
        <f>CN29+CM29</f>
        <v>3.4000000000000004</v>
      </c>
      <c r="CP29" s="282">
        <f>CO29+CL29</f>
        <v>6.9</v>
      </c>
      <c r="CQ29" s="290">
        <f>0.6+0.3+1.3-0.8</f>
        <v>1.4000000000000001</v>
      </c>
      <c r="CR29" s="290">
        <f>0.6+0.3+1.4</f>
        <v>2.2999999999999998</v>
      </c>
      <c r="CS29" s="283">
        <f>CR29+CQ29</f>
        <v>3.7</v>
      </c>
      <c r="CT29" s="290">
        <f>0.5+0.2+1</f>
        <v>1.7</v>
      </c>
      <c r="CU29" s="290">
        <f>0.6+0.3+0.6</f>
        <v>1.5</v>
      </c>
      <c r="CV29" s="283">
        <f>SUM(CT29:CU29)</f>
        <v>3.2</v>
      </c>
      <c r="CW29" s="283">
        <f>SUM(CS29,CV29)</f>
        <v>6.9</v>
      </c>
      <c r="CX29" s="290">
        <f>0.1+0.2+0.9</f>
        <v>1.2000000000000002</v>
      </c>
      <c r="CY29" s="290">
        <f>0.1+0.3+0.7</f>
        <v>1.1000000000000001</v>
      </c>
      <c r="CZ29" s="282">
        <f>CX29+CY29</f>
        <v>2.3000000000000003</v>
      </c>
      <c r="DA29" s="290">
        <f>0.3+0.8</f>
        <v>1.1000000000000001</v>
      </c>
      <c r="DB29" s="290">
        <f>0.6+0.3+0.6</f>
        <v>1.5</v>
      </c>
      <c r="DC29" s="283">
        <f>SUM(DA29:DB29)</f>
        <v>2.6</v>
      </c>
      <c r="DD29" s="654">
        <f>SUM(CZ29,DC29)</f>
        <v>4.9000000000000004</v>
      </c>
      <c r="DE29" s="290">
        <f>0.3+0.8</f>
        <v>1.1000000000000001</v>
      </c>
      <c r="DF29" s="290">
        <f>0.3+0.7</f>
        <v>1</v>
      </c>
      <c r="DG29" s="282">
        <f>SUM(DE29:DF29)</f>
        <v>2.1</v>
      </c>
      <c r="DH29" s="290">
        <f>0.3+0.9</f>
        <v>1.2</v>
      </c>
      <c r="DI29" s="290">
        <f>0.3+0.4</f>
        <v>0.7</v>
      </c>
      <c r="DJ29" s="282">
        <f>+DI29+DH29</f>
        <v>1.9</v>
      </c>
      <c r="DK29" s="654">
        <f>+DJ29+DG29</f>
        <v>4</v>
      </c>
      <c r="DL29" s="292">
        <f>0.3+0.5</f>
        <v>0.8</v>
      </c>
      <c r="DM29" s="290">
        <f>0.7+0.3</f>
        <v>1</v>
      </c>
      <c r="DN29" s="282">
        <f>SUM(DL29:DM29)</f>
        <v>1.8</v>
      </c>
      <c r="DO29" s="290">
        <f>0.3+1.1</f>
        <v>1.4000000000000001</v>
      </c>
      <c r="DP29" s="282">
        <f>DQ29-DO29</f>
        <v>0.8</v>
      </c>
      <c r="DQ29" s="282">
        <f>DR29-DN29</f>
        <v>2.2000000000000002</v>
      </c>
      <c r="DR29" s="670">
        <f>1.2+2.8</f>
        <v>4</v>
      </c>
      <c r="DS29" s="290">
        <f>0.3+0.5</f>
        <v>0.8</v>
      </c>
      <c r="DT29" s="290">
        <f>0.6+0.5</f>
        <v>1.1000000000000001</v>
      </c>
      <c r="DU29" s="282">
        <f>SUM(DS29:DT29)</f>
        <v>1.9000000000000001</v>
      </c>
      <c r="DV29" s="290">
        <f>0.3+0.5</f>
        <v>0.8</v>
      </c>
      <c r="DW29" s="282">
        <f>DX29-DV29</f>
        <v>1.0999999999999996</v>
      </c>
      <c r="DX29" s="282">
        <f>DY29-DU29</f>
        <v>1.8999999999999997</v>
      </c>
      <c r="DY29" s="670">
        <f>1.8+2</f>
        <v>3.8</v>
      </c>
      <c r="DZ29" s="290">
        <f>0.5+0.6</f>
        <v>1.1000000000000001</v>
      </c>
      <c r="EA29" s="290">
        <f>0.6+0.4</f>
        <v>1</v>
      </c>
      <c r="EB29" s="282">
        <f>SUM(DZ29:EA29)</f>
        <v>2.1</v>
      </c>
      <c r="EC29" s="290">
        <f>0.5+0.5</f>
        <v>1</v>
      </c>
      <c r="ED29" s="282">
        <f>EE29-EC29</f>
        <v>0.69999999999999973</v>
      </c>
      <c r="EE29" s="282">
        <f>EF29-EB29</f>
        <v>1.6999999999999997</v>
      </c>
      <c r="EF29" s="670">
        <f>1.8+2</f>
        <v>3.8</v>
      </c>
      <c r="EG29" s="290">
        <f>0.7+0.7</f>
        <v>1.4</v>
      </c>
      <c r="EH29" s="290">
        <f>0.7+0.2</f>
        <v>0.89999999999999991</v>
      </c>
      <c r="EI29" s="282">
        <f>SUM(EG29:EH29)</f>
        <v>2.2999999999999998</v>
      </c>
      <c r="EJ29" s="290">
        <f>0.5+0.2</f>
        <v>0.7</v>
      </c>
      <c r="EK29" s="282">
        <f>EL29-EJ29</f>
        <v>0.90000000000000013</v>
      </c>
      <c r="EL29" s="282">
        <f>EM29-EI29</f>
        <v>1.6</v>
      </c>
      <c r="EM29" s="670">
        <v>3.9</v>
      </c>
      <c r="EN29" s="697">
        <v>0.9</v>
      </c>
      <c r="EO29" s="282">
        <f>EO30-EO24-EO25-EO26-EO28</f>
        <v>-8.9999999999999964</v>
      </c>
      <c r="EP29" s="282">
        <f>SUM(EN29:EO29)</f>
        <v>-8.0999999999999961</v>
      </c>
      <c r="EQ29" s="282">
        <f>EQ30-EQ24-EQ25-EQ26-EQ28</f>
        <v>1.8999999999999737</v>
      </c>
      <c r="ER29" s="282">
        <f>ES29-EQ29</f>
        <v>10.100000000000023</v>
      </c>
      <c r="ES29" s="282">
        <f>ET29-EP29</f>
        <v>11.999999999999996</v>
      </c>
      <c r="ET29" s="590">
        <f>EM29</f>
        <v>3.9</v>
      </c>
      <c r="EU29" s="282">
        <f>EW29/2</f>
        <v>0.97499999999999998</v>
      </c>
      <c r="EV29" s="282">
        <f>EW29-EU29</f>
        <v>0.97499999999999998</v>
      </c>
      <c r="EW29" s="282">
        <f>FA29/2</f>
        <v>1.95</v>
      </c>
      <c r="EX29" s="282">
        <f>EZ29/2</f>
        <v>0.97499999999999998</v>
      </c>
      <c r="EY29" s="282">
        <f>EZ29-EX29</f>
        <v>0.97499999999999998</v>
      </c>
      <c r="EZ29" s="282">
        <f>FA29-EW29</f>
        <v>1.95</v>
      </c>
      <c r="FA29" s="590">
        <f>ET29</f>
        <v>3.9</v>
      </c>
      <c r="FB29" s="282">
        <f>FD29/2</f>
        <v>0.97499999999999998</v>
      </c>
      <c r="FC29" s="282">
        <f>FD29-FB29</f>
        <v>0.97499999999999998</v>
      </c>
      <c r="FD29" s="282">
        <f>FH29/2</f>
        <v>1.95</v>
      </c>
      <c r="FE29" s="282">
        <f>FG29/2</f>
        <v>0.97499999999999998</v>
      </c>
      <c r="FF29" s="282">
        <f>FG29-FE29</f>
        <v>0.97499999999999998</v>
      </c>
      <c r="FG29" s="282">
        <f>FH29-FD29</f>
        <v>1.95</v>
      </c>
      <c r="FH29" s="590">
        <f>FA29</f>
        <v>3.9</v>
      </c>
      <c r="FI29" s="282">
        <f>FK29/2</f>
        <v>0.97499999999999998</v>
      </c>
      <c r="FJ29" s="282">
        <f>FK29-FI29</f>
        <v>0.97499999999999998</v>
      </c>
      <c r="FK29" s="282">
        <f>FO29/2</f>
        <v>1.95</v>
      </c>
      <c r="FL29" s="282">
        <f>FN29/2</f>
        <v>0.97499999999999998</v>
      </c>
      <c r="FM29" s="282">
        <f>FN29-FL29</f>
        <v>0.97499999999999998</v>
      </c>
      <c r="FN29" s="282">
        <f>FO29-FK29</f>
        <v>1.95</v>
      </c>
      <c r="FO29" s="590">
        <f>FH29</f>
        <v>3.9</v>
      </c>
      <c r="FP29" s="282">
        <f>FR29/2</f>
        <v>0.97499999999999998</v>
      </c>
      <c r="FQ29" s="282">
        <f>FR29-FP29</f>
        <v>0.97499999999999998</v>
      </c>
      <c r="FR29" s="282">
        <f>FV29/2</f>
        <v>1.95</v>
      </c>
      <c r="FS29" s="282">
        <f>FU29/2</f>
        <v>0.97499999999999998</v>
      </c>
      <c r="FT29" s="282">
        <f>FU29-FS29</f>
        <v>0.97499999999999998</v>
      </c>
      <c r="FU29" s="282">
        <f>FV29-FR29</f>
        <v>1.95</v>
      </c>
      <c r="FV29" s="590">
        <f>FO29</f>
        <v>3.9</v>
      </c>
    </row>
    <row r="30" spans="1:189" outlineLevel="1" x14ac:dyDescent="0.3">
      <c r="A30" s="302"/>
      <c r="B30" s="321" t="s">
        <v>418</v>
      </c>
      <c r="C30" s="294" t="s">
        <v>226</v>
      </c>
      <c r="D30" s="322">
        <f t="shared" ref="D30:AS30" si="39">SUM(D24:D29)</f>
        <v>9.4</v>
      </c>
      <c r="E30" s="322">
        <f t="shared" si="39"/>
        <v>13.099999999999998</v>
      </c>
      <c r="F30" s="322">
        <f t="shared" si="39"/>
        <v>22.499999999999996</v>
      </c>
      <c r="G30" s="322">
        <f t="shared" si="39"/>
        <v>11.299999999999999</v>
      </c>
      <c r="H30" s="322">
        <f t="shared" si="39"/>
        <v>11.499999999999998</v>
      </c>
      <c r="I30" s="322">
        <f t="shared" si="39"/>
        <v>22.799999999999997</v>
      </c>
      <c r="J30" s="322">
        <f t="shared" si="39"/>
        <v>45.3</v>
      </c>
      <c r="K30" s="322">
        <f t="shared" si="39"/>
        <v>11</v>
      </c>
      <c r="L30" s="322">
        <f t="shared" si="39"/>
        <v>13.2</v>
      </c>
      <c r="M30" s="322">
        <f t="shared" si="39"/>
        <v>24.2</v>
      </c>
      <c r="N30" s="322">
        <f t="shared" si="39"/>
        <v>12.799999999999999</v>
      </c>
      <c r="O30" s="322">
        <f t="shared" si="39"/>
        <v>13.6</v>
      </c>
      <c r="P30" s="322">
        <f t="shared" si="39"/>
        <v>26.4</v>
      </c>
      <c r="Q30" s="322">
        <f t="shared" si="39"/>
        <v>50.699999999999996</v>
      </c>
      <c r="R30" s="322">
        <f t="shared" si="39"/>
        <v>14.2</v>
      </c>
      <c r="S30" s="322">
        <f t="shared" si="39"/>
        <v>13.5</v>
      </c>
      <c r="T30" s="322">
        <f t="shared" si="39"/>
        <v>27.700000000000003</v>
      </c>
      <c r="U30" s="322">
        <f t="shared" si="39"/>
        <v>14.4</v>
      </c>
      <c r="V30" s="322">
        <f t="shared" si="39"/>
        <v>14.4</v>
      </c>
      <c r="W30" s="322">
        <f t="shared" si="39"/>
        <v>28.8</v>
      </c>
      <c r="X30" s="322">
        <f t="shared" si="39"/>
        <v>56.5</v>
      </c>
      <c r="Y30" s="322">
        <f t="shared" si="39"/>
        <v>14</v>
      </c>
      <c r="Z30" s="322">
        <f t="shared" si="39"/>
        <v>14.6</v>
      </c>
      <c r="AA30" s="322">
        <f t="shared" si="39"/>
        <v>28.6</v>
      </c>
      <c r="AB30" s="322">
        <f t="shared" si="39"/>
        <v>13</v>
      </c>
      <c r="AC30" s="322">
        <f t="shared" si="39"/>
        <v>14.799999999999999</v>
      </c>
      <c r="AD30" s="322">
        <f t="shared" si="39"/>
        <v>27.799999999999997</v>
      </c>
      <c r="AE30" s="322">
        <f t="shared" si="39"/>
        <v>56.4</v>
      </c>
      <c r="AF30" s="322">
        <f t="shared" si="39"/>
        <v>15</v>
      </c>
      <c r="AG30" s="322">
        <f t="shared" si="39"/>
        <v>14.8</v>
      </c>
      <c r="AH30" s="322">
        <f t="shared" si="39"/>
        <v>29.800000000000004</v>
      </c>
      <c r="AI30" s="322">
        <f t="shared" si="39"/>
        <v>15.799999999999999</v>
      </c>
      <c r="AJ30" s="322">
        <f t="shared" si="39"/>
        <v>16.100000000000001</v>
      </c>
      <c r="AK30" s="322">
        <f t="shared" si="39"/>
        <v>31.9</v>
      </c>
      <c r="AL30" s="322">
        <f t="shared" si="39"/>
        <v>61.7</v>
      </c>
      <c r="AM30" s="322">
        <f t="shared" si="39"/>
        <v>15.4</v>
      </c>
      <c r="AN30" s="322">
        <f t="shared" si="39"/>
        <v>15.6</v>
      </c>
      <c r="AO30" s="322">
        <f t="shared" si="39"/>
        <v>31</v>
      </c>
      <c r="AP30" s="322">
        <f t="shared" si="39"/>
        <v>15.899999999999999</v>
      </c>
      <c r="AQ30" s="322">
        <f t="shared" si="39"/>
        <v>16</v>
      </c>
      <c r="AR30" s="322">
        <f t="shared" si="39"/>
        <v>31.9</v>
      </c>
      <c r="AS30" s="322">
        <f t="shared" si="39"/>
        <v>62.9</v>
      </c>
      <c r="AT30" s="323">
        <v>16.2</v>
      </c>
      <c r="AU30" s="322">
        <f t="shared" ref="AU30:CP30" si="40">SUM(AU24:AU29)</f>
        <v>14.6</v>
      </c>
      <c r="AV30" s="322">
        <f t="shared" si="40"/>
        <v>30.799999999999997</v>
      </c>
      <c r="AW30" s="322">
        <f t="shared" si="40"/>
        <v>17</v>
      </c>
      <c r="AX30" s="322">
        <f t="shared" si="40"/>
        <v>17.399999999999999</v>
      </c>
      <c r="AY30" s="322">
        <f t="shared" si="40"/>
        <v>34.400000000000006</v>
      </c>
      <c r="AZ30" s="322">
        <f t="shared" si="40"/>
        <v>65.2</v>
      </c>
      <c r="BA30" s="322">
        <f t="shared" si="40"/>
        <v>15.4</v>
      </c>
      <c r="BB30" s="322">
        <f t="shared" si="40"/>
        <v>15.3</v>
      </c>
      <c r="BC30" s="322">
        <f t="shared" si="40"/>
        <v>30.7</v>
      </c>
      <c r="BD30" s="322">
        <f t="shared" si="40"/>
        <v>17.3</v>
      </c>
      <c r="BE30" s="322">
        <f t="shared" si="40"/>
        <v>13.200000000000001</v>
      </c>
      <c r="BF30" s="322">
        <f t="shared" si="40"/>
        <v>30.5</v>
      </c>
      <c r="BG30" s="322">
        <f t="shared" si="40"/>
        <v>61.2</v>
      </c>
      <c r="BH30" s="322">
        <f t="shared" si="40"/>
        <v>15.4</v>
      </c>
      <c r="BI30" s="322">
        <f t="shared" si="40"/>
        <v>15.200000000000001</v>
      </c>
      <c r="BJ30" s="322">
        <f t="shared" si="40"/>
        <v>30.6</v>
      </c>
      <c r="BK30" s="322">
        <f t="shared" si="40"/>
        <v>15.6</v>
      </c>
      <c r="BL30" s="322">
        <f t="shared" si="40"/>
        <v>15.200000000000001</v>
      </c>
      <c r="BM30" s="322">
        <f t="shared" si="40"/>
        <v>30.8</v>
      </c>
      <c r="BN30" s="322">
        <f t="shared" si="40"/>
        <v>61.400000000000006</v>
      </c>
      <c r="BO30" s="322">
        <f t="shared" si="40"/>
        <v>16.600000000000001</v>
      </c>
      <c r="BP30" s="322">
        <f t="shared" si="40"/>
        <v>17.5</v>
      </c>
      <c r="BQ30" s="322">
        <f t="shared" si="40"/>
        <v>34.1</v>
      </c>
      <c r="BR30" s="322">
        <f t="shared" si="40"/>
        <v>17.899999999999999</v>
      </c>
      <c r="BS30" s="322">
        <f t="shared" si="40"/>
        <v>18.899999999999999</v>
      </c>
      <c r="BT30" s="322">
        <f t="shared" si="40"/>
        <v>36.799999999999997</v>
      </c>
      <c r="BU30" s="322">
        <f t="shared" si="40"/>
        <v>70.900000000000006</v>
      </c>
      <c r="BV30" s="322">
        <f t="shared" si="40"/>
        <v>18.2</v>
      </c>
      <c r="BW30" s="322">
        <f t="shared" si="40"/>
        <v>17.599999999999998</v>
      </c>
      <c r="BX30" s="322">
        <f t="shared" si="40"/>
        <v>35.800000000000004</v>
      </c>
      <c r="BY30" s="322">
        <f t="shared" si="40"/>
        <v>19.299999999999997</v>
      </c>
      <c r="BZ30" s="322">
        <f t="shared" si="40"/>
        <v>26.900000000000006</v>
      </c>
      <c r="CA30" s="322">
        <f t="shared" si="40"/>
        <v>46.2</v>
      </c>
      <c r="CB30" s="297">
        <f t="shared" si="40"/>
        <v>82</v>
      </c>
      <c r="CC30" s="297">
        <f t="shared" si="40"/>
        <v>19.5</v>
      </c>
      <c r="CD30" s="297">
        <f t="shared" si="40"/>
        <v>20.3</v>
      </c>
      <c r="CE30" s="297">
        <f t="shared" si="40"/>
        <v>39.800000000000004</v>
      </c>
      <c r="CF30" s="297">
        <f t="shared" si="40"/>
        <v>22.6</v>
      </c>
      <c r="CG30" s="297">
        <f t="shared" si="40"/>
        <v>20.7</v>
      </c>
      <c r="CH30" s="297">
        <f t="shared" si="40"/>
        <v>43.3</v>
      </c>
      <c r="CI30" s="297">
        <f t="shared" si="40"/>
        <v>83.1</v>
      </c>
      <c r="CJ30" s="297">
        <f t="shared" si="40"/>
        <v>21.800000000000004</v>
      </c>
      <c r="CK30" s="297">
        <f t="shared" si="40"/>
        <v>23.4</v>
      </c>
      <c r="CL30" s="297">
        <f t="shared" si="40"/>
        <v>45.199999999999996</v>
      </c>
      <c r="CM30" s="297">
        <f t="shared" si="40"/>
        <v>23.400000000000002</v>
      </c>
      <c r="CN30" s="297">
        <f t="shared" si="40"/>
        <v>23.4</v>
      </c>
      <c r="CO30" s="297">
        <f t="shared" si="40"/>
        <v>46.800000000000004</v>
      </c>
      <c r="CP30" s="299">
        <f t="shared" si="40"/>
        <v>92</v>
      </c>
      <c r="CQ30" s="300">
        <f t="shared" ref="CQ30:DV30" si="41">SUM(CQ24:CQ26,CQ29)</f>
        <v>27.3</v>
      </c>
      <c r="CR30" s="300">
        <f t="shared" si="41"/>
        <v>30.8</v>
      </c>
      <c r="CS30" s="300">
        <f t="shared" si="41"/>
        <v>58.1</v>
      </c>
      <c r="CT30" s="300">
        <f t="shared" si="41"/>
        <v>29.799999999999997</v>
      </c>
      <c r="CU30" s="300">
        <f t="shared" si="41"/>
        <v>30.7</v>
      </c>
      <c r="CV30" s="300">
        <f t="shared" si="41"/>
        <v>60.5</v>
      </c>
      <c r="CW30" s="300">
        <f t="shared" si="41"/>
        <v>118.6</v>
      </c>
      <c r="CX30" s="299">
        <f t="shared" si="41"/>
        <v>31.599999999999998</v>
      </c>
      <c r="CY30" s="299">
        <f t="shared" si="41"/>
        <v>32</v>
      </c>
      <c r="CZ30" s="299">
        <f t="shared" si="41"/>
        <v>63.6</v>
      </c>
      <c r="DA30" s="299">
        <f t="shared" si="41"/>
        <v>30.2</v>
      </c>
      <c r="DB30" s="299">
        <f t="shared" si="41"/>
        <v>32</v>
      </c>
      <c r="DC30" s="299">
        <f t="shared" si="41"/>
        <v>62.2</v>
      </c>
      <c r="DD30" s="655">
        <f t="shared" si="41"/>
        <v>125.80000000000001</v>
      </c>
      <c r="DE30" s="300">
        <f t="shared" si="41"/>
        <v>31.200000000000003</v>
      </c>
      <c r="DF30" s="299">
        <f t="shared" si="41"/>
        <v>31.9</v>
      </c>
      <c r="DG30" s="299">
        <f t="shared" si="41"/>
        <v>63.1</v>
      </c>
      <c r="DH30" s="299">
        <f t="shared" si="41"/>
        <v>34</v>
      </c>
      <c r="DI30" s="299">
        <f t="shared" si="41"/>
        <v>37.9</v>
      </c>
      <c r="DJ30" s="299">
        <f t="shared" si="41"/>
        <v>71.900000000000006</v>
      </c>
      <c r="DK30" s="655">
        <f t="shared" si="41"/>
        <v>135</v>
      </c>
      <c r="DL30" s="301">
        <f t="shared" si="41"/>
        <v>38.4</v>
      </c>
      <c r="DM30" s="299">
        <f t="shared" si="41"/>
        <v>39.9</v>
      </c>
      <c r="DN30" s="299">
        <f t="shared" si="41"/>
        <v>78.3</v>
      </c>
      <c r="DO30" s="300">
        <f t="shared" si="41"/>
        <v>41.199999999999996</v>
      </c>
      <c r="DP30" s="299">
        <f t="shared" si="41"/>
        <v>42.300000000000011</v>
      </c>
      <c r="DQ30" s="299">
        <f t="shared" si="41"/>
        <v>83.500000000000014</v>
      </c>
      <c r="DR30" s="591">
        <f t="shared" si="41"/>
        <v>161.80000000000001</v>
      </c>
      <c r="DS30" s="299">
        <f t="shared" si="41"/>
        <v>40.5</v>
      </c>
      <c r="DT30" s="299">
        <f t="shared" si="41"/>
        <v>42.6</v>
      </c>
      <c r="DU30" s="299">
        <f t="shared" si="41"/>
        <v>83.100000000000009</v>
      </c>
      <c r="DV30" s="306">
        <f t="shared" si="41"/>
        <v>43.5</v>
      </c>
      <c r="DW30" s="299">
        <f t="shared" ref="DW30:EL30" si="42">SUM(DW24:DW26,DW29)</f>
        <v>45.999999999999993</v>
      </c>
      <c r="DX30" s="299">
        <f t="shared" si="42"/>
        <v>89.5</v>
      </c>
      <c r="DY30" s="591">
        <f t="shared" si="42"/>
        <v>172.6</v>
      </c>
      <c r="DZ30" s="299">
        <f t="shared" si="42"/>
        <v>44.900000000000006</v>
      </c>
      <c r="EA30" s="299">
        <f t="shared" si="42"/>
        <v>45.5</v>
      </c>
      <c r="EB30" s="299">
        <f t="shared" si="42"/>
        <v>90.399999999999991</v>
      </c>
      <c r="EC30" s="306">
        <f t="shared" si="42"/>
        <v>46.300000000000004</v>
      </c>
      <c r="ED30" s="299">
        <f t="shared" si="42"/>
        <v>47.600000000000023</v>
      </c>
      <c r="EE30" s="299">
        <f t="shared" si="42"/>
        <v>93.90000000000002</v>
      </c>
      <c r="EF30" s="591">
        <f t="shared" si="42"/>
        <v>184.3</v>
      </c>
      <c r="EG30" s="299">
        <f t="shared" si="42"/>
        <v>49.8</v>
      </c>
      <c r="EH30" s="299">
        <f t="shared" si="42"/>
        <v>51.900000000000006</v>
      </c>
      <c r="EI30" s="299">
        <f t="shared" si="42"/>
        <v>101.7</v>
      </c>
      <c r="EJ30" s="306">
        <f t="shared" si="42"/>
        <v>55.100000000000009</v>
      </c>
      <c r="EK30" s="299">
        <f t="shared" si="42"/>
        <v>59.40000000000002</v>
      </c>
      <c r="EL30" s="299">
        <f t="shared" si="42"/>
        <v>114.50000000000001</v>
      </c>
      <c r="EM30" s="591">
        <f>SUM(EM24:EM26,EM29)</f>
        <v>216.20000000000005</v>
      </c>
      <c r="EN30" s="330">
        <f t="shared" ref="EN30" si="43">SUM(EN24:EN26,EN29)</f>
        <v>56.5</v>
      </c>
      <c r="EO30" s="329">
        <v>77.7</v>
      </c>
      <c r="EP30" s="300">
        <f>SUM(EP24:EP28,EP29)</f>
        <v>134.19999999999999</v>
      </c>
      <c r="EQ30" s="711">
        <f>EQ36-EQ48</f>
        <v>89.999999999999972</v>
      </c>
      <c r="ER30" s="299">
        <f t="shared" ref="ER30:FV30" si="44">SUM(ER24:ER26,ER28,ER29)</f>
        <v>95.268000000000043</v>
      </c>
      <c r="ES30" s="299">
        <f t="shared" si="44"/>
        <v>185.268</v>
      </c>
      <c r="ET30" s="591">
        <f>SUM(ET24:ET26,ET28,ET29)</f>
        <v>319.46799999999996</v>
      </c>
      <c r="EU30" s="299">
        <f t="shared" si="44"/>
        <v>83.578679999999991</v>
      </c>
      <c r="EV30" s="299">
        <f t="shared" si="44"/>
        <v>99.78877039999999</v>
      </c>
      <c r="EW30" s="299">
        <f t="shared" si="44"/>
        <v>183.3674504</v>
      </c>
      <c r="EX30" s="299">
        <f t="shared" si="44"/>
        <v>92.563958511999999</v>
      </c>
      <c r="EY30" s="299">
        <f t="shared" si="44"/>
        <v>90.363902267360004</v>
      </c>
      <c r="EZ30" s="299">
        <f t="shared" si="44"/>
        <v>182.92786077936</v>
      </c>
      <c r="FA30" s="591">
        <f t="shared" si="44"/>
        <v>366.29531117936</v>
      </c>
      <c r="FB30" s="299">
        <f t="shared" si="44"/>
        <v>85.332330399999989</v>
      </c>
      <c r="FC30" s="299">
        <f t="shared" si="44"/>
        <v>101.805446012</v>
      </c>
      <c r="FD30" s="299">
        <f t="shared" si="44"/>
        <v>187.13777641199997</v>
      </c>
      <c r="FE30" s="299">
        <f t="shared" si="44"/>
        <v>94.992764767359972</v>
      </c>
      <c r="FF30" s="299">
        <f t="shared" si="44"/>
        <v>92.741879585380815</v>
      </c>
      <c r="FG30" s="299">
        <f t="shared" si="44"/>
        <v>187.73464435274079</v>
      </c>
      <c r="FH30" s="591">
        <f t="shared" si="44"/>
        <v>374.87242076474081</v>
      </c>
      <c r="FI30" s="299">
        <f t="shared" si="44"/>
        <v>87.127116911999991</v>
      </c>
      <c r="FJ30" s="299">
        <f t="shared" si="44"/>
        <v>103.86775895485999</v>
      </c>
      <c r="FK30" s="299">
        <f t="shared" si="44"/>
        <v>190.99487586686001</v>
      </c>
      <c r="FL30" s="299">
        <f t="shared" si="44"/>
        <v>97.486463647880782</v>
      </c>
      <c r="FM30" s="299">
        <f t="shared" si="44"/>
        <v>95.183603979192227</v>
      </c>
      <c r="FN30" s="299">
        <f t="shared" si="44"/>
        <v>192.67006762707302</v>
      </c>
      <c r="FO30" s="591">
        <f t="shared" si="44"/>
        <v>383.66494349393304</v>
      </c>
      <c r="FP30" s="299">
        <f t="shared" si="44"/>
        <v>88.96408635585999</v>
      </c>
      <c r="FQ30" s="299">
        <f t="shared" si="44"/>
        <v>105.97683923256828</v>
      </c>
      <c r="FR30" s="299">
        <f t="shared" si="44"/>
        <v>194.94092558842826</v>
      </c>
      <c r="FS30" s="299">
        <f t="shared" si="44"/>
        <v>100.04680264325469</v>
      </c>
      <c r="FT30" s="299">
        <f t="shared" si="44"/>
        <v>97.690798054974238</v>
      </c>
      <c r="FU30" s="299">
        <f t="shared" si="44"/>
        <v>197.73760069822893</v>
      </c>
      <c r="FV30" s="591">
        <f t="shared" si="44"/>
        <v>392.67852628665719</v>
      </c>
      <c r="FW30" s="632"/>
      <c r="FX30" s="634"/>
      <c r="FY30" s="634"/>
      <c r="FZ30" s="634"/>
      <c r="GA30" s="634"/>
    </row>
    <row r="31" spans="1:189" outlineLevel="1" x14ac:dyDescent="0.3">
      <c r="B31" s="279" t="str">
        <f>B10</f>
        <v>Siding &amp; Triming</v>
      </c>
      <c r="C31" s="280" t="s">
        <v>226</v>
      </c>
      <c r="D31" s="289"/>
      <c r="E31" s="289"/>
      <c r="F31" s="281"/>
      <c r="G31" s="289"/>
      <c r="H31" s="281"/>
      <c r="I31" s="281"/>
      <c r="J31" s="289"/>
      <c r="K31" s="289"/>
      <c r="L31" s="289"/>
      <c r="M31" s="281"/>
      <c r="N31" s="289"/>
      <c r="O31" s="281"/>
      <c r="P31" s="281"/>
      <c r="Q31" s="289"/>
      <c r="R31" s="289"/>
      <c r="S31" s="289"/>
      <c r="T31" s="281"/>
      <c r="U31" s="289"/>
      <c r="V31" s="281"/>
      <c r="W31" s="281"/>
      <c r="X31" s="289"/>
      <c r="Y31" s="289"/>
      <c r="Z31" s="289"/>
      <c r="AA31" s="281"/>
      <c r="AB31" s="289"/>
      <c r="AC31" s="281"/>
      <c r="AD31" s="281"/>
      <c r="AE31" s="289"/>
      <c r="AF31" s="289"/>
      <c r="AG31" s="289"/>
      <c r="AH31" s="281"/>
      <c r="AI31" s="289"/>
      <c r="AJ31" s="281"/>
      <c r="AK31" s="281"/>
      <c r="AL31" s="289"/>
      <c r="AM31" s="289"/>
      <c r="AN31" s="289"/>
      <c r="AO31" s="281"/>
      <c r="AP31" s="289"/>
      <c r="AQ31" s="289"/>
      <c r="AR31" s="281"/>
      <c r="AS31" s="281"/>
      <c r="AT31" s="289"/>
      <c r="AU31" s="289"/>
      <c r="AV31" s="281"/>
      <c r="AW31" s="289"/>
      <c r="AX31" s="281"/>
      <c r="AY31" s="281"/>
      <c r="AZ31" s="289"/>
      <c r="BA31" s="289"/>
      <c r="BB31" s="289"/>
      <c r="BC31" s="281"/>
      <c r="BD31" s="289"/>
      <c r="BE31" s="281"/>
      <c r="BF31" s="281"/>
      <c r="BG31" s="281"/>
      <c r="BH31" s="289"/>
      <c r="BI31" s="289"/>
      <c r="BJ31" s="281"/>
      <c r="BK31" s="289"/>
      <c r="BL31" s="281"/>
      <c r="BM31" s="281"/>
      <c r="BN31" s="281"/>
      <c r="BO31" s="289"/>
      <c r="BP31" s="289"/>
      <c r="BQ31" s="281"/>
      <c r="BR31" s="289"/>
      <c r="BS31" s="281"/>
      <c r="BT31" s="281"/>
      <c r="BU31" s="281"/>
      <c r="BV31" s="289"/>
      <c r="BW31" s="289"/>
      <c r="BX31" s="281"/>
      <c r="BY31" s="289"/>
      <c r="BZ31" s="289"/>
      <c r="CA31" s="281"/>
      <c r="CB31" s="281"/>
      <c r="CC31" s="289"/>
      <c r="CD31" s="289"/>
      <c r="CE31" s="281"/>
      <c r="CF31" s="289"/>
      <c r="CG31" s="289"/>
      <c r="CH31" s="281"/>
      <c r="CI31" s="281"/>
      <c r="CJ31" s="289"/>
      <c r="CK31" s="289"/>
      <c r="CL31" s="281"/>
      <c r="CM31" s="289"/>
      <c r="CN31" s="289"/>
      <c r="CO31" s="281"/>
      <c r="CP31" s="282"/>
      <c r="CQ31" s="290"/>
      <c r="CR31" s="290"/>
      <c r="CS31" s="282"/>
      <c r="CT31" s="290"/>
      <c r="CU31" s="291"/>
      <c r="CV31" s="282"/>
      <c r="CW31" s="282"/>
      <c r="CX31" s="316"/>
      <c r="CY31" s="317"/>
      <c r="CZ31" s="283"/>
      <c r="DA31" s="317"/>
      <c r="DB31" s="317"/>
      <c r="DC31" s="283"/>
      <c r="DD31" s="654"/>
      <c r="DE31" s="290"/>
      <c r="DF31" s="290"/>
      <c r="DG31" s="283"/>
      <c r="DH31" s="317"/>
      <c r="DI31" s="282"/>
      <c r="DJ31" s="282"/>
      <c r="DK31" s="654"/>
      <c r="DL31" s="292"/>
      <c r="DM31" s="290"/>
      <c r="DN31" s="283"/>
      <c r="DO31" s="290"/>
      <c r="DP31" s="282"/>
      <c r="DQ31" s="282"/>
      <c r="DR31" s="670"/>
      <c r="DS31" s="290"/>
      <c r="DT31" s="290"/>
      <c r="DU31" s="282"/>
      <c r="DV31" s="290"/>
      <c r="DW31" s="282"/>
      <c r="DX31" s="282"/>
      <c r="DY31" s="670"/>
      <c r="DZ31" s="290"/>
      <c r="EA31" s="290"/>
      <c r="EB31" s="282"/>
      <c r="EC31" s="290"/>
      <c r="ED31" s="282"/>
      <c r="EE31" s="282"/>
      <c r="EF31" s="590">
        <v>1054.9000000000001</v>
      </c>
      <c r="EG31" s="590">
        <v>263.40000000000003</v>
      </c>
      <c r="EH31" s="590">
        <v>240.10000000000002</v>
      </c>
      <c r="EI31" s="590">
        <v>503.50000000000006</v>
      </c>
      <c r="EJ31" s="590">
        <v>250.5</v>
      </c>
      <c r="EK31" s="590">
        <v>247.59999999999997</v>
      </c>
      <c r="EL31" s="590">
        <v>498.09999999999997</v>
      </c>
      <c r="EM31" s="590">
        <v>1001.6</v>
      </c>
      <c r="EN31" s="628">
        <v>205.8</v>
      </c>
      <c r="EO31" s="673">
        <v>224</v>
      </c>
      <c r="EP31" s="590">
        <v>429.80000000000007</v>
      </c>
      <c r="EQ31" s="695">
        <v>268.60000000000002</v>
      </c>
      <c r="ER31" s="628">
        <v>259.32326895894022</v>
      </c>
      <c r="ES31" s="628">
        <v>543.39066895894018</v>
      </c>
      <c r="ET31" s="590">
        <v>957.72326895894025</v>
      </c>
      <c r="EU31" s="628">
        <v>240.38970927217414</v>
      </c>
      <c r="EV31" s="628">
        <v>264.12241174609386</v>
      </c>
      <c r="EW31" s="628">
        <v>504.51212101826798</v>
      </c>
      <c r="EX31" s="628">
        <v>305.62441493066166</v>
      </c>
      <c r="EY31" s="628">
        <v>278.78965550577141</v>
      </c>
      <c r="EZ31" s="628">
        <v>584.41407043643312</v>
      </c>
      <c r="FA31" s="590">
        <v>1088.926191454701</v>
      </c>
      <c r="FB31" s="628">
        <v>265.0095938540419</v>
      </c>
      <c r="FC31" s="628">
        <v>290.2568535611918</v>
      </c>
      <c r="FD31" s="628">
        <v>555.26644741523364</v>
      </c>
      <c r="FE31" s="628">
        <v>337.7583391185459</v>
      </c>
      <c r="FF31" s="628">
        <v>307.20802779168213</v>
      </c>
      <c r="FG31" s="628">
        <v>644.96636691022798</v>
      </c>
      <c r="FH31" s="590">
        <v>1200.2328143254617</v>
      </c>
      <c r="FI31" s="628">
        <v>291.50611605452445</v>
      </c>
      <c r="FJ31" s="628">
        <v>318.42247964215272</v>
      </c>
      <c r="FK31" s="628">
        <v>609.92859569667712</v>
      </c>
      <c r="FL31" s="628">
        <v>372.13106947313622</v>
      </c>
      <c r="FM31" s="628">
        <v>337.73892841579283</v>
      </c>
      <c r="FN31" s="628">
        <v>709.86999788892899</v>
      </c>
      <c r="FO31" s="590">
        <v>1319.7985935856061</v>
      </c>
      <c r="FP31" s="628">
        <v>319.35830594610485</v>
      </c>
      <c r="FQ31" s="628">
        <v>348.11359333444949</v>
      </c>
      <c r="FR31" s="628">
        <v>667.47189928055423</v>
      </c>
      <c r="FS31" s="628">
        <v>408.18699490536028</v>
      </c>
      <c r="FT31" s="628">
        <v>369.80692543729839</v>
      </c>
      <c r="FU31" s="628">
        <v>777.99392034265873</v>
      </c>
      <c r="FV31" s="590">
        <v>1445.4658196232131</v>
      </c>
    </row>
    <row r="32" spans="1:189" outlineLevel="1" x14ac:dyDescent="0.3">
      <c r="B32" s="279" t="str">
        <f>B11</f>
        <v>A&amp;NZ</v>
      </c>
      <c r="C32" s="280" t="s">
        <v>226</v>
      </c>
      <c r="D32" s="289"/>
      <c r="E32" s="289"/>
      <c r="F32" s="281"/>
      <c r="G32" s="289"/>
      <c r="H32" s="281"/>
      <c r="I32" s="281"/>
      <c r="J32" s="289"/>
      <c r="K32" s="289"/>
      <c r="L32" s="289"/>
      <c r="M32" s="281"/>
      <c r="N32" s="289"/>
      <c r="O32" s="281"/>
      <c r="P32" s="281"/>
      <c r="Q32" s="289"/>
      <c r="R32" s="289"/>
      <c r="S32" s="289"/>
      <c r="T32" s="281"/>
      <c r="U32" s="289"/>
      <c r="V32" s="281"/>
      <c r="W32" s="281"/>
      <c r="X32" s="289"/>
      <c r="Y32" s="289"/>
      <c r="Z32" s="289"/>
      <c r="AA32" s="281"/>
      <c r="AB32" s="289"/>
      <c r="AC32" s="281"/>
      <c r="AD32" s="281"/>
      <c r="AE32" s="289"/>
      <c r="AF32" s="289"/>
      <c r="AG32" s="289"/>
      <c r="AH32" s="281"/>
      <c r="AI32" s="289"/>
      <c r="AJ32" s="281"/>
      <c r="AK32" s="281"/>
      <c r="AL32" s="289"/>
      <c r="AM32" s="289"/>
      <c r="AN32" s="289"/>
      <c r="AO32" s="281"/>
      <c r="AP32" s="289"/>
      <c r="AQ32" s="289"/>
      <c r="AR32" s="281"/>
      <c r="AS32" s="281"/>
      <c r="AT32" s="289"/>
      <c r="AU32" s="289"/>
      <c r="AV32" s="281"/>
      <c r="AW32" s="289"/>
      <c r="AX32" s="281"/>
      <c r="AY32" s="281"/>
      <c r="AZ32" s="289"/>
      <c r="BA32" s="289"/>
      <c r="BB32" s="289"/>
      <c r="BC32" s="281"/>
      <c r="BD32" s="289"/>
      <c r="BE32" s="281"/>
      <c r="BF32" s="281"/>
      <c r="BG32" s="281"/>
      <c r="BH32" s="289"/>
      <c r="BI32" s="289"/>
      <c r="BJ32" s="281"/>
      <c r="BK32" s="289"/>
      <c r="BL32" s="281"/>
      <c r="BM32" s="281"/>
      <c r="BN32" s="281"/>
      <c r="BO32" s="289"/>
      <c r="BP32" s="289"/>
      <c r="BQ32" s="281"/>
      <c r="BR32" s="289"/>
      <c r="BS32" s="281"/>
      <c r="BT32" s="281"/>
      <c r="BU32" s="281"/>
      <c r="BV32" s="289"/>
      <c r="BW32" s="289"/>
      <c r="BX32" s="281"/>
      <c r="BY32" s="289"/>
      <c r="BZ32" s="289"/>
      <c r="CA32" s="281"/>
      <c r="CB32" s="281"/>
      <c r="CC32" s="289"/>
      <c r="CD32" s="289"/>
      <c r="CE32" s="281"/>
      <c r="CF32" s="289"/>
      <c r="CG32" s="289"/>
      <c r="CH32" s="281"/>
      <c r="CI32" s="281"/>
      <c r="CJ32" s="289"/>
      <c r="CK32" s="289"/>
      <c r="CL32" s="281"/>
      <c r="CM32" s="289"/>
      <c r="CN32" s="289"/>
      <c r="CO32" s="281"/>
      <c r="CP32" s="282"/>
      <c r="CQ32" s="290"/>
      <c r="CR32" s="290"/>
      <c r="CS32" s="282"/>
      <c r="CT32" s="290"/>
      <c r="CU32" s="291"/>
      <c r="CV32" s="282"/>
      <c r="CW32" s="282"/>
      <c r="CX32" s="316"/>
      <c r="CY32" s="317"/>
      <c r="CZ32" s="283"/>
      <c r="DA32" s="317"/>
      <c r="DB32" s="317"/>
      <c r="DC32" s="283"/>
      <c r="DD32" s="654"/>
      <c r="DE32" s="290"/>
      <c r="DF32" s="290"/>
      <c r="DG32" s="283"/>
      <c r="DH32" s="317"/>
      <c r="DI32" s="282"/>
      <c r="DJ32" s="282"/>
      <c r="DK32" s="654"/>
      <c r="DL32" s="292"/>
      <c r="DM32" s="290"/>
      <c r="DN32" s="283"/>
      <c r="DO32" s="290"/>
      <c r="DP32" s="282"/>
      <c r="DQ32" s="282"/>
      <c r="DR32" s="670"/>
      <c r="DS32" s="290"/>
      <c r="DT32" s="290"/>
      <c r="DU32" s="282"/>
      <c r="DV32" s="290"/>
      <c r="DW32" s="282"/>
      <c r="DX32" s="282"/>
      <c r="DY32" s="670"/>
      <c r="DZ32" s="290"/>
      <c r="EA32" s="290"/>
      <c r="EB32" s="282"/>
      <c r="EC32" s="290"/>
      <c r="ED32" s="282"/>
      <c r="EE32" s="282"/>
      <c r="EF32" s="590">
        <v>183.1</v>
      </c>
      <c r="EG32" s="590">
        <v>46</v>
      </c>
      <c r="EH32" s="590">
        <v>54</v>
      </c>
      <c r="EI32" s="590">
        <v>100</v>
      </c>
      <c r="EJ32" s="590">
        <v>39.699999999999996</v>
      </c>
      <c r="EK32" s="590">
        <v>40.800000000000004</v>
      </c>
      <c r="EL32" s="590">
        <v>80.5</v>
      </c>
      <c r="EM32" s="590">
        <v>180.5</v>
      </c>
      <c r="EN32" s="628">
        <v>43</v>
      </c>
      <c r="EO32" s="673">
        <v>43.5</v>
      </c>
      <c r="EP32" s="590">
        <v>86.5</v>
      </c>
      <c r="EQ32" s="695">
        <v>41.2</v>
      </c>
      <c r="ER32" s="628">
        <v>42.865103994174582</v>
      </c>
      <c r="ES32" s="628">
        <v>84.065103994174592</v>
      </c>
      <c r="ET32" s="590">
        <v>170.56510399417459</v>
      </c>
      <c r="EU32" s="628">
        <v>48.294862019354682</v>
      </c>
      <c r="EV32" s="628">
        <v>48.973729794689532</v>
      </c>
      <c r="EW32" s="628">
        <v>97.268591814044214</v>
      </c>
      <c r="EX32" s="628">
        <v>46.035577850671629</v>
      </c>
      <c r="EY32" s="628">
        <v>48.722749411376583</v>
      </c>
      <c r="EZ32" s="628">
        <v>94.758327262048212</v>
      </c>
      <c r="FA32" s="590">
        <v>192.02691907609244</v>
      </c>
      <c r="FB32" s="628">
        <v>56.475843891094506</v>
      </c>
      <c r="FC32" s="628">
        <v>57.367083635314103</v>
      </c>
      <c r="FD32" s="628">
        <v>113.8429275264086</v>
      </c>
      <c r="FE32" s="628">
        <v>51.979885037389543</v>
      </c>
      <c r="FF32" s="628">
        <v>55.0893337596451</v>
      </c>
      <c r="FG32" s="628">
        <v>107.06921879703464</v>
      </c>
      <c r="FH32" s="590">
        <v>220.91214632344324</v>
      </c>
      <c r="FI32" s="628">
        <v>63.092306129378763</v>
      </c>
      <c r="FJ32" s="628">
        <v>60.921518202870814</v>
      </c>
      <c r="FK32" s="628">
        <v>124.01382433224958</v>
      </c>
      <c r="FL32" s="628">
        <v>55.197538771936479</v>
      </c>
      <c r="FM32" s="628">
        <v>58.470159829086491</v>
      </c>
      <c r="FN32" s="628">
        <v>113.66769860102298</v>
      </c>
      <c r="FO32" s="590">
        <v>237.68152293327256</v>
      </c>
      <c r="FP32" s="628">
        <v>64.474329461922991</v>
      </c>
      <c r="FQ32" s="628">
        <v>68.325631125083234</v>
      </c>
      <c r="FR32" s="628">
        <v>132.79996058700624</v>
      </c>
      <c r="FS32" s="628">
        <v>57.709600412627417</v>
      </c>
      <c r="FT32" s="628">
        <v>58.866703293624369</v>
      </c>
      <c r="FU32" s="628">
        <v>116.57630370625179</v>
      </c>
      <c r="FV32" s="590">
        <v>249.37626429325803</v>
      </c>
    </row>
    <row r="33" spans="1:280" outlineLevel="1" x14ac:dyDescent="0.3">
      <c r="B33" s="279" t="s">
        <v>643</v>
      </c>
      <c r="C33" s="280" t="s">
        <v>226</v>
      </c>
      <c r="D33" s="289"/>
      <c r="E33" s="289"/>
      <c r="F33" s="281"/>
      <c r="G33" s="289"/>
      <c r="H33" s="281"/>
      <c r="I33" s="281"/>
      <c r="J33" s="289"/>
      <c r="K33" s="289"/>
      <c r="L33" s="289"/>
      <c r="M33" s="281"/>
      <c r="N33" s="289"/>
      <c r="O33" s="281"/>
      <c r="P33" s="281"/>
      <c r="Q33" s="289"/>
      <c r="R33" s="289"/>
      <c r="S33" s="289"/>
      <c r="T33" s="281"/>
      <c r="U33" s="289"/>
      <c r="V33" s="281"/>
      <c r="W33" s="281"/>
      <c r="X33" s="289"/>
      <c r="Y33" s="289"/>
      <c r="Z33" s="289"/>
      <c r="AA33" s="281"/>
      <c r="AB33" s="289"/>
      <c r="AC33" s="281"/>
      <c r="AD33" s="281"/>
      <c r="AE33" s="289"/>
      <c r="AF33" s="289"/>
      <c r="AG33" s="289"/>
      <c r="AH33" s="281"/>
      <c r="AI33" s="289"/>
      <c r="AJ33" s="281"/>
      <c r="AK33" s="281"/>
      <c r="AL33" s="289"/>
      <c r="AM33" s="289"/>
      <c r="AN33" s="289"/>
      <c r="AO33" s="281"/>
      <c r="AP33" s="289"/>
      <c r="AQ33" s="289"/>
      <c r="AR33" s="281"/>
      <c r="AS33" s="281"/>
      <c r="AT33" s="289"/>
      <c r="AU33" s="289"/>
      <c r="AV33" s="281"/>
      <c r="AW33" s="289"/>
      <c r="AX33" s="281"/>
      <c r="AY33" s="281"/>
      <c r="AZ33" s="289"/>
      <c r="BA33" s="289"/>
      <c r="BB33" s="289"/>
      <c r="BC33" s="281"/>
      <c r="BD33" s="289"/>
      <c r="BE33" s="281"/>
      <c r="BF33" s="281"/>
      <c r="BG33" s="281"/>
      <c r="BH33" s="289"/>
      <c r="BI33" s="289"/>
      <c r="BJ33" s="281"/>
      <c r="BK33" s="289"/>
      <c r="BL33" s="281"/>
      <c r="BM33" s="281"/>
      <c r="BN33" s="281"/>
      <c r="BO33" s="289"/>
      <c r="BP33" s="289"/>
      <c r="BQ33" s="281"/>
      <c r="BR33" s="289"/>
      <c r="BS33" s="281"/>
      <c r="BT33" s="281"/>
      <c r="BU33" s="281"/>
      <c r="BV33" s="289"/>
      <c r="BW33" s="289"/>
      <c r="BX33" s="281"/>
      <c r="BY33" s="289"/>
      <c r="BZ33" s="289"/>
      <c r="CA33" s="281"/>
      <c r="CB33" s="281"/>
      <c r="CC33" s="289"/>
      <c r="CD33" s="289"/>
      <c r="CE33" s="281"/>
      <c r="CF33" s="289"/>
      <c r="CG33" s="289"/>
      <c r="CH33" s="281"/>
      <c r="CI33" s="281"/>
      <c r="CJ33" s="289"/>
      <c r="CK33" s="289"/>
      <c r="CL33" s="281"/>
      <c r="CM33" s="289"/>
      <c r="CN33" s="289"/>
      <c r="CO33" s="281"/>
      <c r="CP33" s="282"/>
      <c r="CQ33" s="290"/>
      <c r="CR33" s="290"/>
      <c r="CS33" s="282"/>
      <c r="CT33" s="290"/>
      <c r="CU33" s="291"/>
      <c r="CV33" s="282"/>
      <c r="CW33" s="282"/>
      <c r="CX33" s="316"/>
      <c r="CY33" s="317"/>
      <c r="CZ33" s="283"/>
      <c r="DA33" s="317"/>
      <c r="DB33" s="317"/>
      <c r="DC33" s="283"/>
      <c r="DD33" s="654"/>
      <c r="DE33" s="290"/>
      <c r="DF33" s="290"/>
      <c r="DG33" s="283"/>
      <c r="DH33" s="317"/>
      <c r="DI33" s="282"/>
      <c r="DJ33" s="282"/>
      <c r="DK33" s="654"/>
      <c r="DL33" s="292"/>
      <c r="DM33" s="290"/>
      <c r="DN33" s="283"/>
      <c r="DO33" s="290"/>
      <c r="DP33" s="282"/>
      <c r="DQ33" s="282"/>
      <c r="DR33" s="670"/>
      <c r="DS33" s="290"/>
      <c r="DT33" s="290"/>
      <c r="DU33" s="282"/>
      <c r="DV33" s="290"/>
      <c r="DW33" s="282"/>
      <c r="DX33" s="282"/>
      <c r="DY33" s="670"/>
      <c r="DZ33" s="290"/>
      <c r="EA33" s="290"/>
      <c r="EB33" s="282"/>
      <c r="EC33" s="290"/>
      <c r="ED33" s="282"/>
      <c r="EE33" s="282"/>
      <c r="EF33" s="590">
        <v>74.7</v>
      </c>
      <c r="EG33" s="590">
        <v>19.7</v>
      </c>
      <c r="EH33" s="590">
        <v>17</v>
      </c>
      <c r="EI33" s="590">
        <v>36.700000000000003</v>
      </c>
      <c r="EJ33" s="590">
        <v>11.9</v>
      </c>
      <c r="EK33" s="590">
        <v>21.799999999999997</v>
      </c>
      <c r="EL33" s="590">
        <v>33.699999999999996</v>
      </c>
      <c r="EM33" s="590">
        <v>70.400000000000006</v>
      </c>
      <c r="EN33" s="628">
        <v>21.9</v>
      </c>
      <c r="EO33" s="673">
        <v>21</v>
      </c>
      <c r="EP33" s="590">
        <v>42.9</v>
      </c>
      <c r="EQ33" s="695">
        <v>16.600000000000001</v>
      </c>
      <c r="ER33" s="628">
        <v>22.42164</v>
      </c>
      <c r="ES33" s="628">
        <v>39.021640000000005</v>
      </c>
      <c r="ET33" s="590">
        <v>81.921639999999996</v>
      </c>
      <c r="EU33" s="628">
        <v>21.314823999999998</v>
      </c>
      <c r="EV33" s="628">
        <v>21.4850678682688</v>
      </c>
      <c r="EW33" s="628">
        <v>42.799891868268801</v>
      </c>
      <c r="EX33" s="628">
        <v>23.853182242990652</v>
      </c>
      <c r="EY33" s="628">
        <v>23.300476079999996</v>
      </c>
      <c r="EZ33" s="628">
        <v>47.153658322990651</v>
      </c>
      <c r="FA33" s="590">
        <v>89.953550191259453</v>
      </c>
      <c r="FB33" s="628">
        <v>22.868478791022444</v>
      </c>
      <c r="FC33" s="628">
        <v>23.179784891760441</v>
      </c>
      <c r="FD33" s="628">
        <v>46.048263682782888</v>
      </c>
      <c r="FE33" s="628">
        <v>24.774047891958908</v>
      </c>
      <c r="FF33" s="628">
        <v>24.4226260547455</v>
      </c>
      <c r="FG33" s="628">
        <v>49.196673946704408</v>
      </c>
      <c r="FH33" s="590">
        <v>95.244937629487296</v>
      </c>
      <c r="FI33" s="628">
        <v>25.193076555236907</v>
      </c>
      <c r="FJ33" s="628">
        <v>25.640870705391052</v>
      </c>
      <c r="FK33" s="628">
        <v>50.833947260627959</v>
      </c>
      <c r="FL33" s="628">
        <v>27.194461649467211</v>
      </c>
      <c r="FM33" s="628">
        <v>26.903506250292089</v>
      </c>
      <c r="FN33" s="628">
        <v>54.097967899759297</v>
      </c>
      <c r="FO33" s="590">
        <v>104.93191516038726</v>
      </c>
      <c r="FP33" s="628">
        <v>30.829913856050002</v>
      </c>
      <c r="FQ33" s="628">
        <v>33.447315925780188</v>
      </c>
      <c r="FR33" s="628">
        <v>64.277229781830187</v>
      </c>
      <c r="FS33" s="628">
        <v>32.009692660540253</v>
      </c>
      <c r="FT33" s="628">
        <v>34.826663690673151</v>
      </c>
      <c r="FU33" s="628">
        <v>66.836356351213396</v>
      </c>
      <c r="FV33" s="590">
        <v>131.11358613304358</v>
      </c>
    </row>
    <row r="34" spans="1:280" outlineLevel="1" x14ac:dyDescent="0.3">
      <c r="B34" s="279" t="str">
        <f>B14</f>
        <v>Decking, Railing &amp; Accessories</v>
      </c>
      <c r="C34" s="280" t="s">
        <v>226</v>
      </c>
      <c r="D34" s="289"/>
      <c r="E34" s="289"/>
      <c r="F34" s="281"/>
      <c r="G34" s="289"/>
      <c r="H34" s="281"/>
      <c r="I34" s="281"/>
      <c r="J34" s="289"/>
      <c r="K34" s="289"/>
      <c r="L34" s="289"/>
      <c r="M34" s="281"/>
      <c r="N34" s="289"/>
      <c r="O34" s="281"/>
      <c r="P34" s="281"/>
      <c r="Q34" s="289"/>
      <c r="R34" s="289"/>
      <c r="S34" s="289"/>
      <c r="T34" s="281"/>
      <c r="U34" s="289"/>
      <c r="V34" s="281"/>
      <c r="W34" s="281"/>
      <c r="X34" s="289"/>
      <c r="Y34" s="289"/>
      <c r="Z34" s="289"/>
      <c r="AA34" s="281"/>
      <c r="AB34" s="289"/>
      <c r="AC34" s="281"/>
      <c r="AD34" s="281"/>
      <c r="AE34" s="289"/>
      <c r="AF34" s="289"/>
      <c r="AG34" s="289"/>
      <c r="AH34" s="281"/>
      <c r="AI34" s="289"/>
      <c r="AJ34" s="281"/>
      <c r="AK34" s="281"/>
      <c r="AL34" s="289"/>
      <c r="AM34" s="289"/>
      <c r="AN34" s="289"/>
      <c r="AO34" s="281"/>
      <c r="AP34" s="289"/>
      <c r="AQ34" s="289"/>
      <c r="AR34" s="281"/>
      <c r="AS34" s="281"/>
      <c r="AT34" s="289"/>
      <c r="AU34" s="289"/>
      <c r="AV34" s="281"/>
      <c r="AW34" s="289"/>
      <c r="AX34" s="281"/>
      <c r="AY34" s="281"/>
      <c r="AZ34" s="289"/>
      <c r="BA34" s="289"/>
      <c r="BB34" s="289"/>
      <c r="BC34" s="281"/>
      <c r="BD34" s="289"/>
      <c r="BE34" s="281"/>
      <c r="BF34" s="281"/>
      <c r="BG34" s="281"/>
      <c r="BH34" s="289"/>
      <c r="BI34" s="289"/>
      <c r="BJ34" s="281"/>
      <c r="BK34" s="289"/>
      <c r="BL34" s="281"/>
      <c r="BM34" s="281"/>
      <c r="BN34" s="281"/>
      <c r="BO34" s="289"/>
      <c r="BP34" s="289"/>
      <c r="BQ34" s="281"/>
      <c r="BR34" s="289"/>
      <c r="BS34" s="281"/>
      <c r="BT34" s="281"/>
      <c r="BU34" s="281"/>
      <c r="BV34" s="289"/>
      <c r="BW34" s="289"/>
      <c r="BX34" s="281"/>
      <c r="BY34" s="289"/>
      <c r="BZ34" s="289"/>
      <c r="CA34" s="281"/>
      <c r="CB34" s="281"/>
      <c r="CC34" s="289"/>
      <c r="CD34" s="289"/>
      <c r="CE34" s="281"/>
      <c r="CF34" s="289"/>
      <c r="CG34" s="289"/>
      <c r="CH34" s="281"/>
      <c r="CI34" s="281"/>
      <c r="CJ34" s="289"/>
      <c r="CK34" s="289"/>
      <c r="CL34" s="281"/>
      <c r="CM34" s="289"/>
      <c r="CN34" s="289"/>
      <c r="CO34" s="281"/>
      <c r="CP34" s="282"/>
      <c r="CQ34" s="290"/>
      <c r="CR34" s="290"/>
      <c r="CS34" s="282"/>
      <c r="CT34" s="290"/>
      <c r="CU34" s="291"/>
      <c r="CV34" s="282"/>
      <c r="CW34" s="282"/>
      <c r="CX34" s="316"/>
      <c r="CY34" s="317"/>
      <c r="CZ34" s="283"/>
      <c r="DA34" s="317"/>
      <c r="DB34" s="317"/>
      <c r="DC34" s="283"/>
      <c r="DD34" s="654"/>
      <c r="DE34" s="290"/>
      <c r="DF34" s="290"/>
      <c r="DG34" s="283"/>
      <c r="DH34" s="317"/>
      <c r="DI34" s="282"/>
      <c r="DJ34" s="282"/>
      <c r="DK34" s="654"/>
      <c r="DL34" s="292"/>
      <c r="DM34" s="290"/>
      <c r="DN34" s="283"/>
      <c r="DO34" s="290"/>
      <c r="DP34" s="282"/>
      <c r="DQ34" s="282"/>
      <c r="DR34" s="670"/>
      <c r="DS34" s="290"/>
      <c r="DT34" s="290"/>
      <c r="DU34" s="282"/>
      <c r="DV34" s="290"/>
      <c r="DW34" s="282"/>
      <c r="DX34" s="282"/>
      <c r="DY34" s="670"/>
      <c r="DZ34" s="290"/>
      <c r="EA34" s="290"/>
      <c r="EB34" s="282"/>
      <c r="EC34" s="290"/>
      <c r="ED34" s="282"/>
      <c r="EE34" s="282"/>
      <c r="EF34" s="590"/>
      <c r="EG34" s="590">
        <v>82.241379999999992</v>
      </c>
      <c r="EH34" s="590">
        <v>59.720220000000005</v>
      </c>
      <c r="EI34" s="590">
        <v>141.9616</v>
      </c>
      <c r="EJ34" s="590">
        <v>44.022599999999997</v>
      </c>
      <c r="EK34" s="590">
        <v>87.140920000000008</v>
      </c>
      <c r="EL34" s="590">
        <v>126.79340586438001</v>
      </c>
      <c r="EM34" s="590"/>
      <c r="EN34" s="628"/>
      <c r="EO34" s="590">
        <v>78.599999999999994</v>
      </c>
      <c r="EP34" s="590">
        <v>78.599999999999994</v>
      </c>
      <c r="EQ34" s="628">
        <v>48.7</v>
      </c>
      <c r="ER34" s="628">
        <v>94.998750000000001</v>
      </c>
      <c r="ES34" s="628">
        <f>EQ34+ER34</f>
        <v>143.69875000000002</v>
      </c>
      <c r="ET34" s="590">
        <f>EP34+ES34</f>
        <v>222.29875000000001</v>
      </c>
      <c r="EU34" s="628">
        <v>100.30015</v>
      </c>
      <c r="EV34" s="628">
        <v>86.372950000000003</v>
      </c>
      <c r="EW34" s="628">
        <v>186.67310000000001</v>
      </c>
      <c r="EX34" s="628">
        <v>56.154025000000004</v>
      </c>
      <c r="EY34" s="628">
        <v>106.56230000000002</v>
      </c>
      <c r="EZ34" s="628">
        <v>162.71632500000004</v>
      </c>
      <c r="FA34" s="590">
        <v>349.38942500000007</v>
      </c>
      <c r="FB34" s="628">
        <v>108.6901575</v>
      </c>
      <c r="FC34" s="628">
        <v>95.066597500000015</v>
      </c>
      <c r="FD34" s="628">
        <v>203.756755</v>
      </c>
      <c r="FE34" s="628">
        <v>62.761726250000009</v>
      </c>
      <c r="FF34" s="628">
        <v>115.64041500000002</v>
      </c>
      <c r="FG34" s="628">
        <v>178.40214125000003</v>
      </c>
      <c r="FH34" s="590">
        <v>382.15889625</v>
      </c>
      <c r="FI34" s="628">
        <v>119.68265350000001</v>
      </c>
      <c r="FJ34" s="628">
        <v>103.95052975000002</v>
      </c>
      <c r="FK34" s="628">
        <v>223.63318325000003</v>
      </c>
      <c r="FL34" s="628">
        <v>69.623287625000017</v>
      </c>
      <c r="FM34" s="628">
        <v>124.97194353125003</v>
      </c>
      <c r="FN34" s="628">
        <v>194.59523115625007</v>
      </c>
      <c r="FO34" s="590">
        <v>418.22841440625007</v>
      </c>
      <c r="FP34" s="628">
        <v>129.11767370625</v>
      </c>
      <c r="FQ34" s="628">
        <v>113.20268873125002</v>
      </c>
      <c r="FR34" s="628">
        <v>242.32036243750002</v>
      </c>
      <c r="FS34" s="628">
        <v>77.734100821875018</v>
      </c>
      <c r="FT34" s="628">
        <v>137.77002387812504</v>
      </c>
      <c r="FU34" s="628">
        <v>215.50412470000006</v>
      </c>
      <c r="FV34" s="590">
        <v>457.82448713750011</v>
      </c>
    </row>
    <row r="35" spans="1:280" outlineLevel="1" x14ac:dyDescent="0.3">
      <c r="B35" s="279" t="s">
        <v>49</v>
      </c>
      <c r="C35" s="280" t="s">
        <v>226</v>
      </c>
      <c r="D35" s="289"/>
      <c r="E35" s="289"/>
      <c r="F35" s="281"/>
      <c r="G35" s="289"/>
      <c r="H35" s="281"/>
      <c r="I35" s="281"/>
      <c r="J35" s="289"/>
      <c r="K35" s="289"/>
      <c r="L35" s="289"/>
      <c r="M35" s="281"/>
      <c r="N35" s="289"/>
      <c r="O35" s="281"/>
      <c r="P35" s="281"/>
      <c r="Q35" s="289"/>
      <c r="R35" s="289"/>
      <c r="S35" s="289"/>
      <c r="T35" s="281"/>
      <c r="U35" s="289"/>
      <c r="V35" s="281"/>
      <c r="W35" s="281"/>
      <c r="X35" s="289"/>
      <c r="Y35" s="289"/>
      <c r="Z35" s="289"/>
      <c r="AA35" s="281"/>
      <c r="AB35" s="289"/>
      <c r="AC35" s="281"/>
      <c r="AD35" s="281"/>
      <c r="AE35" s="289"/>
      <c r="AF35" s="289"/>
      <c r="AG35" s="289"/>
      <c r="AH35" s="281"/>
      <c r="AI35" s="289"/>
      <c r="AJ35" s="281"/>
      <c r="AK35" s="281"/>
      <c r="AL35" s="289"/>
      <c r="AM35" s="289"/>
      <c r="AN35" s="289"/>
      <c r="AO35" s="281"/>
      <c r="AP35" s="289"/>
      <c r="AQ35" s="289"/>
      <c r="AR35" s="281"/>
      <c r="AS35" s="281"/>
      <c r="AT35" s="289"/>
      <c r="AU35" s="289"/>
      <c r="AV35" s="281"/>
      <c r="AW35" s="289"/>
      <c r="AX35" s="281"/>
      <c r="AY35" s="281"/>
      <c r="AZ35" s="289"/>
      <c r="BA35" s="289"/>
      <c r="BB35" s="289"/>
      <c r="BC35" s="281"/>
      <c r="BD35" s="289"/>
      <c r="BE35" s="281"/>
      <c r="BF35" s="281"/>
      <c r="BG35" s="281"/>
      <c r="BH35" s="289"/>
      <c r="BI35" s="289"/>
      <c r="BJ35" s="281"/>
      <c r="BK35" s="289"/>
      <c r="BL35" s="281"/>
      <c r="BM35" s="281"/>
      <c r="BN35" s="281"/>
      <c r="BO35" s="289"/>
      <c r="BP35" s="289"/>
      <c r="BQ35" s="281"/>
      <c r="BR35" s="289"/>
      <c r="BS35" s="281"/>
      <c r="BT35" s="281"/>
      <c r="BU35" s="281"/>
      <c r="BV35" s="289"/>
      <c r="BW35" s="289"/>
      <c r="BX35" s="281"/>
      <c r="BY35" s="289"/>
      <c r="BZ35" s="289"/>
      <c r="CA35" s="281"/>
      <c r="CB35" s="281"/>
      <c r="CC35" s="289"/>
      <c r="CD35" s="289"/>
      <c r="CE35" s="281"/>
      <c r="CF35" s="289"/>
      <c r="CG35" s="289"/>
      <c r="CH35" s="281"/>
      <c r="CI35" s="281"/>
      <c r="CJ35" s="289"/>
      <c r="CK35" s="289"/>
      <c r="CL35" s="281"/>
      <c r="CM35" s="289"/>
      <c r="CN35" s="289"/>
      <c r="CO35" s="281"/>
      <c r="CP35" s="282"/>
      <c r="CQ35" s="290"/>
      <c r="CR35" s="290"/>
      <c r="CS35" s="282"/>
      <c r="CT35" s="290"/>
      <c r="CU35" s="291"/>
      <c r="CV35" s="282"/>
      <c r="CW35" s="282"/>
      <c r="CX35" s="316"/>
      <c r="CY35" s="317"/>
      <c r="CZ35" s="283"/>
      <c r="DA35" s="317"/>
      <c r="DB35" s="317"/>
      <c r="DC35" s="283"/>
      <c r="DD35" s="654"/>
      <c r="DE35" s="290"/>
      <c r="DF35" s="290"/>
      <c r="DG35" s="283"/>
      <c r="DH35" s="317"/>
      <c r="DI35" s="282"/>
      <c r="DJ35" s="282"/>
      <c r="DK35" s="654"/>
      <c r="DL35" s="292"/>
      <c r="DM35" s="290"/>
      <c r="DN35" s="283"/>
      <c r="DO35" s="290"/>
      <c r="DP35" s="282"/>
      <c r="DQ35" s="282"/>
      <c r="DR35" s="670"/>
      <c r="DS35" s="290"/>
      <c r="DT35" s="290"/>
      <c r="DU35" s="282"/>
      <c r="DV35" s="290"/>
      <c r="DW35" s="282"/>
      <c r="DX35" s="282"/>
      <c r="DY35" s="670"/>
      <c r="DZ35" s="290"/>
      <c r="EA35" s="290"/>
      <c r="EB35" s="282"/>
      <c r="EC35" s="290"/>
      <c r="ED35" s="282"/>
      <c r="EE35" s="282"/>
      <c r="EF35" s="590">
        <f>EF36-EF34-EF33-EF32-EF31</f>
        <v>-187.60000000000002</v>
      </c>
      <c r="EG35" s="282">
        <f t="shared" ref="EG35:FV35" si="45">EG36-EG34-EG33-EG32-EG31</f>
        <v>-126.14138000000003</v>
      </c>
      <c r="EH35" s="282">
        <f t="shared" si="45"/>
        <v>-107.92022000000006</v>
      </c>
      <c r="EI35" s="282">
        <f t="shared" si="45"/>
        <v>-234.06159999999988</v>
      </c>
      <c r="EJ35" s="282">
        <f t="shared" si="45"/>
        <v>-84.022599999999983</v>
      </c>
      <c r="EK35" s="282">
        <f t="shared" si="45"/>
        <v>-128.14091999999999</v>
      </c>
      <c r="EL35" s="282">
        <f t="shared" si="45"/>
        <v>-207.79340586438002</v>
      </c>
      <c r="EM35" s="590">
        <f t="shared" si="45"/>
        <v>-173.09999999999991</v>
      </c>
      <c r="EN35" s="282">
        <f t="shared" si="45"/>
        <v>-45.200000000000017</v>
      </c>
      <c r="EO35" s="282">
        <f>EO36-EO31-EO32-EO33-EO34</f>
        <v>-37.599999999999994</v>
      </c>
      <c r="EP35" s="282">
        <f t="shared" ref="EP35:EQ35" si="46">EP36-EP34-EP33-EP32-EP31</f>
        <v>-82.800000000000068</v>
      </c>
      <c r="EQ35" s="284">
        <f t="shared" si="46"/>
        <v>-45.200000000000045</v>
      </c>
      <c r="ER35" s="282">
        <f t="shared" si="45"/>
        <v>-42.84</v>
      </c>
      <c r="ES35" s="282">
        <f>ES36-ES34-ES33-ES32-ES31</f>
        <v>-88.040000000000077</v>
      </c>
      <c r="ET35" s="590">
        <f t="shared" si="45"/>
        <v>-181.64000000000021</v>
      </c>
      <c r="EU35" s="282">
        <f>EU36-EU34-EU33-EU32-EU31</f>
        <v>-37.191824000000025</v>
      </c>
      <c r="EV35" s="282">
        <f t="shared" si="45"/>
        <v>-37.262067868268844</v>
      </c>
      <c r="EW35" s="282">
        <f t="shared" si="45"/>
        <v>-74.453891868268727</v>
      </c>
      <c r="EX35" s="282">
        <f t="shared" si="45"/>
        <v>-43.030182242990634</v>
      </c>
      <c r="EY35" s="282">
        <f t="shared" si="45"/>
        <v>-31.655836080000086</v>
      </c>
      <c r="EZ35" s="282">
        <f t="shared" si="45"/>
        <v>-74.686018322990606</v>
      </c>
      <c r="FA35" s="590">
        <f t="shared" si="45"/>
        <v>-149.13991019125922</v>
      </c>
      <c r="FB35" s="282">
        <f t="shared" si="45"/>
        <v>-38.330654791022454</v>
      </c>
      <c r="FC35" s="282">
        <f t="shared" si="45"/>
        <v>-33.471717023491635</v>
      </c>
      <c r="FD35" s="282">
        <f t="shared" si="45"/>
        <v>-71.802371814514117</v>
      </c>
      <c r="FE35" s="282">
        <f t="shared" si="45"/>
        <v>-29.697865648968275</v>
      </c>
      <c r="FF35" s="282">
        <f t="shared" si="45"/>
        <v>-28.899149974745569</v>
      </c>
      <c r="FG35" s="282">
        <f t="shared" si="45"/>
        <v>-58.597015623713673</v>
      </c>
      <c r="FH35" s="590">
        <f t="shared" si="45"/>
        <v>-130.39938743822813</v>
      </c>
      <c r="FI35" s="282">
        <f t="shared" si="45"/>
        <v>-38.677197764214498</v>
      </c>
      <c r="FJ35" s="282">
        <f t="shared" si="45"/>
        <v>-38.813685813630627</v>
      </c>
      <c r="FK35" s="282">
        <f t="shared" si="45"/>
        <v>-77.490883577844897</v>
      </c>
      <c r="FL35" s="282">
        <f t="shared" si="45"/>
        <v>-38.773013757508295</v>
      </c>
      <c r="FM35" s="282">
        <f t="shared" si="45"/>
        <v>-38.833480195546485</v>
      </c>
      <c r="FN35" s="282">
        <f t="shared" si="45"/>
        <v>-77.606493953055065</v>
      </c>
      <c r="FO35" s="590">
        <f t="shared" si="45"/>
        <v>-155.09737753089985</v>
      </c>
      <c r="FP35" s="282">
        <f t="shared" si="45"/>
        <v>-43.703877300813133</v>
      </c>
      <c r="FQ35" s="282">
        <f t="shared" si="45"/>
        <v>-45.873485220389171</v>
      </c>
      <c r="FR35" s="282">
        <f t="shared" si="45"/>
        <v>-89.577362521202076</v>
      </c>
      <c r="FS35" s="282">
        <f t="shared" si="45"/>
        <v>-42.882271011073158</v>
      </c>
      <c r="FT35" s="282">
        <f t="shared" si="45"/>
        <v>-45.99019744038111</v>
      </c>
      <c r="FU35" s="282">
        <f t="shared" si="45"/>
        <v>-88.872468451453983</v>
      </c>
      <c r="FV35" s="590">
        <f t="shared" si="45"/>
        <v>-178.44983097265595</v>
      </c>
    </row>
    <row r="36" spans="1:280" outlineLevel="1" x14ac:dyDescent="0.3">
      <c r="A36" s="302"/>
      <c r="B36" s="321" t="s">
        <v>42</v>
      </c>
      <c r="C36" s="294" t="s">
        <v>226</v>
      </c>
      <c r="D36" s="322">
        <f t="shared" ref="D36:AI36" si="47">D48+D30</f>
        <v>101.5</v>
      </c>
      <c r="E36" s="322">
        <f t="shared" si="47"/>
        <v>94.199999999999989</v>
      </c>
      <c r="F36" s="322">
        <f t="shared" si="47"/>
        <v>198.3</v>
      </c>
      <c r="G36" s="322">
        <f t="shared" si="47"/>
        <v>80.500000000000014</v>
      </c>
      <c r="H36" s="322">
        <f t="shared" si="47"/>
        <v>80.599999999999994</v>
      </c>
      <c r="I36" s="322">
        <f t="shared" si="47"/>
        <v>161.10000000000002</v>
      </c>
      <c r="J36" s="322">
        <f t="shared" si="47"/>
        <v>326.00000000000006</v>
      </c>
      <c r="K36" s="322">
        <f t="shared" si="47"/>
        <v>107.1</v>
      </c>
      <c r="L36" s="322">
        <f t="shared" si="47"/>
        <v>101.4</v>
      </c>
      <c r="M36" s="322">
        <f t="shared" si="47"/>
        <v>208.5</v>
      </c>
      <c r="N36" s="322">
        <f t="shared" si="47"/>
        <v>76.899999999999991</v>
      </c>
      <c r="O36" s="322">
        <f t="shared" si="47"/>
        <v>84.1</v>
      </c>
      <c r="P36" s="322">
        <f t="shared" si="47"/>
        <v>161</v>
      </c>
      <c r="Q36" s="322">
        <f t="shared" si="47"/>
        <v>369.59999999999991</v>
      </c>
      <c r="R36" s="322">
        <f t="shared" si="47"/>
        <v>121.60000000000001</v>
      </c>
      <c r="S36" s="322">
        <f t="shared" si="47"/>
        <v>90.100000000000009</v>
      </c>
      <c r="T36" s="322">
        <f t="shared" si="47"/>
        <v>211.7</v>
      </c>
      <c r="U36" s="322">
        <f t="shared" si="47"/>
        <v>73.3</v>
      </c>
      <c r="V36" s="322">
        <f t="shared" si="47"/>
        <v>58.7</v>
      </c>
      <c r="W36" s="322">
        <f t="shared" si="47"/>
        <v>132.00000000000003</v>
      </c>
      <c r="X36" s="322">
        <f t="shared" si="47"/>
        <v>343.7</v>
      </c>
      <c r="Y36" s="322">
        <f t="shared" si="47"/>
        <v>79.499999999999986</v>
      </c>
      <c r="Z36" s="322">
        <f t="shared" si="47"/>
        <v>71.3</v>
      </c>
      <c r="AA36" s="322">
        <f t="shared" si="47"/>
        <v>150.79999999999998</v>
      </c>
      <c r="AB36" s="322">
        <f t="shared" si="47"/>
        <v>44.599999999999994</v>
      </c>
      <c r="AC36" s="322">
        <f t="shared" si="47"/>
        <v>31.9</v>
      </c>
      <c r="AD36" s="322">
        <f t="shared" si="47"/>
        <v>76.499999999999986</v>
      </c>
      <c r="AE36" s="322">
        <f t="shared" si="47"/>
        <v>227.3</v>
      </c>
      <c r="AF36" s="322">
        <f t="shared" si="47"/>
        <v>78.800000000000011</v>
      </c>
      <c r="AG36" s="322">
        <f t="shared" si="47"/>
        <v>77.600000000000009</v>
      </c>
      <c r="AH36" s="322">
        <f t="shared" si="47"/>
        <v>156.39999999999998</v>
      </c>
      <c r="AI36" s="322">
        <f t="shared" si="47"/>
        <v>59.6</v>
      </c>
      <c r="AJ36" s="322">
        <f t="shared" ref="AJ36:BO36" si="48">AJ48+AJ30</f>
        <v>54.399999999999991</v>
      </c>
      <c r="AK36" s="322">
        <f t="shared" si="48"/>
        <v>114</v>
      </c>
      <c r="AL36" s="322">
        <f t="shared" si="48"/>
        <v>270.39999999999998</v>
      </c>
      <c r="AM36" s="322">
        <f t="shared" si="48"/>
        <v>80.300000000000011</v>
      </c>
      <c r="AN36" s="322">
        <f t="shared" si="48"/>
        <v>57.699999999999996</v>
      </c>
      <c r="AO36" s="322">
        <f t="shared" si="48"/>
        <v>138</v>
      </c>
      <c r="AP36" s="322">
        <f t="shared" si="48"/>
        <v>46.099999999999994</v>
      </c>
      <c r="AQ36" s="322">
        <f t="shared" si="48"/>
        <v>62.8</v>
      </c>
      <c r="AR36" s="322">
        <f t="shared" si="48"/>
        <v>108.9</v>
      </c>
      <c r="AS36" s="322">
        <f t="shared" si="48"/>
        <v>246.90000000000003</v>
      </c>
      <c r="AT36" s="322">
        <f t="shared" si="48"/>
        <v>73.000000000000014</v>
      </c>
      <c r="AU36" s="322">
        <f t="shared" si="48"/>
        <v>73</v>
      </c>
      <c r="AV36" s="322">
        <f t="shared" si="48"/>
        <v>146</v>
      </c>
      <c r="AW36" s="322">
        <f t="shared" si="48"/>
        <v>54.8</v>
      </c>
      <c r="AX36" s="322">
        <f t="shared" si="48"/>
        <v>59.3</v>
      </c>
      <c r="AY36" s="322">
        <f t="shared" si="48"/>
        <v>114.1</v>
      </c>
      <c r="AZ36" s="322">
        <f t="shared" si="48"/>
        <v>260.10000000000002</v>
      </c>
      <c r="BA36" s="322">
        <f t="shared" si="48"/>
        <v>73.099999999999994</v>
      </c>
      <c r="BB36" s="322">
        <f t="shared" si="48"/>
        <v>66.900000000000006</v>
      </c>
      <c r="BC36" s="322">
        <f t="shared" si="48"/>
        <v>139.99999999999997</v>
      </c>
      <c r="BD36" s="322">
        <f t="shared" si="48"/>
        <v>52</v>
      </c>
      <c r="BE36" s="322">
        <f t="shared" si="48"/>
        <v>50.2</v>
      </c>
      <c r="BF36" s="322">
        <f t="shared" si="48"/>
        <v>102.19999999999999</v>
      </c>
      <c r="BG36" s="322">
        <f t="shared" si="48"/>
        <v>242.2</v>
      </c>
      <c r="BH36" s="322">
        <f t="shared" si="48"/>
        <v>82.90000000000002</v>
      </c>
      <c r="BI36" s="322">
        <f t="shared" si="48"/>
        <v>87.9</v>
      </c>
      <c r="BJ36" s="322">
        <f t="shared" si="48"/>
        <v>170.8</v>
      </c>
      <c r="BK36" s="322">
        <f t="shared" si="48"/>
        <v>70.8</v>
      </c>
      <c r="BL36" s="322">
        <f t="shared" si="48"/>
        <v>72.599999999999994</v>
      </c>
      <c r="BM36" s="322">
        <f t="shared" si="48"/>
        <v>143.39999999999998</v>
      </c>
      <c r="BN36" s="322">
        <f t="shared" si="48"/>
        <v>314.20000000000005</v>
      </c>
      <c r="BO36" s="322">
        <f t="shared" si="48"/>
        <v>87.800000000000011</v>
      </c>
      <c r="BP36" s="322">
        <f t="shared" ref="BP36:CU36" si="49">BP48+BP30</f>
        <v>102.60000000000001</v>
      </c>
      <c r="BQ36" s="322">
        <f t="shared" si="49"/>
        <v>190.4</v>
      </c>
      <c r="BR36" s="322">
        <f t="shared" si="49"/>
        <v>84.800000000000011</v>
      </c>
      <c r="BS36" s="322">
        <f t="shared" si="49"/>
        <v>99.699999999999989</v>
      </c>
      <c r="BT36" s="322">
        <f t="shared" si="49"/>
        <v>184.5</v>
      </c>
      <c r="BU36" s="322">
        <f t="shared" si="49"/>
        <v>374.9</v>
      </c>
      <c r="BV36" s="322">
        <f t="shared" si="49"/>
        <v>107.7</v>
      </c>
      <c r="BW36" s="322">
        <f t="shared" si="49"/>
        <v>113.00000000000001</v>
      </c>
      <c r="BX36" s="322">
        <f t="shared" si="49"/>
        <v>220.70000000000005</v>
      </c>
      <c r="BY36" s="322">
        <f t="shared" si="49"/>
        <v>101.3</v>
      </c>
      <c r="BZ36" s="322">
        <f t="shared" si="49"/>
        <v>110.6</v>
      </c>
      <c r="CA36" s="322">
        <f t="shared" si="49"/>
        <v>211.89999999999998</v>
      </c>
      <c r="CB36" s="297">
        <f t="shared" si="49"/>
        <v>432.60000000000008</v>
      </c>
      <c r="CC36" s="297">
        <f t="shared" si="49"/>
        <v>117.1</v>
      </c>
      <c r="CD36" s="297">
        <f t="shared" si="49"/>
        <v>126.4</v>
      </c>
      <c r="CE36" s="297">
        <f t="shared" si="49"/>
        <v>243.50000000000003</v>
      </c>
      <c r="CF36" s="297">
        <f t="shared" si="49"/>
        <v>96.100000000000023</v>
      </c>
      <c r="CG36" s="297">
        <f t="shared" si="49"/>
        <v>97.799999999999983</v>
      </c>
      <c r="CH36" s="297">
        <f t="shared" si="49"/>
        <v>193.89999999999998</v>
      </c>
      <c r="CI36" s="297">
        <f t="shared" si="49"/>
        <v>437.4</v>
      </c>
      <c r="CJ36" s="297">
        <f t="shared" si="49"/>
        <v>110.30000000000001</v>
      </c>
      <c r="CK36" s="297">
        <f t="shared" si="49"/>
        <v>127.20000000000002</v>
      </c>
      <c r="CL36" s="297">
        <f t="shared" si="49"/>
        <v>237.49999999999997</v>
      </c>
      <c r="CM36" s="297">
        <f t="shared" si="49"/>
        <v>120.29999999999998</v>
      </c>
      <c r="CN36" s="297">
        <f t="shared" si="49"/>
        <v>126.70000000000002</v>
      </c>
      <c r="CO36" s="297">
        <f t="shared" si="49"/>
        <v>247</v>
      </c>
      <c r="CP36" s="299">
        <f t="shared" si="49"/>
        <v>484.49999999999994</v>
      </c>
      <c r="CQ36" s="300">
        <f t="shared" si="49"/>
        <v>134.4</v>
      </c>
      <c r="CR36" s="300">
        <f t="shared" si="49"/>
        <v>137.70000000000002</v>
      </c>
      <c r="CS36" s="300">
        <f t="shared" si="49"/>
        <v>272.10000000000002</v>
      </c>
      <c r="CT36" s="300">
        <f t="shared" si="49"/>
        <v>120.39999999999999</v>
      </c>
      <c r="CU36" s="300">
        <f t="shared" si="49"/>
        <v>130.69999999999999</v>
      </c>
      <c r="CV36" s="300">
        <f t="shared" ref="CV36:EA36" si="50">CV48+CV30</f>
        <v>251.09999999999997</v>
      </c>
      <c r="CW36" s="300">
        <f t="shared" si="50"/>
        <v>523.19999999999993</v>
      </c>
      <c r="CX36" s="299">
        <f t="shared" si="50"/>
        <v>156.00000000000003</v>
      </c>
      <c r="CY36" s="299">
        <f t="shared" si="50"/>
        <v>166.2</v>
      </c>
      <c r="CZ36" s="299">
        <f t="shared" si="50"/>
        <v>322.2</v>
      </c>
      <c r="DA36" s="299">
        <f t="shared" si="50"/>
        <v>137.4</v>
      </c>
      <c r="DB36" s="299">
        <f t="shared" si="50"/>
        <v>152.99999999999997</v>
      </c>
      <c r="DC36" s="299">
        <f t="shared" si="50"/>
        <v>290.40000000000003</v>
      </c>
      <c r="DD36" s="655">
        <f t="shared" si="50"/>
        <v>612.6</v>
      </c>
      <c r="DE36" s="299">
        <f t="shared" si="50"/>
        <v>156.10000000000002</v>
      </c>
      <c r="DF36" s="299">
        <f t="shared" si="50"/>
        <v>195</v>
      </c>
      <c r="DG36" s="299">
        <f t="shared" si="50"/>
        <v>351.1</v>
      </c>
      <c r="DH36" s="299">
        <f t="shared" si="50"/>
        <v>201.9</v>
      </c>
      <c r="DI36" s="299">
        <f t="shared" si="50"/>
        <v>211</v>
      </c>
      <c r="DJ36" s="299">
        <f t="shared" si="50"/>
        <v>412.9</v>
      </c>
      <c r="DK36" s="655">
        <f t="shared" si="50"/>
        <v>764.00000000000011</v>
      </c>
      <c r="DL36" s="324">
        <f t="shared" si="50"/>
        <v>218.90000000000003</v>
      </c>
      <c r="DM36" s="299">
        <f t="shared" si="50"/>
        <v>245.6</v>
      </c>
      <c r="DN36" s="299">
        <f t="shared" si="50"/>
        <v>464.50000000000006</v>
      </c>
      <c r="DO36" s="299">
        <f t="shared" si="50"/>
        <v>245.3</v>
      </c>
      <c r="DP36" s="299">
        <f t="shared" si="50"/>
        <v>267.60000000000002</v>
      </c>
      <c r="DQ36" s="299">
        <f t="shared" si="50"/>
        <v>512.90000000000009</v>
      </c>
      <c r="DR36" s="591">
        <f t="shared" si="50"/>
        <v>977.40000000000009</v>
      </c>
      <c r="DS36" s="299">
        <f t="shared" si="50"/>
        <v>248.9</v>
      </c>
      <c r="DT36" s="299">
        <f t="shared" si="50"/>
        <v>261.10000000000002</v>
      </c>
      <c r="DU36" s="299">
        <f t="shared" si="50"/>
        <v>510.00000000000006</v>
      </c>
      <c r="DV36" s="306">
        <f t="shared" si="50"/>
        <v>208.89999999999998</v>
      </c>
      <c r="DW36" s="299">
        <f t="shared" si="50"/>
        <v>233.5</v>
      </c>
      <c r="DX36" s="299">
        <f t="shared" si="50"/>
        <v>442.39999999999992</v>
      </c>
      <c r="DY36" s="591">
        <f t="shared" si="50"/>
        <v>952.4</v>
      </c>
      <c r="DZ36" s="299">
        <f t="shared" si="50"/>
        <v>278.80000000000007</v>
      </c>
      <c r="EA36" s="299">
        <f t="shared" si="50"/>
        <v>285.49999999999994</v>
      </c>
      <c r="EB36" s="299">
        <f t="shared" ref="EB36:EM36" si="51">EB48+EB30</f>
        <v>564.29999999999995</v>
      </c>
      <c r="EC36" s="306">
        <f t="shared" si="51"/>
        <v>280.40000000000003</v>
      </c>
      <c r="ED36" s="299">
        <f t="shared" si="51"/>
        <v>280.40000000000009</v>
      </c>
      <c r="EE36" s="299">
        <f t="shared" si="51"/>
        <v>560.80000000000007</v>
      </c>
      <c r="EF36" s="591">
        <f t="shared" si="51"/>
        <v>1125.1000000000001</v>
      </c>
      <c r="EG36" s="299">
        <f t="shared" si="51"/>
        <v>285.2</v>
      </c>
      <c r="EH36" s="299">
        <f t="shared" si="51"/>
        <v>262.89999999999998</v>
      </c>
      <c r="EI36" s="299">
        <f t="shared" si="51"/>
        <v>548.10000000000014</v>
      </c>
      <c r="EJ36" s="306">
        <f t="shared" si="51"/>
        <v>262.10000000000002</v>
      </c>
      <c r="EK36" s="299">
        <f t="shared" si="51"/>
        <v>269.2</v>
      </c>
      <c r="EL36" s="299">
        <f t="shared" si="51"/>
        <v>531.29999999999995</v>
      </c>
      <c r="EM36" s="591">
        <f t="shared" si="51"/>
        <v>1079.4000000000001</v>
      </c>
      <c r="EN36" s="330">
        <f t="shared" ref="EN36" si="52">EN48+EN30</f>
        <v>225.5</v>
      </c>
      <c r="EO36" s="539">
        <v>329.5</v>
      </c>
      <c r="EP36" s="299">
        <f>EN36+EO36</f>
        <v>555</v>
      </c>
      <c r="EQ36" s="719">
        <v>329.9</v>
      </c>
      <c r="ER36" s="299">
        <f>ER48+ER30</f>
        <v>376.76876295311479</v>
      </c>
      <c r="ES36" s="299">
        <f t="shared" ref="ES36:FG36" si="53">ES48+ES30</f>
        <v>722.13616295311476</v>
      </c>
      <c r="ET36" s="591">
        <f t="shared" si="53"/>
        <v>1250.8687629531146</v>
      </c>
      <c r="EU36" s="299">
        <f>EU48+EU30</f>
        <v>373.10772129152883</v>
      </c>
      <c r="EV36" s="299">
        <f t="shared" si="53"/>
        <v>383.69209154078334</v>
      </c>
      <c r="EW36" s="299">
        <f t="shared" si="53"/>
        <v>756.79981283231223</v>
      </c>
      <c r="EX36" s="299">
        <f t="shared" si="53"/>
        <v>388.63701778133333</v>
      </c>
      <c r="EY36" s="299">
        <f t="shared" si="53"/>
        <v>425.71934491714796</v>
      </c>
      <c r="EZ36" s="299">
        <f t="shared" si="53"/>
        <v>814.35636269848135</v>
      </c>
      <c r="FA36" s="591">
        <f t="shared" si="53"/>
        <v>1571.1561755307937</v>
      </c>
      <c r="FB36" s="299">
        <f t="shared" si="53"/>
        <v>414.71341924513638</v>
      </c>
      <c r="FC36" s="299">
        <f t="shared" si="53"/>
        <v>432.39860256477471</v>
      </c>
      <c r="FD36" s="299">
        <f t="shared" si="53"/>
        <v>847.11202180991108</v>
      </c>
      <c r="FE36" s="299">
        <f t="shared" si="53"/>
        <v>447.57613264892609</v>
      </c>
      <c r="FF36" s="299">
        <f t="shared" si="53"/>
        <v>473.46125263132717</v>
      </c>
      <c r="FG36" s="299">
        <f t="shared" si="53"/>
        <v>921.03738528025337</v>
      </c>
      <c r="FH36" s="591">
        <f t="shared" ref="FH36:FV36" si="54">FH48+FH30</f>
        <v>1768.1494070901642</v>
      </c>
      <c r="FI36" s="299">
        <f t="shared" si="54"/>
        <v>460.79695447492566</v>
      </c>
      <c r="FJ36" s="299">
        <f t="shared" si="54"/>
        <v>470.12171248678396</v>
      </c>
      <c r="FK36" s="299">
        <f t="shared" si="54"/>
        <v>930.91866696170973</v>
      </c>
      <c r="FL36" s="299">
        <f t="shared" si="54"/>
        <v>485.3733437620316</v>
      </c>
      <c r="FM36" s="299">
        <f t="shared" si="54"/>
        <v>509.25105783087491</v>
      </c>
      <c r="FN36" s="299">
        <f t="shared" si="54"/>
        <v>994.62440159290622</v>
      </c>
      <c r="FO36" s="591">
        <f t="shared" si="54"/>
        <v>1925.5430685546162</v>
      </c>
      <c r="FP36" s="299">
        <f t="shared" si="54"/>
        <v>500.07634566951469</v>
      </c>
      <c r="FQ36" s="299">
        <f t="shared" si="54"/>
        <v>517.21574389617376</v>
      </c>
      <c r="FR36" s="299">
        <f t="shared" si="54"/>
        <v>1017.2920895656886</v>
      </c>
      <c r="FS36" s="299">
        <f t="shared" si="54"/>
        <v>532.75811778932984</v>
      </c>
      <c r="FT36" s="299">
        <f t="shared" si="54"/>
        <v>555.28011885933984</v>
      </c>
      <c r="FU36" s="299">
        <f t="shared" si="54"/>
        <v>1088.0382366486699</v>
      </c>
      <c r="FV36" s="591">
        <f t="shared" si="54"/>
        <v>2105.3303262143586</v>
      </c>
      <c r="FW36" s="632"/>
    </row>
    <row r="37" spans="1:280" outlineLevel="1" x14ac:dyDescent="0.3">
      <c r="B37" s="253" t="s">
        <v>109</v>
      </c>
      <c r="C37" s="280" t="s">
        <v>226</v>
      </c>
      <c r="BV37" s="251"/>
      <c r="BW37" s="281"/>
      <c r="CP37" s="282"/>
      <c r="CQ37" s="282"/>
      <c r="CR37" s="282"/>
      <c r="CS37" s="282"/>
      <c r="CT37" s="282"/>
      <c r="CU37" s="282"/>
      <c r="CV37" s="282"/>
      <c r="CW37" s="282"/>
      <c r="CX37" s="282"/>
      <c r="CY37" s="282"/>
      <c r="CZ37" s="282"/>
      <c r="DA37" s="282"/>
      <c r="DB37" s="282"/>
      <c r="DC37" s="282"/>
      <c r="DD37" s="608"/>
      <c r="DE37" s="282"/>
      <c r="DF37" s="282"/>
      <c r="DG37" s="282"/>
      <c r="DH37" s="282"/>
      <c r="DI37" s="282"/>
      <c r="DJ37" s="282"/>
      <c r="DK37" s="608"/>
      <c r="DL37" s="284"/>
      <c r="DM37" s="282"/>
      <c r="DN37" s="282"/>
      <c r="DO37" s="282"/>
      <c r="DP37" s="282"/>
      <c r="DQ37" s="282"/>
      <c r="DR37" s="608"/>
      <c r="DS37" s="540"/>
      <c r="DT37" s="540"/>
      <c r="DU37" s="540"/>
      <c r="DV37" s="540"/>
      <c r="DW37" s="540"/>
      <c r="DX37" s="540"/>
      <c r="DY37" s="608"/>
      <c r="DZ37" s="540"/>
      <c r="EA37" s="540"/>
      <c r="EB37" s="540"/>
      <c r="EC37" s="540"/>
      <c r="ED37" s="540"/>
      <c r="EE37" s="540"/>
      <c r="EF37" s="608"/>
      <c r="EG37" s="540"/>
      <c r="EH37" s="540"/>
      <c r="EI37" s="540"/>
      <c r="EJ37" s="540"/>
      <c r="EK37" s="540"/>
      <c r="EL37" s="540"/>
      <c r="EM37" s="608"/>
      <c r="EN37" s="699"/>
      <c r="EO37" s="540"/>
      <c r="EP37" s="540"/>
      <c r="EQ37" s="713"/>
      <c r="ER37" s="566">
        <f t="shared" ref="ER37:FV37" si="55">ER36/ER16</f>
        <v>0.26619362120747431</v>
      </c>
      <c r="ES37" s="566">
        <f t="shared" si="55"/>
        <v>0.26491529913807393</v>
      </c>
      <c r="ET37" s="593">
        <f t="shared" si="55"/>
        <v>0.25805508217629403</v>
      </c>
      <c r="EU37" s="566">
        <f t="shared" si="55"/>
        <v>0.26691859239241339</v>
      </c>
      <c r="EV37" s="566">
        <f t="shared" si="55"/>
        <v>0.2630089286875178</v>
      </c>
      <c r="EW37" s="566">
        <f t="shared" si="55"/>
        <v>0.2649220029421635</v>
      </c>
      <c r="EX37" s="566">
        <f t="shared" si="55"/>
        <v>0.27798466762431179</v>
      </c>
      <c r="EY37" s="566">
        <f t="shared" si="55"/>
        <v>0.27728760251942114</v>
      </c>
      <c r="EZ37" s="566">
        <f t="shared" si="55"/>
        <v>0.27761982778024685</v>
      </c>
      <c r="FA37" s="593">
        <f t="shared" si="55"/>
        <v>0.27135497669671799</v>
      </c>
      <c r="FB37" s="566">
        <f t="shared" si="55"/>
        <v>0.27158430195342831</v>
      </c>
      <c r="FC37" s="566">
        <f t="shared" si="55"/>
        <v>0.26788779528075468</v>
      </c>
      <c r="FD37" s="566">
        <f t="shared" si="55"/>
        <v>0.2696848055244922</v>
      </c>
      <c r="FE37" s="566">
        <f t="shared" si="55"/>
        <v>0.28942203051043508</v>
      </c>
      <c r="FF37" s="566">
        <f t="shared" si="55"/>
        <v>0.28073862758327212</v>
      </c>
      <c r="FG37" s="566">
        <f t="shared" si="55"/>
        <v>0.28489226600149942</v>
      </c>
      <c r="FH37" s="593">
        <f t="shared" si="55"/>
        <v>0.2773980617452762</v>
      </c>
      <c r="FI37" s="566">
        <f t="shared" si="55"/>
        <v>0.27955821522047769</v>
      </c>
      <c r="FJ37" s="566">
        <f t="shared" si="55"/>
        <v>0.27105193491207347</v>
      </c>
      <c r="FK37" s="566">
        <f t="shared" si="55"/>
        <v>0.27519678325940478</v>
      </c>
      <c r="FL37" s="566">
        <f t="shared" si="55"/>
        <v>0.29257064507447134</v>
      </c>
      <c r="FM37" s="566">
        <f t="shared" si="55"/>
        <v>0.28328967234903973</v>
      </c>
      <c r="FN37" s="566">
        <f t="shared" si="55"/>
        <v>0.28774403829414463</v>
      </c>
      <c r="FO37" s="593">
        <f t="shared" si="55"/>
        <v>0.28153818952716003</v>
      </c>
      <c r="FP37" s="566">
        <f t="shared" si="55"/>
        <v>0.28356206105277892</v>
      </c>
      <c r="FQ37" s="566">
        <f t="shared" si="55"/>
        <v>0.27690122197691358</v>
      </c>
      <c r="FR37" s="566">
        <f t="shared" si="55"/>
        <v>0.28013596911366329</v>
      </c>
      <c r="FS37" s="566">
        <f t="shared" si="55"/>
        <v>0.29724276923002924</v>
      </c>
      <c r="FT37" s="566">
        <f t="shared" si="55"/>
        <v>0.28693300450179554</v>
      </c>
      <c r="FU37" s="566">
        <f t="shared" si="55"/>
        <v>0.29189027944031304</v>
      </c>
      <c r="FV37" s="593">
        <f t="shared" si="55"/>
        <v>0.28608990236060461</v>
      </c>
    </row>
    <row r="38" spans="1:280" outlineLevel="1" x14ac:dyDescent="0.3">
      <c r="B38" s="273" t="s">
        <v>419</v>
      </c>
      <c r="C38" s="319"/>
      <c r="D38" s="275"/>
      <c r="E38" s="275"/>
      <c r="F38" s="275"/>
      <c r="G38" s="275"/>
      <c r="H38" s="275"/>
      <c r="I38" s="275"/>
      <c r="J38" s="275"/>
      <c r="K38" s="275"/>
      <c r="L38" s="275"/>
      <c r="M38" s="275"/>
      <c r="N38" s="275"/>
      <c r="O38" s="275"/>
      <c r="P38" s="275"/>
      <c r="Q38" s="275"/>
      <c r="R38" s="275"/>
      <c r="S38" s="275"/>
      <c r="T38" s="275"/>
      <c r="U38" s="275"/>
      <c r="V38" s="275"/>
      <c r="W38" s="275"/>
      <c r="X38" s="275"/>
      <c r="Y38" s="275"/>
      <c r="Z38" s="275"/>
      <c r="AA38" s="275"/>
      <c r="AB38" s="275"/>
      <c r="AC38" s="275"/>
      <c r="AD38" s="275"/>
      <c r="AE38" s="275"/>
      <c r="AF38" s="275"/>
      <c r="AG38" s="275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  <c r="AR38" s="275"/>
      <c r="AS38" s="275"/>
      <c r="AT38" s="276"/>
      <c r="AU38" s="276"/>
      <c r="AV38" s="276"/>
      <c r="AW38" s="276"/>
      <c r="AX38" s="276"/>
      <c r="AY38" s="276"/>
      <c r="AZ38" s="276"/>
      <c r="BA38" s="276"/>
      <c r="BB38" s="276"/>
      <c r="BC38" s="276"/>
      <c r="BD38" s="276"/>
      <c r="BE38" s="276"/>
      <c r="BF38" s="276"/>
      <c r="BG38" s="276"/>
      <c r="BH38" s="276"/>
      <c r="BI38" s="276"/>
      <c r="BJ38" s="276"/>
      <c r="BK38" s="276"/>
      <c r="BL38" s="276"/>
      <c r="BM38" s="276"/>
      <c r="BN38" s="276"/>
      <c r="BO38" s="276"/>
      <c r="BP38" s="276"/>
      <c r="BQ38" s="276"/>
      <c r="BR38" s="276"/>
      <c r="BS38" s="276"/>
      <c r="BT38" s="276"/>
      <c r="BU38" s="276"/>
      <c r="BV38" s="276"/>
      <c r="BW38" s="276"/>
      <c r="BX38" s="276"/>
      <c r="BY38" s="276"/>
      <c r="BZ38" s="276"/>
      <c r="CA38" s="276"/>
      <c r="CB38" s="277"/>
      <c r="CC38" s="277"/>
      <c r="CD38" s="277"/>
      <c r="CE38" s="277"/>
      <c r="CF38" s="277"/>
      <c r="CG38" s="277"/>
      <c r="CH38" s="277"/>
      <c r="CI38" s="277"/>
      <c r="CJ38" s="277"/>
      <c r="CK38" s="277"/>
      <c r="CL38" s="277"/>
      <c r="CM38" s="277"/>
      <c r="CN38" s="277"/>
      <c r="CO38" s="277"/>
      <c r="CP38" s="286"/>
      <c r="CQ38" s="286"/>
      <c r="CR38" s="286"/>
      <c r="CS38" s="286"/>
      <c r="CT38" s="286"/>
      <c r="CU38" s="286"/>
      <c r="CV38" s="286"/>
      <c r="CW38" s="286"/>
      <c r="CX38" s="286"/>
      <c r="CY38" s="286"/>
      <c r="CZ38" s="286"/>
      <c r="DA38" s="286"/>
      <c r="DB38" s="286"/>
      <c r="DC38" s="286"/>
      <c r="DD38" s="608"/>
      <c r="DE38" s="286"/>
      <c r="DF38" s="286"/>
      <c r="DG38" s="286"/>
      <c r="DH38" s="286"/>
      <c r="DI38" s="286"/>
      <c r="DJ38" s="286"/>
      <c r="DK38" s="608"/>
      <c r="DL38" s="287"/>
      <c r="DM38" s="286"/>
      <c r="DN38" s="286"/>
      <c r="DO38" s="286"/>
      <c r="DP38" s="286"/>
      <c r="DQ38" s="286"/>
      <c r="DR38" s="608"/>
      <c r="DS38" s="548"/>
      <c r="DT38" s="548"/>
      <c r="DU38" s="548"/>
      <c r="DV38" s="548"/>
      <c r="DW38" s="548"/>
      <c r="DX38" s="548"/>
      <c r="DY38" s="608"/>
      <c r="DZ38" s="548"/>
      <c r="EA38" s="540"/>
      <c r="EB38" s="548"/>
      <c r="EC38" s="548"/>
      <c r="ED38" s="548"/>
      <c r="EE38" s="548"/>
      <c r="EF38" s="608"/>
      <c r="EG38" s="548"/>
      <c r="EH38" s="540"/>
      <c r="EI38" s="548"/>
      <c r="EJ38" s="548"/>
      <c r="EK38" s="548"/>
      <c r="EL38" s="548"/>
      <c r="EM38" s="608"/>
      <c r="EN38" s="548"/>
      <c r="EO38" s="540"/>
      <c r="EP38" s="548"/>
      <c r="EQ38" s="549"/>
      <c r="ER38" s="286"/>
      <c r="ES38" s="286"/>
      <c r="ET38" s="590"/>
      <c r="EU38" s="286"/>
      <c r="EV38" s="286"/>
      <c r="EW38" s="286"/>
      <c r="EX38" s="286"/>
      <c r="EY38" s="286"/>
      <c r="EZ38" s="286"/>
      <c r="FA38" s="590"/>
      <c r="FB38" s="286"/>
      <c r="FC38" s="286"/>
      <c r="FD38" s="286"/>
      <c r="FE38" s="286"/>
      <c r="FF38" s="286"/>
      <c r="FG38" s="286"/>
      <c r="FH38" s="590"/>
      <c r="FI38" s="286"/>
      <c r="FJ38" s="286"/>
      <c r="FK38" s="286"/>
      <c r="FL38" s="286"/>
      <c r="FM38" s="286"/>
      <c r="FN38" s="286"/>
      <c r="FO38" s="590"/>
      <c r="FP38" s="286"/>
      <c r="FQ38" s="286"/>
      <c r="FR38" s="286"/>
      <c r="FS38" s="286"/>
      <c r="FT38" s="286"/>
      <c r="FU38" s="286"/>
      <c r="FV38" s="590"/>
    </row>
    <row r="39" spans="1:280" outlineLevel="1" x14ac:dyDescent="0.3">
      <c r="B39" s="279" t="str">
        <f>B24</f>
        <v>Siding &amp; Triming</v>
      </c>
      <c r="C39" s="280" t="s">
        <v>226</v>
      </c>
      <c r="D39" s="281">
        <v>94.1</v>
      </c>
      <c r="E39" s="281">
        <v>86.1</v>
      </c>
      <c r="F39" s="281">
        <v>180.2</v>
      </c>
      <c r="G39" s="281">
        <v>79.7</v>
      </c>
      <c r="H39" s="281">
        <v>82.7</v>
      </c>
      <c r="I39" s="281">
        <v>162.4</v>
      </c>
      <c r="J39" s="281">
        <v>342.6</v>
      </c>
      <c r="K39" s="281">
        <v>103.3</v>
      </c>
      <c r="L39" s="281">
        <v>97.8</v>
      </c>
      <c r="M39" s="281">
        <v>201.1</v>
      </c>
      <c r="N39" s="281">
        <v>76.7</v>
      </c>
      <c r="O39" s="281">
        <v>84.6</v>
      </c>
      <c r="P39" s="281">
        <v>161.30000000000001</v>
      </c>
      <c r="Q39" s="281">
        <v>362.4</v>
      </c>
      <c r="R39" s="281">
        <v>113.1</v>
      </c>
      <c r="S39" s="281">
        <v>82.4</v>
      </c>
      <c r="T39" s="281">
        <v>195.5</v>
      </c>
      <c r="U39" s="281">
        <v>63.3</v>
      </c>
      <c r="V39" s="281">
        <v>47.5</v>
      </c>
      <c r="W39" s="281">
        <v>110.8</v>
      </c>
      <c r="X39" s="281">
        <v>306.3</v>
      </c>
      <c r="Y39" s="281">
        <v>65.599999999999994</v>
      </c>
      <c r="Z39" s="281">
        <v>61.1</v>
      </c>
      <c r="AA39" s="281">
        <v>126.69999999999999</v>
      </c>
      <c r="AB39" s="281">
        <v>40.299999999999997</v>
      </c>
      <c r="AC39" s="281">
        <v>32.299999999999997</v>
      </c>
      <c r="AD39" s="281">
        <v>72.599999999999994</v>
      </c>
      <c r="AE39" s="281">
        <v>199.3</v>
      </c>
      <c r="AF39" s="281">
        <v>68.8</v>
      </c>
      <c r="AG39" s="281">
        <v>65.3</v>
      </c>
      <c r="AH39" s="281">
        <v>134.1</v>
      </c>
      <c r="AI39" s="281">
        <v>39.6</v>
      </c>
      <c r="AJ39" s="281">
        <v>34.799999999999997</v>
      </c>
      <c r="AK39" s="281">
        <v>74.400000000000006</v>
      </c>
      <c r="AL39" s="281">
        <v>208.5</v>
      </c>
      <c r="AM39" s="281">
        <v>56.1</v>
      </c>
      <c r="AN39" s="281">
        <v>39.4</v>
      </c>
      <c r="AO39" s="281">
        <v>95.5</v>
      </c>
      <c r="AP39" s="281">
        <v>26.3</v>
      </c>
      <c r="AQ39" s="281">
        <v>38.5</v>
      </c>
      <c r="AR39" s="281">
        <v>64.8</v>
      </c>
      <c r="AS39" s="281">
        <v>160.30000000000001</v>
      </c>
      <c r="AT39" s="281">
        <v>47.1</v>
      </c>
      <c r="AU39" s="281">
        <v>46.6</v>
      </c>
      <c r="AV39" s="281">
        <v>93.7</v>
      </c>
      <c r="AW39" s="281">
        <v>31.5</v>
      </c>
      <c r="AX39" s="281">
        <v>36.6</v>
      </c>
      <c r="AY39" s="281">
        <v>68.099999999999994</v>
      </c>
      <c r="AZ39" s="281">
        <v>161.80000000000001</v>
      </c>
      <c r="BA39" s="281">
        <v>50.1</v>
      </c>
      <c r="BB39" s="281">
        <v>45</v>
      </c>
      <c r="BC39" s="281">
        <v>95.1</v>
      </c>
      <c r="BD39" s="281">
        <v>32</v>
      </c>
      <c r="BE39" s="281">
        <v>38.700000000000003</v>
      </c>
      <c r="BF39" s="281">
        <v>70.7</v>
      </c>
      <c r="BG39" s="281">
        <v>165.8</v>
      </c>
      <c r="BH39" s="281">
        <v>59.7</v>
      </c>
      <c r="BI39" s="281">
        <v>66.400000000000006</v>
      </c>
      <c r="BJ39" s="281">
        <v>126.10000000000001</v>
      </c>
      <c r="BK39" s="281">
        <v>53.2</v>
      </c>
      <c r="BL39" s="281">
        <v>55.8</v>
      </c>
      <c r="BM39" s="281">
        <v>109</v>
      </c>
      <c r="BN39" s="281">
        <v>235.10000000000002</v>
      </c>
      <c r="BO39" s="281">
        <v>67.400000000000006</v>
      </c>
      <c r="BP39" s="281">
        <v>74.599999999999994</v>
      </c>
      <c r="BQ39" s="281">
        <v>142</v>
      </c>
      <c r="BR39" s="281">
        <v>65.2</v>
      </c>
      <c r="BS39" s="281">
        <v>82.8</v>
      </c>
      <c r="BT39" s="281">
        <v>148</v>
      </c>
      <c r="BU39" s="281">
        <v>290</v>
      </c>
      <c r="BV39" s="281">
        <v>91</v>
      </c>
      <c r="BW39" s="281">
        <v>91.4</v>
      </c>
      <c r="BX39" s="281">
        <v>182.4</v>
      </c>
      <c r="BY39" s="281">
        <v>84.4</v>
      </c>
      <c r="BZ39" s="281">
        <v>85.4</v>
      </c>
      <c r="CA39" s="281">
        <v>169.8</v>
      </c>
      <c r="CB39" s="281">
        <v>352.20000000000005</v>
      </c>
      <c r="CC39" s="281">
        <v>94.6</v>
      </c>
      <c r="CD39" s="281">
        <v>97.7</v>
      </c>
      <c r="CE39" s="281">
        <v>192.3</v>
      </c>
      <c r="CF39" s="281">
        <v>75.5</v>
      </c>
      <c r="CG39" s="281">
        <v>76.099999999999994</v>
      </c>
      <c r="CH39" s="281">
        <v>151.6</v>
      </c>
      <c r="CI39" s="281">
        <v>343.9</v>
      </c>
      <c r="CJ39" s="281">
        <v>79.8</v>
      </c>
      <c r="CK39" s="281">
        <v>97.4</v>
      </c>
      <c r="CL39" s="281">
        <v>177.2</v>
      </c>
      <c r="CM39" s="281">
        <v>101.3</v>
      </c>
      <c r="CN39" s="281">
        <v>103.4</v>
      </c>
      <c r="CO39" s="281">
        <v>204.7</v>
      </c>
      <c r="CP39" s="282">
        <v>381.9</v>
      </c>
      <c r="CQ39" s="282">
        <v>107.2</v>
      </c>
      <c r="CR39" s="282">
        <v>99.5</v>
      </c>
      <c r="CS39" s="282">
        <v>206.7</v>
      </c>
      <c r="CT39" s="282">
        <v>86.1</v>
      </c>
      <c r="CU39" s="282">
        <v>95.1</v>
      </c>
      <c r="CV39" s="282">
        <v>181.2</v>
      </c>
      <c r="CW39" s="282">
        <v>387.9</v>
      </c>
      <c r="CX39" s="282">
        <v>113.5</v>
      </c>
      <c r="CY39" s="282">
        <v>124.7</v>
      </c>
      <c r="CZ39" s="282">
        <v>238.2</v>
      </c>
      <c r="DA39" s="282">
        <v>112.3</v>
      </c>
      <c r="DB39" s="282">
        <v>120</v>
      </c>
      <c r="DC39" s="282">
        <v>232.3</v>
      </c>
      <c r="DD39" s="608">
        <v>470.5</v>
      </c>
      <c r="DE39" s="282">
        <v>130.9</v>
      </c>
      <c r="DF39" s="282">
        <v>148.6</v>
      </c>
      <c r="DG39" s="282">
        <v>279.5</v>
      </c>
      <c r="DH39" s="282">
        <v>155.6</v>
      </c>
      <c r="DI39" s="282">
        <v>152.9</v>
      </c>
      <c r="DJ39" s="282">
        <v>308.5</v>
      </c>
      <c r="DK39" s="608">
        <v>588</v>
      </c>
      <c r="DL39" s="284">
        <v>169.3</v>
      </c>
      <c r="DM39" s="282">
        <v>182.5</v>
      </c>
      <c r="DN39" s="282">
        <v>351.8</v>
      </c>
      <c r="DO39" s="282">
        <v>183.3</v>
      </c>
      <c r="DP39" s="282">
        <v>206.10000000000002</v>
      </c>
      <c r="DQ39" s="282">
        <v>389.40000000000003</v>
      </c>
      <c r="DR39" s="590">
        <v>741.2</v>
      </c>
      <c r="DS39" s="282">
        <v>191.8</v>
      </c>
      <c r="DT39" s="282">
        <v>212.8</v>
      </c>
      <c r="DU39" s="282">
        <v>404.6</v>
      </c>
      <c r="DV39" s="282">
        <v>174.1</v>
      </c>
      <c r="DW39" s="282">
        <v>188.79999999999998</v>
      </c>
      <c r="DX39" s="282">
        <v>362.9</v>
      </c>
      <c r="DY39" s="590">
        <v>767.5</v>
      </c>
      <c r="DZ39" s="282">
        <v>217.6</v>
      </c>
      <c r="EA39" s="282">
        <v>232.7</v>
      </c>
      <c r="EB39" s="282">
        <v>450.29999999999995</v>
      </c>
      <c r="EC39" s="282">
        <v>237.8</v>
      </c>
      <c r="ED39" s="282">
        <v>233.00000000000006</v>
      </c>
      <c r="EE39" s="282">
        <v>470.80000000000007</v>
      </c>
      <c r="EF39" s="590">
        <v>921.1</v>
      </c>
      <c r="EG39" s="282">
        <v>227.3</v>
      </c>
      <c r="EH39" s="282">
        <v>201.9</v>
      </c>
      <c r="EI39" s="282">
        <v>429.20000000000005</v>
      </c>
      <c r="EJ39" s="282">
        <v>209.3</v>
      </c>
      <c r="EK39" s="282">
        <v>202.39999999999992</v>
      </c>
      <c r="EL39" s="282">
        <v>411.69999999999993</v>
      </c>
      <c r="EM39" s="590">
        <v>840.9</v>
      </c>
      <c r="EN39" s="540">
        <v>162.20000000000002</v>
      </c>
      <c r="EO39" s="283">
        <v>166</v>
      </c>
      <c r="EP39" s="282">
        <v>328.20000000000005</v>
      </c>
      <c r="EQ39" s="547">
        <v>219.3</v>
      </c>
      <c r="ER39" s="282">
        <v>213.44526895894018</v>
      </c>
      <c r="ES39" s="282">
        <v>448.21266895894018</v>
      </c>
      <c r="ET39" s="590">
        <v>760.94526895894023</v>
      </c>
      <c r="EU39" s="282">
        <v>196.13570927217415</v>
      </c>
      <c r="EV39" s="282">
        <v>205.25241174609386</v>
      </c>
      <c r="EW39" s="282">
        <v>401.38812101826801</v>
      </c>
      <c r="EX39" s="282">
        <v>255.09191493066169</v>
      </c>
      <c r="EY39" s="282">
        <v>231.76470550577136</v>
      </c>
      <c r="EZ39" s="282">
        <v>486.8566204364331</v>
      </c>
      <c r="FA39" s="590">
        <v>888.24474145470106</v>
      </c>
      <c r="FB39" s="282">
        <v>220.09178385404189</v>
      </c>
      <c r="FC39" s="282">
        <v>230.50380356119183</v>
      </c>
      <c r="FD39" s="282">
        <v>450.59558741523369</v>
      </c>
      <c r="FE39" s="282">
        <v>285.96252661854589</v>
      </c>
      <c r="FF39" s="282">
        <v>259.00745404168208</v>
      </c>
      <c r="FG39" s="282">
        <v>544.96998066022798</v>
      </c>
      <c r="FH39" s="590">
        <v>995.56556807546167</v>
      </c>
      <c r="FI39" s="282">
        <v>245.91453890452445</v>
      </c>
      <c r="FJ39" s="282">
        <v>257.77313389215271</v>
      </c>
      <c r="FK39" s="282">
        <v>503.68767279667719</v>
      </c>
      <c r="FL39" s="282">
        <v>319.04036166063622</v>
      </c>
      <c r="FM39" s="282">
        <v>288.33334032204283</v>
      </c>
      <c r="FN39" s="282">
        <v>607.37370198267899</v>
      </c>
      <c r="FO39" s="590">
        <v>1111.0613747793561</v>
      </c>
      <c r="FP39" s="282">
        <v>273.08285513885488</v>
      </c>
      <c r="FQ39" s="282">
        <v>286.55450739819952</v>
      </c>
      <c r="FR39" s="282">
        <v>559.63736253705429</v>
      </c>
      <c r="FS39" s="282">
        <v>353.76901939754782</v>
      </c>
      <c r="FT39" s="282">
        <v>319.16619764120463</v>
      </c>
      <c r="FU39" s="282">
        <v>672.93521703875251</v>
      </c>
      <c r="FV39" s="590">
        <v>1232.5725795758069</v>
      </c>
    </row>
    <row r="40" spans="1:280" outlineLevel="1" x14ac:dyDescent="0.3">
      <c r="B40" s="279" t="str">
        <f>B25</f>
        <v>A&amp;NZ</v>
      </c>
      <c r="C40" s="280" t="s">
        <v>226</v>
      </c>
      <c r="D40" s="277"/>
      <c r="E40" s="277"/>
      <c r="F40" s="277"/>
      <c r="G40" s="277"/>
      <c r="H40" s="277"/>
      <c r="I40" s="277"/>
      <c r="J40" s="277"/>
      <c r="K40" s="277"/>
      <c r="L40" s="277"/>
      <c r="M40" s="277"/>
      <c r="N40" s="277"/>
      <c r="O40" s="277"/>
      <c r="P40" s="277"/>
      <c r="Q40" s="277"/>
      <c r="R40" s="277"/>
      <c r="S40" s="277"/>
      <c r="T40" s="277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85">
        <v>26.4</v>
      </c>
      <c r="CK40" s="285">
        <v>30.5</v>
      </c>
      <c r="CL40" s="285">
        <v>56.9</v>
      </c>
      <c r="CM40" s="285">
        <v>24.9</v>
      </c>
      <c r="CN40" s="285">
        <v>26.3</v>
      </c>
      <c r="CO40" s="285">
        <v>51.2</v>
      </c>
      <c r="CP40" s="282">
        <v>108.1</v>
      </c>
      <c r="CQ40" s="282">
        <v>28.3</v>
      </c>
      <c r="CR40" s="282">
        <v>27.5</v>
      </c>
      <c r="CS40" s="282">
        <v>55.8</v>
      </c>
      <c r="CT40" s="282">
        <v>23.5</v>
      </c>
      <c r="CU40" s="282">
        <v>20.5</v>
      </c>
      <c r="CV40" s="282">
        <v>44</v>
      </c>
      <c r="CW40" s="282">
        <v>99.8</v>
      </c>
      <c r="CX40" s="282">
        <v>24.8</v>
      </c>
      <c r="CY40" s="282">
        <v>27</v>
      </c>
      <c r="CZ40" s="282">
        <v>51.8</v>
      </c>
      <c r="DA40" s="282">
        <v>23.4</v>
      </c>
      <c r="DB40" s="282">
        <v>19.600000000000001</v>
      </c>
      <c r="DC40" s="282">
        <v>43</v>
      </c>
      <c r="DD40" s="608">
        <v>94.8</v>
      </c>
      <c r="DE40" s="282">
        <v>22.3</v>
      </c>
      <c r="DF40" s="282">
        <v>38.700000000000003</v>
      </c>
      <c r="DG40" s="282">
        <v>61</v>
      </c>
      <c r="DH40" s="282">
        <v>33.5</v>
      </c>
      <c r="DI40" s="282">
        <v>33.699999999999989</v>
      </c>
      <c r="DJ40" s="282">
        <v>67.199999999999989</v>
      </c>
      <c r="DK40" s="608">
        <v>128.19999999999999</v>
      </c>
      <c r="DL40" s="284">
        <v>38.799999999999997</v>
      </c>
      <c r="DM40" s="282">
        <v>44.5</v>
      </c>
      <c r="DN40" s="282">
        <v>83.3</v>
      </c>
      <c r="DO40" s="282">
        <v>39.1</v>
      </c>
      <c r="DP40" s="282">
        <v>38.400000000000013</v>
      </c>
      <c r="DQ40" s="282">
        <v>77.500000000000014</v>
      </c>
      <c r="DR40" s="590">
        <v>160.80000000000001</v>
      </c>
      <c r="DS40" s="282">
        <v>36.6</v>
      </c>
      <c r="DT40" s="282">
        <v>38.299999999999997</v>
      </c>
      <c r="DU40" s="282">
        <v>74.900000000000006</v>
      </c>
      <c r="DV40" s="282">
        <v>27.6</v>
      </c>
      <c r="DW40" s="282">
        <v>40.300000000000004</v>
      </c>
      <c r="DX40" s="282">
        <v>67.900000000000006</v>
      </c>
      <c r="DY40" s="590">
        <v>142.80000000000001</v>
      </c>
      <c r="DZ40" s="282">
        <v>46.5</v>
      </c>
      <c r="EA40" s="282">
        <v>44.4</v>
      </c>
      <c r="EB40" s="282">
        <v>90.9</v>
      </c>
      <c r="EC40" s="282">
        <v>36.700000000000003</v>
      </c>
      <c r="ED40" s="282">
        <v>38.499999999999986</v>
      </c>
      <c r="EE40" s="282">
        <v>75.199999999999989</v>
      </c>
      <c r="EF40" s="590">
        <v>166.1</v>
      </c>
      <c r="EG40" s="282">
        <v>41.2</v>
      </c>
      <c r="EH40" s="282">
        <v>49.3</v>
      </c>
      <c r="EI40" s="282">
        <v>90.5</v>
      </c>
      <c r="EJ40" s="282">
        <v>34.799999999999997</v>
      </c>
      <c r="EK40" s="282">
        <v>36.000000000000014</v>
      </c>
      <c r="EL40" s="282">
        <v>70.800000000000011</v>
      </c>
      <c r="EM40" s="590">
        <v>161.30000000000001</v>
      </c>
      <c r="EN40" s="540">
        <v>37.799999999999997</v>
      </c>
      <c r="EO40" s="283">
        <v>38</v>
      </c>
      <c r="EP40" s="282">
        <v>75.8</v>
      </c>
      <c r="EQ40" s="547">
        <v>35.6</v>
      </c>
      <c r="ER40" s="282">
        <v>37.945103994174595</v>
      </c>
      <c r="ES40" s="282">
        <v>73.545103994174596</v>
      </c>
      <c r="ET40" s="590">
        <v>149.34510399417459</v>
      </c>
      <c r="EU40" s="282">
        <v>42.964862019354683</v>
      </c>
      <c r="EV40" s="282">
        <v>43.33622979468953</v>
      </c>
      <c r="EW40" s="282">
        <v>86.301091814044213</v>
      </c>
      <c r="EX40" s="282">
        <v>40.295577850671627</v>
      </c>
      <c r="EY40" s="282">
        <v>43.679749411376598</v>
      </c>
      <c r="EZ40" s="282">
        <v>83.975327262048225</v>
      </c>
      <c r="FA40" s="590">
        <v>170.27641907609245</v>
      </c>
      <c r="FB40" s="282">
        <v>51.012593891094504</v>
      </c>
      <c r="FC40" s="282">
        <v>51.5886461353141</v>
      </c>
      <c r="FD40" s="282">
        <v>102.6012400264086</v>
      </c>
      <c r="FE40" s="282">
        <v>46.096385037389545</v>
      </c>
      <c r="FF40" s="282">
        <v>49.920258759645115</v>
      </c>
      <c r="FG40" s="282">
        <v>96.016643797034661</v>
      </c>
      <c r="FH40" s="590">
        <v>198.61788382344326</v>
      </c>
      <c r="FI40" s="282">
        <v>57.492474879378761</v>
      </c>
      <c r="FJ40" s="282">
        <v>54.998619765370819</v>
      </c>
      <c r="FK40" s="282">
        <v>112.49109464474958</v>
      </c>
      <c r="FL40" s="282">
        <v>49.166951271936483</v>
      </c>
      <c r="FM40" s="282">
        <v>53.171857954086505</v>
      </c>
      <c r="FN40" s="282">
        <v>102.33880922602299</v>
      </c>
      <c r="FO40" s="590">
        <v>214.82990387077257</v>
      </c>
      <c r="FP40" s="282">
        <v>58.73450243067299</v>
      </c>
      <c r="FQ40" s="282">
        <v>62.254660226645733</v>
      </c>
      <c r="FR40" s="282">
        <v>120.98916265731873</v>
      </c>
      <c r="FS40" s="282">
        <v>51.52824822512742</v>
      </c>
      <c r="FT40" s="282">
        <v>53.435943871749387</v>
      </c>
      <c r="FU40" s="282">
        <v>104.96419209687681</v>
      </c>
      <c r="FV40" s="590">
        <v>225.95335475419554</v>
      </c>
    </row>
    <row r="41" spans="1:280" outlineLevel="1" x14ac:dyDescent="0.3">
      <c r="B41" s="279" t="s">
        <v>643</v>
      </c>
      <c r="C41" s="280" t="s">
        <v>226</v>
      </c>
      <c r="D41" s="277"/>
      <c r="E41" s="277"/>
      <c r="F41" s="277"/>
      <c r="G41" s="277"/>
      <c r="H41" s="277"/>
      <c r="I41" s="277"/>
      <c r="J41" s="277"/>
      <c r="K41" s="277"/>
      <c r="L41" s="277"/>
      <c r="M41" s="277"/>
      <c r="N41" s="277"/>
      <c r="O41" s="277"/>
      <c r="P41" s="277"/>
      <c r="Q41" s="277"/>
      <c r="R41" s="277"/>
      <c r="S41" s="277"/>
      <c r="T41" s="277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85">
        <v>0</v>
      </c>
      <c r="CK41" s="285">
        <v>0</v>
      </c>
      <c r="CL41" s="285">
        <v>0</v>
      </c>
      <c r="CM41" s="285">
        <v>0</v>
      </c>
      <c r="CN41" s="285">
        <v>0</v>
      </c>
      <c r="CO41" s="285">
        <v>0</v>
      </c>
      <c r="CP41" s="282">
        <v>0</v>
      </c>
      <c r="CQ41" s="282">
        <v>-4.5999999999999996</v>
      </c>
      <c r="CR41" s="282">
        <v>3.4</v>
      </c>
      <c r="CS41" s="282">
        <v>-1.1999999999999997</v>
      </c>
      <c r="CT41" s="282">
        <v>4.0999999999999996</v>
      </c>
      <c r="CU41" s="282">
        <v>7.1</v>
      </c>
      <c r="CV41" s="282">
        <v>11.2</v>
      </c>
      <c r="CW41" s="282">
        <v>10</v>
      </c>
      <c r="CX41" s="282">
        <v>7.9</v>
      </c>
      <c r="CY41" s="282">
        <v>5.8</v>
      </c>
      <c r="CZ41" s="282">
        <v>13.7</v>
      </c>
      <c r="DA41" s="282">
        <v>2.4</v>
      </c>
      <c r="DB41" s="282">
        <v>0.6</v>
      </c>
      <c r="DC41" s="282">
        <v>3</v>
      </c>
      <c r="DD41" s="608">
        <v>16.7</v>
      </c>
      <c r="DE41" s="282">
        <v>2.4</v>
      </c>
      <c r="DF41" s="282">
        <v>11.1</v>
      </c>
      <c r="DG41" s="282">
        <v>13.5</v>
      </c>
      <c r="DH41" s="282">
        <v>10.3</v>
      </c>
      <c r="DI41" s="282">
        <v>18.900000000000002</v>
      </c>
      <c r="DJ41" s="282">
        <v>29.200000000000003</v>
      </c>
      <c r="DK41" s="608">
        <v>42.7</v>
      </c>
      <c r="DL41" s="284">
        <v>16.3</v>
      </c>
      <c r="DM41" s="282">
        <v>16.7</v>
      </c>
      <c r="DN41" s="282">
        <v>33</v>
      </c>
      <c r="DO41" s="282">
        <v>11.9</v>
      </c>
      <c r="DP41" s="282">
        <v>18</v>
      </c>
      <c r="DQ41" s="282">
        <v>29.9</v>
      </c>
      <c r="DR41" s="590">
        <v>62.9</v>
      </c>
      <c r="DS41" s="282">
        <v>12.1</v>
      </c>
      <c r="DT41" s="282">
        <v>4.5</v>
      </c>
      <c r="DU41" s="282">
        <v>16.600000000000001</v>
      </c>
      <c r="DV41" s="282">
        <v>1.4</v>
      </c>
      <c r="DW41" s="282">
        <v>8.4999999999999982</v>
      </c>
      <c r="DX41" s="282">
        <v>9.8999999999999986</v>
      </c>
      <c r="DY41" s="590">
        <v>26.5</v>
      </c>
      <c r="DZ41" s="282">
        <v>11.8</v>
      </c>
      <c r="EA41" s="282">
        <v>12.5</v>
      </c>
      <c r="EB41" s="282">
        <v>24.3</v>
      </c>
      <c r="EC41" s="282">
        <v>7.6</v>
      </c>
      <c r="ED41" s="282">
        <v>13.1</v>
      </c>
      <c r="EE41" s="282">
        <v>20.7</v>
      </c>
      <c r="EF41" s="590">
        <v>45</v>
      </c>
      <c r="EG41" s="282">
        <v>12.2</v>
      </c>
      <c r="EH41" s="282">
        <v>8.9</v>
      </c>
      <c r="EI41" s="282">
        <v>21.1</v>
      </c>
      <c r="EJ41" s="282">
        <v>3.6</v>
      </c>
      <c r="EK41" s="282">
        <v>13.299999999999999</v>
      </c>
      <c r="EL41" s="282">
        <v>16.899999999999999</v>
      </c>
      <c r="EM41" s="590">
        <v>38</v>
      </c>
      <c r="EN41" s="540">
        <v>15.1</v>
      </c>
      <c r="EO41" s="283">
        <v>13.7</v>
      </c>
      <c r="EP41" s="282">
        <v>28.799999999999997</v>
      </c>
      <c r="EQ41" s="547">
        <v>9.1000000000000014</v>
      </c>
      <c r="ER41" s="282">
        <v>13.75164</v>
      </c>
      <c r="ES41" s="282">
        <v>22.851640000000003</v>
      </c>
      <c r="ET41" s="590">
        <v>51.65164</v>
      </c>
      <c r="EU41" s="282">
        <v>15.1</v>
      </c>
      <c r="EV41" s="282">
        <v>13.7</v>
      </c>
      <c r="EW41" s="282">
        <v>28.799999999999997</v>
      </c>
      <c r="EX41" s="282">
        <v>9.1000000000000014</v>
      </c>
      <c r="EY41" s="282">
        <v>13.75164</v>
      </c>
      <c r="EZ41" s="282">
        <v>22.851640000000003</v>
      </c>
      <c r="FA41" s="590">
        <v>51.65164</v>
      </c>
      <c r="FB41" s="282">
        <v>14.344823999999999</v>
      </c>
      <c r="FC41" s="282">
        <v>14.002567868268802</v>
      </c>
      <c r="FD41" s="282">
        <v>28.347391868268801</v>
      </c>
      <c r="FE41" s="282">
        <v>16.165682242990652</v>
      </c>
      <c r="FF41" s="282">
        <v>14.413726079999998</v>
      </c>
      <c r="FG41" s="282">
        <v>30.579408322990652</v>
      </c>
      <c r="FH41" s="590">
        <v>58.926800191259453</v>
      </c>
      <c r="FI41" s="282">
        <v>15.724228791022446</v>
      </c>
      <c r="FJ41" s="282">
        <v>15.510222391760442</v>
      </c>
      <c r="FK41" s="282">
        <v>31.234451182782887</v>
      </c>
      <c r="FL41" s="282">
        <v>16.894360391958909</v>
      </c>
      <c r="FM41" s="282">
        <v>15.313707304745499</v>
      </c>
      <c r="FN41" s="282">
        <v>32.208067696704404</v>
      </c>
      <c r="FO41" s="590">
        <v>63.442518879487295</v>
      </c>
      <c r="FP41" s="282">
        <v>17.870220305236909</v>
      </c>
      <c r="FQ41" s="282">
        <v>17.779569142891052</v>
      </c>
      <c r="FR41" s="282">
        <v>35.649789448127962</v>
      </c>
      <c r="FS41" s="282">
        <v>19.117781961967214</v>
      </c>
      <c r="FT41" s="282">
        <v>17.566864531542091</v>
      </c>
      <c r="FU41" s="282">
        <v>36.684646493509305</v>
      </c>
      <c r="FV41" s="590">
        <v>72.334435941637267</v>
      </c>
    </row>
    <row r="42" spans="1:280" hidden="1" outlineLevel="1" x14ac:dyDescent="0.3">
      <c r="B42" s="279" t="s">
        <v>409</v>
      </c>
      <c r="C42" s="280" t="s">
        <v>226</v>
      </c>
      <c r="D42" s="281">
        <v>12.4</v>
      </c>
      <c r="E42" s="281">
        <v>12</v>
      </c>
      <c r="F42" s="281">
        <v>24.4</v>
      </c>
      <c r="G42" s="281">
        <v>8</v>
      </c>
      <c r="H42" s="281">
        <v>9.3000000000000007</v>
      </c>
      <c r="I42" s="281">
        <v>17.3</v>
      </c>
      <c r="J42" s="281">
        <v>41.7</v>
      </c>
      <c r="K42" s="281">
        <v>10.3</v>
      </c>
      <c r="L42" s="281">
        <v>11.5</v>
      </c>
      <c r="M42" s="281">
        <v>21.8</v>
      </c>
      <c r="N42" s="281">
        <v>8.8000000000000007</v>
      </c>
      <c r="O42" s="281">
        <v>8.8000000000000007</v>
      </c>
      <c r="P42" s="281">
        <v>17.600000000000001</v>
      </c>
      <c r="Q42" s="281">
        <v>39.4</v>
      </c>
      <c r="R42" s="281">
        <v>12.4</v>
      </c>
      <c r="S42" s="281">
        <v>12.4</v>
      </c>
      <c r="T42" s="281">
        <v>24.8</v>
      </c>
      <c r="U42" s="281">
        <v>14.8</v>
      </c>
      <c r="V42" s="281">
        <v>10.7</v>
      </c>
      <c r="W42" s="281">
        <v>25.5</v>
      </c>
      <c r="X42" s="281">
        <v>50.3</v>
      </c>
      <c r="Y42" s="281">
        <v>15.8</v>
      </c>
      <c r="Z42" s="281">
        <v>14.1</v>
      </c>
      <c r="AA42" s="281">
        <v>29.9</v>
      </c>
      <c r="AB42" s="281">
        <v>10.5</v>
      </c>
      <c r="AC42" s="281">
        <v>6.7</v>
      </c>
      <c r="AD42" s="281">
        <v>17.2</v>
      </c>
      <c r="AE42" s="281">
        <v>47.1</v>
      </c>
      <c r="AF42" s="281">
        <v>10.9</v>
      </c>
      <c r="AG42" s="281">
        <v>16.2</v>
      </c>
      <c r="AH42" s="281">
        <v>27.1</v>
      </c>
      <c r="AI42" s="281">
        <v>17.3</v>
      </c>
      <c r="AJ42" s="281">
        <v>14.3</v>
      </c>
      <c r="AK42" s="281">
        <v>31.6</v>
      </c>
      <c r="AL42" s="281">
        <v>58.7</v>
      </c>
      <c r="AM42" s="281">
        <v>22.1</v>
      </c>
      <c r="AN42" s="281">
        <v>17.899999999999999</v>
      </c>
      <c r="AO42" s="281">
        <v>40</v>
      </c>
      <c r="AP42" s="281">
        <v>20</v>
      </c>
      <c r="AQ42" s="281">
        <v>19.399999999999999</v>
      </c>
      <c r="AR42" s="281">
        <v>39.4</v>
      </c>
      <c r="AS42" s="281">
        <v>79.400000000000006</v>
      </c>
      <c r="AT42" s="281">
        <v>22.6</v>
      </c>
      <c r="AU42" s="281">
        <v>27.2</v>
      </c>
      <c r="AV42" s="281">
        <v>49.8</v>
      </c>
      <c r="AW42" s="281">
        <v>20.9</v>
      </c>
      <c r="AX42" s="281">
        <v>18.899999999999999</v>
      </c>
      <c r="AY42" s="281">
        <v>39.799999999999997</v>
      </c>
      <c r="AZ42" s="281">
        <v>89.6</v>
      </c>
      <c r="BA42" s="281">
        <v>18.5</v>
      </c>
      <c r="BB42" s="281">
        <v>21.6</v>
      </c>
      <c r="BC42" s="281">
        <v>40.1</v>
      </c>
      <c r="BD42" s="281">
        <v>18.7</v>
      </c>
      <c r="BE42" s="281">
        <v>16.399999999999999</v>
      </c>
      <c r="BF42" s="281">
        <v>35.099999999999994</v>
      </c>
      <c r="BG42" s="281">
        <v>75.199999999999989</v>
      </c>
      <c r="BH42" s="281">
        <v>21.6</v>
      </c>
      <c r="BI42" s="281">
        <v>23.7</v>
      </c>
      <c r="BJ42" s="281">
        <v>45.3</v>
      </c>
      <c r="BK42" s="281">
        <v>22</v>
      </c>
      <c r="BL42" s="281">
        <v>18.7</v>
      </c>
      <c r="BM42" s="281">
        <v>40.700000000000003</v>
      </c>
      <c r="BN42" s="281">
        <v>86</v>
      </c>
      <c r="BO42" s="281">
        <v>22</v>
      </c>
      <c r="BP42" s="281">
        <v>27</v>
      </c>
      <c r="BQ42" s="281">
        <v>49</v>
      </c>
      <c r="BR42" s="281">
        <v>23.2</v>
      </c>
      <c r="BS42" s="281">
        <v>18.100000000000001</v>
      </c>
      <c r="BT42" s="281">
        <v>41.3</v>
      </c>
      <c r="BU42" s="281">
        <v>90.3</v>
      </c>
      <c r="BV42" s="281">
        <v>20.000000000000004</v>
      </c>
      <c r="BW42" s="281">
        <v>22.2</v>
      </c>
      <c r="BX42" s="281">
        <v>42.2</v>
      </c>
      <c r="BY42" s="281">
        <v>16.7</v>
      </c>
      <c r="BZ42" s="281">
        <v>19.5</v>
      </c>
      <c r="CA42" s="281">
        <v>36.200000000000003</v>
      </c>
      <c r="CB42" s="281">
        <v>78.400000000000006</v>
      </c>
      <c r="CC42" s="281">
        <v>23.9</v>
      </c>
      <c r="CD42" s="281">
        <v>25.7</v>
      </c>
      <c r="CE42" s="281">
        <v>49.599999999999994</v>
      </c>
      <c r="CF42" s="281">
        <v>21.9</v>
      </c>
      <c r="CG42" s="281">
        <v>23.6</v>
      </c>
      <c r="CH42" s="281">
        <v>45.5</v>
      </c>
      <c r="CI42" s="281">
        <v>95.1</v>
      </c>
      <c r="CJ42" s="281">
        <v>26.2</v>
      </c>
      <c r="CK42" s="281">
        <v>30.8</v>
      </c>
      <c r="CL42" s="281">
        <v>57</v>
      </c>
      <c r="CM42" s="281">
        <v>25.4</v>
      </c>
      <c r="CN42" s="281">
        <v>26</v>
      </c>
      <c r="CO42" s="281">
        <v>51.4</v>
      </c>
      <c r="CP42" s="282">
        <v>108.4</v>
      </c>
      <c r="CQ42" s="286"/>
      <c r="CR42" s="286"/>
      <c r="CS42" s="282"/>
      <c r="CT42" s="282"/>
      <c r="CU42" s="282"/>
      <c r="CV42" s="282"/>
      <c r="CW42" s="286"/>
      <c r="CX42" s="286"/>
      <c r="CY42" s="286"/>
      <c r="CZ42" s="286"/>
      <c r="DA42" s="286"/>
      <c r="DB42" s="286"/>
      <c r="DC42" s="286"/>
      <c r="DD42" s="608"/>
      <c r="DE42" s="286"/>
      <c r="DF42" s="286"/>
      <c r="DG42" s="286"/>
      <c r="DH42" s="286"/>
      <c r="DI42" s="286"/>
      <c r="DJ42" s="286"/>
      <c r="DK42" s="608"/>
      <c r="DL42" s="287"/>
      <c r="DM42" s="286"/>
      <c r="DN42" s="286"/>
      <c r="DO42" s="286"/>
      <c r="DP42" s="286"/>
      <c r="DQ42" s="286"/>
      <c r="DR42" s="590"/>
      <c r="DS42" s="286"/>
      <c r="DT42" s="286"/>
      <c r="DU42" s="286"/>
      <c r="DV42" s="286"/>
      <c r="DW42" s="286"/>
      <c r="DX42" s="286"/>
      <c r="DY42" s="590"/>
      <c r="DZ42" s="286"/>
      <c r="EA42" s="282"/>
      <c r="EB42" s="286"/>
      <c r="EC42" s="286"/>
      <c r="ED42" s="286"/>
      <c r="EE42" s="286"/>
      <c r="EF42" s="590"/>
      <c r="EG42" s="286"/>
      <c r="EH42" s="282"/>
      <c r="EI42" s="286"/>
      <c r="EJ42" s="286"/>
      <c r="EK42" s="286"/>
      <c r="EL42" s="286"/>
      <c r="EM42" s="590"/>
      <c r="EN42" s="548"/>
      <c r="EO42" s="282"/>
      <c r="EP42" s="286"/>
      <c r="EQ42" s="549"/>
      <c r="ER42" s="286"/>
      <c r="ES42" s="286"/>
      <c r="ET42" s="590"/>
      <c r="EU42" s="286"/>
      <c r="EV42" s="286"/>
      <c r="EW42" s="286"/>
      <c r="EX42" s="286"/>
      <c r="EY42" s="286"/>
      <c r="EZ42" s="286"/>
      <c r="FA42" s="590"/>
      <c r="FB42" s="286"/>
      <c r="FC42" s="286"/>
      <c r="FD42" s="286"/>
      <c r="FE42" s="286"/>
      <c r="FF42" s="286"/>
      <c r="FG42" s="286"/>
      <c r="FH42" s="590"/>
      <c r="FI42" s="286"/>
      <c r="FJ42" s="286"/>
      <c r="FK42" s="286"/>
      <c r="FL42" s="286"/>
      <c r="FM42" s="286"/>
      <c r="FN42" s="286"/>
      <c r="FO42" s="590"/>
      <c r="FP42" s="286"/>
      <c r="FQ42" s="286"/>
      <c r="FR42" s="286"/>
      <c r="FS42" s="286"/>
      <c r="FT42" s="286"/>
      <c r="FU42" s="286"/>
      <c r="FV42" s="590"/>
    </row>
    <row r="43" spans="1:280" hidden="1" outlineLevel="1" collapsed="1" x14ac:dyDescent="0.3">
      <c r="B43" s="279" t="s">
        <v>97</v>
      </c>
      <c r="C43" s="280" t="s">
        <v>226</v>
      </c>
      <c r="D43" s="289">
        <v>-3.2</v>
      </c>
      <c r="E43" s="289">
        <v>-4</v>
      </c>
      <c r="F43" s="281">
        <f>SUM(D43:E43)</f>
        <v>-7.2</v>
      </c>
      <c r="G43" s="289">
        <v>-4.5999999999999996</v>
      </c>
      <c r="H43" s="289">
        <v>-3.9</v>
      </c>
      <c r="I43" s="281">
        <f>SUM(G43:H43)</f>
        <v>-8.5</v>
      </c>
      <c r="J43" s="289">
        <v>-15.7</v>
      </c>
      <c r="K43" s="289">
        <v>-4.5999999999999996</v>
      </c>
      <c r="L43" s="289">
        <v>-4.0999999999999996</v>
      </c>
      <c r="M43" s="281">
        <f>SUM(K43:L43)</f>
        <v>-8.6999999999999993</v>
      </c>
      <c r="N43" s="289">
        <v>-4.9000000000000004</v>
      </c>
      <c r="O43" s="289">
        <v>-3.5</v>
      </c>
      <c r="P43" s="281">
        <f>SUM(N43:O43)</f>
        <v>-8.4</v>
      </c>
      <c r="Q43" s="289">
        <v>-17.100000000000001</v>
      </c>
      <c r="R43" s="289">
        <v>-4.0999999999999996</v>
      </c>
      <c r="S43" s="289">
        <v>-4.8</v>
      </c>
      <c r="T43" s="281">
        <f>SUM(R43:S43)</f>
        <v>-8.8999999999999986</v>
      </c>
      <c r="U43" s="289">
        <v>-4.2</v>
      </c>
      <c r="V43" s="289">
        <v>-5</v>
      </c>
      <c r="W43" s="281">
        <f>SUM(U43:V43)</f>
        <v>-9.1999999999999993</v>
      </c>
      <c r="X43" s="289">
        <v>-18.100000000000001</v>
      </c>
      <c r="Y43" s="289">
        <v>-5</v>
      </c>
      <c r="Z43" s="289">
        <v>-5</v>
      </c>
      <c r="AA43" s="281">
        <f>SUM(Y43:Z43)</f>
        <v>-10</v>
      </c>
      <c r="AB43" s="289">
        <v>-4.7</v>
      </c>
      <c r="AC43" s="289">
        <v>-4.2</v>
      </c>
      <c r="AD43" s="281">
        <f>SUM(AB43:AC43)</f>
        <v>-8.9</v>
      </c>
      <c r="AE43" s="289">
        <v>-18.899999999999999</v>
      </c>
      <c r="AF43" s="289">
        <v>-4</v>
      </c>
      <c r="AG43" s="289">
        <v>-4.8</v>
      </c>
      <c r="AH43" s="281">
        <f>SUM(AF43:AG43)</f>
        <v>-8.8000000000000007</v>
      </c>
      <c r="AI43" s="289">
        <v>-6.1</v>
      </c>
      <c r="AJ43" s="289">
        <v>-4.0999999999999996</v>
      </c>
      <c r="AK43" s="281">
        <f>SUM(AI43:AJ43)</f>
        <v>-10.199999999999999</v>
      </c>
      <c r="AL43" s="289">
        <v>-19</v>
      </c>
      <c r="AM43" s="289">
        <v>-5</v>
      </c>
      <c r="AN43" s="289">
        <v>-5</v>
      </c>
      <c r="AO43" s="281">
        <f>AN43+AM43</f>
        <v>-10</v>
      </c>
      <c r="AP43" s="289">
        <v>-4</v>
      </c>
      <c r="AQ43" s="289">
        <v>-6.1</v>
      </c>
      <c r="AR43" s="281">
        <f>AQ43+AP43</f>
        <v>-10.1</v>
      </c>
      <c r="AS43" s="281">
        <f>AR43+AO43</f>
        <v>-20.100000000000001</v>
      </c>
      <c r="AT43" s="289">
        <v>-5.0999999999999996</v>
      </c>
      <c r="AU43" s="289">
        <v>-5.0999999999999996</v>
      </c>
      <c r="AV43" s="281">
        <f>AT43+AU43</f>
        <v>-10.199999999999999</v>
      </c>
      <c r="AW43" s="289">
        <v>-5</v>
      </c>
      <c r="AX43" s="289">
        <v>-5.5</v>
      </c>
      <c r="AY43" s="281">
        <f>AX43+AW43</f>
        <v>-10.5</v>
      </c>
      <c r="AZ43" s="281">
        <f>AY43+AV43</f>
        <v>-20.7</v>
      </c>
      <c r="BA43" s="289">
        <v>-6</v>
      </c>
      <c r="BB43" s="289">
        <v>-6.3</v>
      </c>
      <c r="BC43" s="281">
        <f>BA43+BB43</f>
        <v>-12.3</v>
      </c>
      <c r="BD43" s="289">
        <v>-6.8</v>
      </c>
      <c r="BE43" s="289">
        <v>-6.9</v>
      </c>
      <c r="BF43" s="281">
        <f>BE43+BD43</f>
        <v>-13.7</v>
      </c>
      <c r="BG43" s="281">
        <f>BF43+BC43</f>
        <v>-26</v>
      </c>
      <c r="BH43" s="289">
        <v>-6.1</v>
      </c>
      <c r="BI43" s="289">
        <v>-5.5</v>
      </c>
      <c r="BJ43" s="281">
        <f>BH43+BI43</f>
        <v>-11.6</v>
      </c>
      <c r="BK43" s="289">
        <v>-6.4</v>
      </c>
      <c r="BL43" s="281">
        <f>BK43</f>
        <v>-6.4</v>
      </c>
      <c r="BM43" s="281">
        <f>BL43+BK43</f>
        <v>-12.8</v>
      </c>
      <c r="BN43" s="281">
        <f>BM43+BJ43</f>
        <v>-24.4</v>
      </c>
      <c r="BO43" s="289">
        <v>-6.8</v>
      </c>
      <c r="BP43" s="289">
        <v>-6.8</v>
      </c>
      <c r="BQ43" s="281">
        <f>BO43+BP43</f>
        <v>-13.6</v>
      </c>
      <c r="BR43" s="289">
        <v>-6.1</v>
      </c>
      <c r="BS43" s="289">
        <v>-6.3</v>
      </c>
      <c r="BT43" s="281">
        <f>BS43+BR43</f>
        <v>-12.399999999999999</v>
      </c>
      <c r="BU43" s="281">
        <f>BT43+BQ43</f>
        <v>-26</v>
      </c>
      <c r="BV43" s="289">
        <f>-6</f>
        <v>-6</v>
      </c>
      <c r="BW43" s="289">
        <v>-6</v>
      </c>
      <c r="BX43" s="281">
        <f>BV43+BW43</f>
        <v>-12</v>
      </c>
      <c r="BY43" s="289">
        <v>-5.5</v>
      </c>
      <c r="BZ43" s="289">
        <v>-6.4</v>
      </c>
      <c r="CA43" s="281">
        <f>BY43+BZ43</f>
        <v>-11.9</v>
      </c>
      <c r="CB43" s="281">
        <f>CA43+BX43</f>
        <v>-23.9</v>
      </c>
      <c r="CC43" s="289">
        <v>-6.1</v>
      </c>
      <c r="CD43" s="289">
        <v>-6</v>
      </c>
      <c r="CE43" s="281">
        <f>CC43+CD43</f>
        <v>-12.1</v>
      </c>
      <c r="CF43" s="289">
        <v>-6.2</v>
      </c>
      <c r="CG43" s="289">
        <v>-7.2</v>
      </c>
      <c r="CH43" s="281">
        <f>CG43+CF43</f>
        <v>-13.4</v>
      </c>
      <c r="CI43" s="281">
        <f>CH43+CE43</f>
        <v>-25.5</v>
      </c>
      <c r="CJ43" s="289">
        <v>-6.1</v>
      </c>
      <c r="CK43" s="289">
        <f>-7.2</f>
        <v>-7.2</v>
      </c>
      <c r="CL43" s="281">
        <f>CJ43+CK43</f>
        <v>-13.3</v>
      </c>
      <c r="CM43" s="289">
        <f>-7.2</f>
        <v>-7.2</v>
      </c>
      <c r="CN43" s="289">
        <f>-7.3</f>
        <v>-7.3</v>
      </c>
      <c r="CO43" s="281">
        <f>CN43+CM43</f>
        <v>-14.5</v>
      </c>
      <c r="CP43" s="282">
        <f>CO43+CL43</f>
        <v>-27.8</v>
      </c>
      <c r="CQ43" s="290">
        <f>-7.4</f>
        <v>-7.4</v>
      </c>
      <c r="CR43" s="290">
        <v>-7.1</v>
      </c>
      <c r="CS43" s="282">
        <f>CQ43+CR43</f>
        <v>-14.5</v>
      </c>
      <c r="CT43" s="290">
        <v>-7.4</v>
      </c>
      <c r="CU43" s="291">
        <v>-7.1</v>
      </c>
      <c r="CV43" s="282">
        <f>CU43+CT43</f>
        <v>-14.5</v>
      </c>
      <c r="CW43" s="282">
        <f>CV43+CS43</f>
        <v>-29</v>
      </c>
      <c r="CX43" s="291">
        <v>-6.2</v>
      </c>
      <c r="CY43" s="290">
        <v>-6.9</v>
      </c>
      <c r="CZ43" s="282">
        <f>CX43+CY43</f>
        <v>-13.100000000000001</v>
      </c>
      <c r="DA43" s="290">
        <v>-6.6</v>
      </c>
      <c r="DB43" s="290">
        <v>-7.3</v>
      </c>
      <c r="DC43" s="282">
        <f>DB43+DA43</f>
        <v>-13.899999999999999</v>
      </c>
      <c r="DD43" s="654">
        <f>DC43+CZ43</f>
        <v>-27</v>
      </c>
      <c r="DE43" s="290">
        <v>-6</v>
      </c>
      <c r="DF43" s="290">
        <v>-6.4</v>
      </c>
      <c r="DG43" s="282">
        <f>DF43+DE43</f>
        <v>-12.4</v>
      </c>
      <c r="DH43" s="290">
        <v>-7.9</v>
      </c>
      <c r="DI43" s="282">
        <f>+DJ43-DH43</f>
        <v>-8.4999999999999982</v>
      </c>
      <c r="DJ43" s="282">
        <f>+DK43-DG43</f>
        <v>-16.399999999999999</v>
      </c>
      <c r="DK43" s="654">
        <v>-28.8</v>
      </c>
      <c r="DL43" s="292">
        <v>-8.4</v>
      </c>
      <c r="DM43" s="290">
        <v>-8.3000000000000007</v>
      </c>
      <c r="DN43" s="282">
        <f>DM43+DL43</f>
        <v>-16.700000000000003</v>
      </c>
      <c r="DO43" s="290">
        <v>-8.5</v>
      </c>
      <c r="DP43" s="282">
        <f>+DQ43-DO43</f>
        <v>-9.1999999999999957</v>
      </c>
      <c r="DQ43" s="282">
        <f>+DR43-DN43</f>
        <v>-17.699999999999996</v>
      </c>
      <c r="DR43" s="670">
        <v>-34.4</v>
      </c>
      <c r="DS43" s="290">
        <v>-8.4</v>
      </c>
      <c r="DT43" s="290">
        <v>-9.1</v>
      </c>
      <c r="DU43" s="282">
        <f>DT43+DS43</f>
        <v>-17.5</v>
      </c>
      <c r="DV43" s="290">
        <v>-7.8</v>
      </c>
      <c r="DW43" s="282">
        <f>+DX43-DV43</f>
        <v>-7.9999999999999973</v>
      </c>
      <c r="DX43" s="282">
        <f>+DY43-DU43</f>
        <v>-15.799999999999997</v>
      </c>
      <c r="DY43" s="670">
        <v>-33.299999999999997</v>
      </c>
      <c r="DZ43" s="290">
        <v>-8.3000000000000007</v>
      </c>
      <c r="EA43" s="290">
        <v>-9.1</v>
      </c>
      <c r="EB43" s="282">
        <f>EA43+DZ43</f>
        <v>-17.399999999999999</v>
      </c>
      <c r="EC43" s="290">
        <v>-8</v>
      </c>
      <c r="ED43" s="282">
        <f>+EE43-EC43</f>
        <v>-11.600000000000001</v>
      </c>
      <c r="EE43" s="282">
        <f>+EF43-EB43</f>
        <v>-19.600000000000001</v>
      </c>
      <c r="EF43" s="670">
        <v>-37</v>
      </c>
      <c r="EG43" s="290">
        <v>-9.5</v>
      </c>
      <c r="EH43" s="290">
        <v>-9.3000000000000007</v>
      </c>
      <c r="EI43" s="282">
        <f>EH43+EG43</f>
        <v>-18.8</v>
      </c>
      <c r="EJ43" s="290">
        <v>-9.8000000000000007</v>
      </c>
      <c r="EK43" s="282">
        <f>+EL43-EJ43</f>
        <v>-10.799999999999947</v>
      </c>
      <c r="EL43" s="282">
        <f>+EM43-EI43</f>
        <v>-20.599999999999948</v>
      </c>
      <c r="EM43" s="670">
        <f>863.2-EM39-EM40-EM41-EM44</f>
        <v>-39.399999999999949</v>
      </c>
      <c r="EN43" s="697"/>
      <c r="EO43" s="290"/>
      <c r="EP43" s="282">
        <f>EO43+EN43</f>
        <v>0</v>
      </c>
      <c r="EQ43" s="710"/>
      <c r="ER43" s="282">
        <f>EQ43</f>
        <v>0</v>
      </c>
      <c r="ES43" s="282">
        <f>ER43+EQ43</f>
        <v>0</v>
      </c>
      <c r="ET43" s="590">
        <f>ES43+EP43</f>
        <v>0</v>
      </c>
      <c r="EU43" s="282">
        <f>ER43*1.025</f>
        <v>0</v>
      </c>
      <c r="EV43" s="282">
        <f>EU43</f>
        <v>0</v>
      </c>
      <c r="EW43" s="282">
        <f>EU43+EV43</f>
        <v>0</v>
      </c>
      <c r="EX43" s="282">
        <f>EV43</f>
        <v>0</v>
      </c>
      <c r="EY43" s="282">
        <f>EX43</f>
        <v>0</v>
      </c>
      <c r="EZ43" s="282">
        <f>EY43+EX43</f>
        <v>0</v>
      </c>
      <c r="FA43" s="590">
        <f>EZ43+EW43</f>
        <v>0</v>
      </c>
      <c r="FB43" s="282">
        <f>EY43*1.025</f>
        <v>0</v>
      </c>
      <c r="FC43" s="282">
        <f>FB43</f>
        <v>0</v>
      </c>
      <c r="FD43" s="282">
        <f>FB43+FC43</f>
        <v>0</v>
      </c>
      <c r="FE43" s="282">
        <f>FC43</f>
        <v>0</v>
      </c>
      <c r="FF43" s="282">
        <f>FE43</f>
        <v>0</v>
      </c>
      <c r="FG43" s="282">
        <f>FF43+FE43</f>
        <v>0</v>
      </c>
      <c r="FH43" s="590">
        <f>FG43+FD43</f>
        <v>0</v>
      </c>
      <c r="FI43" s="282">
        <f>FF43*1.025</f>
        <v>0</v>
      </c>
      <c r="FJ43" s="282">
        <f>FI43</f>
        <v>0</v>
      </c>
      <c r="FK43" s="282">
        <f>FI43+FJ43</f>
        <v>0</v>
      </c>
      <c r="FL43" s="282">
        <f>FJ43</f>
        <v>0</v>
      </c>
      <c r="FM43" s="282">
        <f>FL43</f>
        <v>0</v>
      </c>
      <c r="FN43" s="282">
        <f>FM43+FL43</f>
        <v>0</v>
      </c>
      <c r="FO43" s="590">
        <f>FN43+FK43</f>
        <v>0</v>
      </c>
      <c r="FP43" s="282">
        <f>FM43*1.025</f>
        <v>0</v>
      </c>
      <c r="FQ43" s="282">
        <f>FP43</f>
        <v>0</v>
      </c>
      <c r="FR43" s="282">
        <f>FP43+FQ43</f>
        <v>0</v>
      </c>
      <c r="FS43" s="282">
        <f>FQ43</f>
        <v>0</v>
      </c>
      <c r="FT43" s="282">
        <f>FS43</f>
        <v>0</v>
      </c>
      <c r="FU43" s="282">
        <f>FT43+FS43</f>
        <v>0</v>
      </c>
      <c r="FV43" s="590">
        <f>FU43+FR43</f>
        <v>0</v>
      </c>
    </row>
    <row r="44" spans="1:280" outlineLevel="1" x14ac:dyDescent="0.3">
      <c r="B44" s="279" t="s">
        <v>227</v>
      </c>
      <c r="C44" s="280" t="s">
        <v>226</v>
      </c>
      <c r="D44" s="289">
        <f>-3.5-12.9-D54</f>
        <v>-11.2</v>
      </c>
      <c r="E44" s="289">
        <f>-15.1-E54</f>
        <v>-10.399999999999999</v>
      </c>
      <c r="F44" s="281">
        <f>SUM(D44:E44)</f>
        <v>-21.599999999999998</v>
      </c>
      <c r="G44" s="289">
        <f>-3.2-15.5-G54</f>
        <v>-13.899999999999999</v>
      </c>
      <c r="H44" s="289">
        <f>-17.9-H54-3.8</f>
        <v>-19</v>
      </c>
      <c r="I44" s="281">
        <f>SUM(G44:H44)</f>
        <v>-32.9</v>
      </c>
      <c r="J44" s="289">
        <f>-26.5-61.4</f>
        <v>-87.9</v>
      </c>
      <c r="K44" s="289">
        <f>-2.7-10.2</f>
        <v>-12.899999999999999</v>
      </c>
      <c r="L44" s="289">
        <f>-1.5-15.5</f>
        <v>-17</v>
      </c>
      <c r="M44" s="281">
        <f>SUM(K44:L44)</f>
        <v>-29.9</v>
      </c>
      <c r="N44" s="289">
        <f>-2.4-14.1</f>
        <v>-16.5</v>
      </c>
      <c r="O44" s="289">
        <f>-16.7-2.7</f>
        <v>-19.399999999999999</v>
      </c>
      <c r="P44" s="281">
        <f>SUM(N44:O44)</f>
        <v>-35.9</v>
      </c>
      <c r="Q44" s="289">
        <f>-9.3-56.5</f>
        <v>-65.8</v>
      </c>
      <c r="R44" s="326">
        <f>-15.7+1.7</f>
        <v>-14</v>
      </c>
      <c r="S44" s="289">
        <v>-13.4</v>
      </c>
      <c r="T44" s="281">
        <f>SUM(R44:S44)</f>
        <v>-27.4</v>
      </c>
      <c r="U44" s="289">
        <v>-15</v>
      </c>
      <c r="V44" s="289">
        <v>-8.9</v>
      </c>
      <c r="W44" s="281">
        <f>SUM(U44:V44)</f>
        <v>-23.9</v>
      </c>
      <c r="X44" s="289">
        <v>-51.3</v>
      </c>
      <c r="Y44" s="289">
        <v>-10.9</v>
      </c>
      <c r="Z44" s="289">
        <v>-13.5</v>
      </c>
      <c r="AA44" s="281">
        <f>SUM(Y44:Z44)</f>
        <v>-24.4</v>
      </c>
      <c r="AB44" s="289">
        <v>-14.5</v>
      </c>
      <c r="AC44" s="289">
        <v>-17.7</v>
      </c>
      <c r="AD44" s="281">
        <f>SUM(AB44:AC44)</f>
        <v>-32.200000000000003</v>
      </c>
      <c r="AE44" s="289">
        <v>-56.6</v>
      </c>
      <c r="AF44" s="289">
        <v>-11.9</v>
      </c>
      <c r="AG44" s="289">
        <v>-13.9</v>
      </c>
      <c r="AH44" s="281">
        <f>SUM(AF44:AG44)</f>
        <v>-25.8</v>
      </c>
      <c r="AI44" s="289">
        <v>-7</v>
      </c>
      <c r="AJ44" s="289">
        <v>-6.7</v>
      </c>
      <c r="AK44" s="281">
        <f>SUM(AI44:AJ44)</f>
        <v>-13.7</v>
      </c>
      <c r="AL44" s="289">
        <v>-39.5</v>
      </c>
      <c r="AM44" s="326">
        <f>-8.9+0.6</f>
        <v>-8.3000000000000007</v>
      </c>
      <c r="AN44" s="289">
        <v>-10.199999999999999</v>
      </c>
      <c r="AO44" s="281">
        <f>AN44+AM44</f>
        <v>-18.5</v>
      </c>
      <c r="AP44" s="289">
        <v>-12.1</v>
      </c>
      <c r="AQ44" s="326">
        <f>-5.8+0.8</f>
        <v>-5</v>
      </c>
      <c r="AR44" s="281">
        <f>AQ44+AP44</f>
        <v>-17.100000000000001</v>
      </c>
      <c r="AS44" s="289">
        <f>-26.9-8.7</f>
        <v>-35.599999999999994</v>
      </c>
      <c r="AT44" s="326">
        <f>-7.7+0.2</f>
        <v>-7.5</v>
      </c>
      <c r="AU44" s="281">
        <f>-10.2+86.9-0.8+0.5-86.9+0.8</f>
        <v>-9.6999999999999993</v>
      </c>
      <c r="AV44" s="281">
        <f>AU44+AT44</f>
        <v>-17.2</v>
      </c>
      <c r="AW44" s="289">
        <v>-8.9</v>
      </c>
      <c r="AX44" s="289">
        <v>-6.7</v>
      </c>
      <c r="AY44" s="281">
        <f>AX44+AW44</f>
        <v>-15.600000000000001</v>
      </c>
      <c r="AZ44" s="281">
        <f>AY44+AV44</f>
        <v>-32.799999999999997</v>
      </c>
      <c r="BA44" s="289">
        <v>-4.3</v>
      </c>
      <c r="BB44" s="289">
        <v>-7.4</v>
      </c>
      <c r="BC44" s="281">
        <f>+BB44+BA44</f>
        <v>-11.7</v>
      </c>
      <c r="BD44" s="289">
        <v>-8.1</v>
      </c>
      <c r="BE44" s="289">
        <v>-10.6</v>
      </c>
      <c r="BF44" s="281">
        <f>+BE44+BD44</f>
        <v>-18.7</v>
      </c>
      <c r="BG44" s="281">
        <f>+BF44+BC44</f>
        <v>-30.4</v>
      </c>
      <c r="BH44" s="289">
        <v>-6.9</v>
      </c>
      <c r="BI44" s="289">
        <v>-11.2</v>
      </c>
      <c r="BJ44" s="281">
        <f>BI44+BH44</f>
        <v>-18.100000000000001</v>
      </c>
      <c r="BK44" s="289">
        <v>-12.8</v>
      </c>
      <c r="BL44" s="289">
        <v>-11.8</v>
      </c>
      <c r="BM44" s="281">
        <f>BL44+BK44</f>
        <v>-24.6</v>
      </c>
      <c r="BN44" s="281">
        <f>BM44+BJ44</f>
        <v>-42.7</v>
      </c>
      <c r="BO44" s="289">
        <v>-10.7</v>
      </c>
      <c r="BP44" s="289">
        <v>-8.6</v>
      </c>
      <c r="BQ44" s="281">
        <f>+BP44+BO44</f>
        <v>-19.299999999999997</v>
      </c>
      <c r="BR44" s="289">
        <v>-14</v>
      </c>
      <c r="BS44" s="289">
        <v>-12.4</v>
      </c>
      <c r="BT44" s="281">
        <f>BS44+BR44</f>
        <v>-26.4</v>
      </c>
      <c r="BU44" s="281">
        <f>BT44+BQ44</f>
        <v>-45.699999999999996</v>
      </c>
      <c r="BV44" s="289">
        <f>-13.5</f>
        <v>-13.5</v>
      </c>
      <c r="BW44" s="289">
        <v>-10.1</v>
      </c>
      <c r="BX44" s="281">
        <f>+BW44+BV44</f>
        <v>-23.6</v>
      </c>
      <c r="BY44" s="289">
        <v>-11.4</v>
      </c>
      <c r="BZ44" s="289">
        <v>-12.4</v>
      </c>
      <c r="CA44" s="281">
        <f>+BZ44+BY44</f>
        <v>-23.8</v>
      </c>
      <c r="CB44" s="281">
        <f>CA44+BX44</f>
        <v>-47.400000000000006</v>
      </c>
      <c r="CC44" s="289">
        <v>-13.4</v>
      </c>
      <c r="CD44" s="289">
        <v>-10.1</v>
      </c>
      <c r="CE44" s="281">
        <f>CC44+CD44</f>
        <v>-23.5</v>
      </c>
      <c r="CF44" s="289">
        <v>-15.6</v>
      </c>
      <c r="CG44" s="289">
        <v>-13.4</v>
      </c>
      <c r="CH44" s="281">
        <f>CF44+CG44</f>
        <v>-29</v>
      </c>
      <c r="CI44" s="281">
        <f>CH44+CE44</f>
        <v>-52.5</v>
      </c>
      <c r="CJ44" s="289">
        <f>-9.8</f>
        <v>-9.8000000000000007</v>
      </c>
      <c r="CK44" s="289">
        <f>-14.8</f>
        <v>-14.8</v>
      </c>
      <c r="CL44" s="281">
        <f>CK44+CJ44</f>
        <v>-24.6</v>
      </c>
      <c r="CM44" s="289">
        <f>-20.2</f>
        <v>-20.2</v>
      </c>
      <c r="CN44" s="289">
        <v>-16.3</v>
      </c>
      <c r="CO44" s="281">
        <f>CN44+CM44</f>
        <v>-36.5</v>
      </c>
      <c r="CP44" s="282">
        <f>CO44+CL44</f>
        <v>-61.1</v>
      </c>
      <c r="CQ44" s="290">
        <f>-14.9</f>
        <v>-14.9</v>
      </c>
      <c r="CR44" s="290">
        <v>-14.6</v>
      </c>
      <c r="CS44" s="282">
        <f>CR44+CQ44</f>
        <v>-29.5</v>
      </c>
      <c r="CT44" s="290">
        <v>-13.1</v>
      </c>
      <c r="CU44" s="291">
        <v>-14.7</v>
      </c>
      <c r="CV44" s="282">
        <f>CU44+CT44</f>
        <v>-27.799999999999997</v>
      </c>
      <c r="CW44" s="282">
        <f>CV44+CS44</f>
        <v>-57.3</v>
      </c>
      <c r="CX44" s="291">
        <v>-16</v>
      </c>
      <c r="CY44" s="290">
        <v>-15.9</v>
      </c>
      <c r="CZ44" s="282">
        <f>CY44+CX44</f>
        <v>-31.9</v>
      </c>
      <c r="DA44" s="290">
        <v>-24.3</v>
      </c>
      <c r="DB44" s="290">
        <v>-12</v>
      </c>
      <c r="DC44" s="282">
        <f>DB44+DA44</f>
        <v>-36.299999999999997</v>
      </c>
      <c r="DD44" s="654">
        <f>DC44+CZ44</f>
        <v>-68.199999999999989</v>
      </c>
      <c r="DE44" s="290">
        <v>-24.7</v>
      </c>
      <c r="DF44" s="290">
        <v>-28.9</v>
      </c>
      <c r="DG44" s="282">
        <f>DF44+DE44</f>
        <v>-53.599999999999994</v>
      </c>
      <c r="DH44" s="290">
        <v>-23.6</v>
      </c>
      <c r="DI44" s="282">
        <f>+DJ44-DH44</f>
        <v>-23.9</v>
      </c>
      <c r="DJ44" s="282">
        <f>+DK44-DG44</f>
        <v>-47.5</v>
      </c>
      <c r="DK44" s="654">
        <v>-101.1</v>
      </c>
      <c r="DL44" s="292">
        <v>-35.5</v>
      </c>
      <c r="DM44" s="290">
        <v>-29.7</v>
      </c>
      <c r="DN44" s="282">
        <f>DM44+DL44</f>
        <v>-65.2</v>
      </c>
      <c r="DO44" s="290">
        <v>-21.7</v>
      </c>
      <c r="DP44" s="282">
        <f>+DQ44-DO44</f>
        <v>-28.000000000000004</v>
      </c>
      <c r="DQ44" s="282">
        <f>+DR44-DN44</f>
        <v>-49.7</v>
      </c>
      <c r="DR44" s="670">
        <v>-114.9</v>
      </c>
      <c r="DS44" s="290">
        <v>-23.7</v>
      </c>
      <c r="DT44" s="290">
        <v>-28</v>
      </c>
      <c r="DU44" s="282">
        <f>DT44+DS44</f>
        <v>-51.7</v>
      </c>
      <c r="DV44" s="290">
        <v>-29.9</v>
      </c>
      <c r="DW44" s="282">
        <f>+DX44-DV44</f>
        <v>-42.1</v>
      </c>
      <c r="DX44" s="282">
        <f>+DY44-DU44</f>
        <v>-72</v>
      </c>
      <c r="DY44" s="670">
        <v>-123.7</v>
      </c>
      <c r="DZ44" s="290">
        <v>-33.700000000000003</v>
      </c>
      <c r="EA44" s="290">
        <v>-40.5</v>
      </c>
      <c r="EB44" s="282">
        <f>EA44+DZ44</f>
        <v>-74.2</v>
      </c>
      <c r="EC44" s="290">
        <v>-40</v>
      </c>
      <c r="ED44" s="282">
        <f>+EE44-EC44</f>
        <v>-40.200000000000003</v>
      </c>
      <c r="EE44" s="282">
        <f>+EF44-EB44</f>
        <v>-80.2</v>
      </c>
      <c r="EF44" s="670">
        <v>-154.4</v>
      </c>
      <c r="EG44" s="290">
        <v>-35.799999999999997</v>
      </c>
      <c r="EH44" s="290">
        <v>-39.799999999999997</v>
      </c>
      <c r="EI44" s="282">
        <f>EH44+EG44</f>
        <v>-75.599999999999994</v>
      </c>
      <c r="EJ44" s="290">
        <v>-30.9</v>
      </c>
      <c r="EK44" s="282">
        <f>+EL44-EJ44</f>
        <v>-31.1</v>
      </c>
      <c r="EL44" s="282">
        <f>+EM44-EI44</f>
        <v>-62</v>
      </c>
      <c r="EM44" s="670">
        <v>-137.6</v>
      </c>
      <c r="EN44" s="697">
        <v>-46.1</v>
      </c>
      <c r="EO44" s="317">
        <v>-39.4</v>
      </c>
      <c r="EP44" s="282">
        <f>EO44+EN44</f>
        <v>-85.5</v>
      </c>
      <c r="EQ44" s="710">
        <f>EQ48-EQ39-EQ40-EQ41-EQ45</f>
        <v>-47.100000000000009</v>
      </c>
      <c r="ER44" s="282">
        <f>EQ44*1.4</f>
        <v>-65.940000000000012</v>
      </c>
      <c r="ES44" s="282">
        <f>ER44+EQ44</f>
        <v>-113.04000000000002</v>
      </c>
      <c r="ET44" s="590">
        <f>ES44+EP44</f>
        <v>-198.54000000000002</v>
      </c>
      <c r="EU44" s="282">
        <f>ER44*0.8</f>
        <v>-52.75200000000001</v>
      </c>
      <c r="EV44" s="282">
        <f>EU44</f>
        <v>-52.75200000000001</v>
      </c>
      <c r="EW44" s="282">
        <f>EV44+EU44</f>
        <v>-105.50400000000002</v>
      </c>
      <c r="EX44" s="282">
        <f>EV44</f>
        <v>-52.75200000000001</v>
      </c>
      <c r="EY44" s="282">
        <f>EX44</f>
        <v>-52.75200000000001</v>
      </c>
      <c r="EZ44" s="282">
        <f>EY44+EX44</f>
        <v>-105.50400000000002</v>
      </c>
      <c r="FA44" s="590">
        <f>EZ44+EW44</f>
        <v>-211.00800000000004</v>
      </c>
      <c r="FB44" s="282">
        <f>EY44*1</f>
        <v>-52.75200000000001</v>
      </c>
      <c r="FC44" s="282">
        <f>FB44</f>
        <v>-52.75200000000001</v>
      </c>
      <c r="FD44" s="282">
        <f>FC44+FB44</f>
        <v>-105.50400000000002</v>
      </c>
      <c r="FE44" s="282">
        <f>FC44</f>
        <v>-52.75200000000001</v>
      </c>
      <c r="FF44" s="282">
        <f>FE44</f>
        <v>-52.75200000000001</v>
      </c>
      <c r="FG44" s="282">
        <f>FF44+FE44</f>
        <v>-105.50400000000002</v>
      </c>
      <c r="FH44" s="590">
        <f>FG44+FD44</f>
        <v>-211.00800000000004</v>
      </c>
      <c r="FI44" s="282">
        <f>FF44*1.3</f>
        <v>-68.577600000000018</v>
      </c>
      <c r="FJ44" s="282">
        <f>FI44</f>
        <v>-68.577600000000018</v>
      </c>
      <c r="FK44" s="282">
        <f>FJ44+FI44</f>
        <v>-137.15520000000004</v>
      </c>
      <c r="FL44" s="282">
        <f>FJ44</f>
        <v>-68.577600000000018</v>
      </c>
      <c r="FM44" s="282">
        <f>FL44</f>
        <v>-68.577600000000018</v>
      </c>
      <c r="FN44" s="282">
        <f>FM44+FL44</f>
        <v>-137.15520000000004</v>
      </c>
      <c r="FO44" s="590">
        <f>FN44+FK44</f>
        <v>-274.31040000000007</v>
      </c>
      <c r="FP44" s="282">
        <f>FM44*1.025</f>
        <v>-70.292040000000014</v>
      </c>
      <c r="FQ44" s="282">
        <f>FP44</f>
        <v>-70.292040000000014</v>
      </c>
      <c r="FR44" s="282">
        <f>FQ44+FP44</f>
        <v>-140.58408000000003</v>
      </c>
      <c r="FS44" s="282">
        <f>FQ44</f>
        <v>-70.292040000000014</v>
      </c>
      <c r="FT44" s="282">
        <f>FS44</f>
        <v>-70.292040000000014</v>
      </c>
      <c r="FU44" s="282">
        <f>FT44+FS44</f>
        <v>-140.58408000000003</v>
      </c>
      <c r="FV44" s="590">
        <f>FU44+FR44</f>
        <v>-281.16816000000006</v>
      </c>
    </row>
    <row r="45" spans="1:280" s="258" customFormat="1" outlineLevel="1" x14ac:dyDescent="0.3">
      <c r="B45" s="623" t="str">
        <f>B28</f>
        <v>Decking, Railing &amp; Accessories</v>
      </c>
      <c r="C45" s="280" t="s">
        <v>226</v>
      </c>
      <c r="D45" s="625"/>
      <c r="E45" s="625"/>
      <c r="F45" s="626"/>
      <c r="G45" s="625"/>
      <c r="H45" s="285"/>
      <c r="I45" s="626"/>
      <c r="J45" s="627"/>
      <c r="K45" s="627"/>
      <c r="L45" s="627"/>
      <c r="M45" s="285"/>
      <c r="N45" s="627"/>
      <c r="O45" s="285"/>
      <c r="P45" s="285"/>
      <c r="Q45" s="627"/>
      <c r="R45" s="627"/>
      <c r="S45" s="285"/>
      <c r="T45" s="285"/>
      <c r="U45" s="627"/>
      <c r="V45" s="285"/>
      <c r="W45" s="285"/>
      <c r="X45" s="285"/>
      <c r="Y45" s="627"/>
      <c r="Z45" s="285"/>
      <c r="AA45" s="285"/>
      <c r="AB45" s="627"/>
      <c r="AC45" s="285"/>
      <c r="AD45" s="285"/>
      <c r="AE45" s="285"/>
      <c r="AF45" s="627"/>
      <c r="AG45" s="285"/>
      <c r="AH45" s="285"/>
      <c r="AI45" s="627"/>
      <c r="AJ45" s="285"/>
      <c r="AK45" s="285"/>
      <c r="AL45" s="285"/>
      <c r="AM45" s="627"/>
      <c r="AN45" s="627"/>
      <c r="AO45" s="285"/>
      <c r="AP45" s="285"/>
      <c r="AQ45" s="285"/>
      <c r="AR45" s="285"/>
      <c r="AS45" s="285"/>
      <c r="AT45" s="627"/>
      <c r="AU45" s="627"/>
      <c r="AV45" s="285"/>
      <c r="AW45" s="627"/>
      <c r="AX45" s="627"/>
      <c r="AY45" s="285"/>
      <c r="AZ45" s="285"/>
      <c r="BA45" s="627"/>
      <c r="BB45" s="627"/>
      <c r="BC45" s="285"/>
      <c r="BD45" s="627"/>
      <c r="BE45" s="627"/>
      <c r="BF45" s="285"/>
      <c r="BG45" s="285"/>
      <c r="BH45" s="627"/>
      <c r="BI45" s="627"/>
      <c r="BJ45" s="285"/>
      <c r="BK45" s="627"/>
      <c r="BL45" s="627"/>
      <c r="BM45" s="285"/>
      <c r="BN45" s="285"/>
      <c r="BO45" s="627"/>
      <c r="BP45" s="627"/>
      <c r="BQ45" s="285"/>
      <c r="BR45" s="627"/>
      <c r="BS45" s="627"/>
      <c r="BT45" s="285"/>
      <c r="BU45" s="285"/>
      <c r="BV45" s="627"/>
      <c r="BW45" s="627"/>
      <c r="BX45" s="285"/>
      <c r="BY45" s="627"/>
      <c r="BZ45" s="627"/>
      <c r="CA45" s="285"/>
      <c r="CB45" s="285"/>
      <c r="CC45" s="627"/>
      <c r="CD45" s="627"/>
      <c r="CE45" s="285"/>
      <c r="CF45" s="627"/>
      <c r="CG45" s="627"/>
      <c r="CH45" s="285"/>
      <c r="CI45" s="285"/>
      <c r="CJ45" s="627"/>
      <c r="CK45" s="627"/>
      <c r="CL45" s="285"/>
      <c r="CM45" s="627"/>
      <c r="CN45" s="627"/>
      <c r="CO45" s="285"/>
      <c r="CP45" s="628"/>
      <c r="CQ45" s="629"/>
      <c r="CR45" s="629"/>
      <c r="CS45" s="628"/>
      <c r="CT45" s="629"/>
      <c r="CU45" s="630"/>
      <c r="CV45" s="628"/>
      <c r="CW45" s="628"/>
      <c r="CX45" s="630"/>
      <c r="CY45" s="629"/>
      <c r="CZ45" s="628"/>
      <c r="DA45" s="629"/>
      <c r="DB45" s="629"/>
      <c r="DC45" s="628"/>
      <c r="DD45" s="654"/>
      <c r="DE45" s="629"/>
      <c r="DF45" s="629"/>
      <c r="DG45" s="628"/>
      <c r="DH45" s="629"/>
      <c r="DI45" s="628"/>
      <c r="DJ45" s="628"/>
      <c r="DK45" s="654"/>
      <c r="DL45" s="631"/>
      <c r="DM45" s="629"/>
      <c r="DN45" s="628"/>
      <c r="DO45" s="629"/>
      <c r="DP45" s="628"/>
      <c r="DQ45" s="628"/>
      <c r="DR45" s="670"/>
      <c r="DS45" s="629"/>
      <c r="DT45" s="629"/>
      <c r="DU45" s="628"/>
      <c r="DV45" s="629"/>
      <c r="DW45" s="628"/>
      <c r="DX45" s="628"/>
      <c r="DY45" s="670"/>
      <c r="DZ45" s="629"/>
      <c r="EA45" s="629"/>
      <c r="EB45" s="628"/>
      <c r="EC45" s="629"/>
      <c r="ED45" s="628"/>
      <c r="EE45" s="628"/>
      <c r="EF45" s="670"/>
      <c r="EG45" s="629"/>
      <c r="EH45" s="629"/>
      <c r="EI45" s="628"/>
      <c r="EJ45" s="629"/>
      <c r="EK45" s="628"/>
      <c r="EL45" s="628"/>
      <c r="EM45" s="670"/>
      <c r="EN45" s="696"/>
      <c r="EO45" s="628">
        <v>62.699999999999996</v>
      </c>
      <c r="EP45" s="628">
        <v>62.699999999999996</v>
      </c>
      <c r="EQ45" s="628">
        <v>23.000000000000004</v>
      </c>
      <c r="ER45" s="628">
        <v>69.298749999999998</v>
      </c>
      <c r="ES45" s="628">
        <v>92.298750000000013</v>
      </c>
      <c r="ET45" s="590">
        <f>EO45+EQ45+ER45</f>
        <v>154.99875</v>
      </c>
      <c r="EU45" s="628">
        <v>74.080470000000005</v>
      </c>
      <c r="EV45" s="628">
        <v>59.366679599999998</v>
      </c>
      <c r="EW45" s="628">
        <v>133.44714959999999</v>
      </c>
      <c r="EX45" s="628">
        <v>28.337566488</v>
      </c>
      <c r="EY45" s="628">
        <v>77.911347732640024</v>
      </c>
      <c r="EZ45" s="628">
        <v>106.24891422064003</v>
      </c>
      <c r="FA45" s="590">
        <v>239.69606382064006</v>
      </c>
      <c r="FB45" s="628">
        <v>81.683887099999993</v>
      </c>
      <c r="FC45" s="628">
        <v>67.250138988000003</v>
      </c>
      <c r="FD45" s="628">
        <v>148.934026088</v>
      </c>
      <c r="FE45" s="628">
        <v>34.110773982640005</v>
      </c>
      <c r="FF45" s="628">
        <v>86.129934164619215</v>
      </c>
      <c r="FG45" s="628">
        <v>120.24070814725923</v>
      </c>
      <c r="FH45" s="590">
        <v>269.17473423525917</v>
      </c>
      <c r="FI45" s="628">
        <v>91.866194988000018</v>
      </c>
      <c r="FJ45" s="628">
        <v>75.299577482640018</v>
      </c>
      <c r="FK45" s="628">
        <v>167.16577247064004</v>
      </c>
      <c r="FL45" s="628">
        <v>40.112806789619214</v>
      </c>
      <c r="FM45" s="628">
        <v>94.576148270807806</v>
      </c>
      <c r="FN45" s="628">
        <v>134.68895506042702</v>
      </c>
      <c r="FO45" s="590">
        <v>301.85472753106706</v>
      </c>
      <c r="FP45" s="628">
        <v>100.46672143889</v>
      </c>
      <c r="FQ45" s="628">
        <v>83.692207895869217</v>
      </c>
      <c r="FR45" s="628">
        <v>184.15892933475922</v>
      </c>
      <c r="FS45" s="628">
        <v>47.33830556143279</v>
      </c>
      <c r="FT45" s="628">
        <v>106.46235475986956</v>
      </c>
      <c r="FU45" s="628">
        <v>153.80066032130233</v>
      </c>
      <c r="FV45" s="590">
        <v>337.95958965606155</v>
      </c>
      <c r="GB45"/>
      <c r="GC45"/>
      <c r="GD45"/>
      <c r="GE45"/>
      <c r="GF45"/>
      <c r="GG45"/>
    </row>
    <row r="46" spans="1:280" ht="12.05" hidden="1" customHeight="1" outlineLevel="1" x14ac:dyDescent="0.3">
      <c r="B46" s="279" t="s">
        <v>98</v>
      </c>
      <c r="C46" s="280" t="s">
        <v>226</v>
      </c>
      <c r="D46" s="326"/>
      <c r="E46" s="289">
        <v>-2.6</v>
      </c>
      <c r="F46" s="281"/>
      <c r="G46" s="326"/>
      <c r="H46" s="326"/>
      <c r="I46" s="281"/>
      <c r="J46" s="326"/>
      <c r="K46" s="326"/>
      <c r="L46" s="326"/>
      <c r="M46" s="281"/>
      <c r="N46" s="326"/>
      <c r="O46" s="326"/>
      <c r="P46" s="281"/>
      <c r="Q46" s="326"/>
      <c r="R46" s="326"/>
      <c r="S46" s="326"/>
      <c r="T46" s="281"/>
      <c r="U46" s="326"/>
      <c r="V46" s="326"/>
      <c r="W46" s="281"/>
      <c r="X46" s="326"/>
      <c r="Y46" s="326"/>
      <c r="Z46" s="326"/>
      <c r="AA46" s="281"/>
      <c r="AB46" s="326"/>
      <c r="AC46" s="326"/>
      <c r="AD46" s="281"/>
      <c r="AE46" s="326"/>
      <c r="AF46" s="326"/>
      <c r="AG46" s="326"/>
      <c r="AH46" s="281"/>
      <c r="AI46" s="326"/>
      <c r="AJ46" s="326"/>
      <c r="AK46" s="281"/>
      <c r="AL46" s="326"/>
      <c r="AM46" s="289"/>
      <c r="AN46" s="289"/>
      <c r="AO46" s="281"/>
      <c r="AP46" s="281"/>
      <c r="AQ46" s="281"/>
      <c r="AR46" s="281"/>
      <c r="AS46" s="281"/>
      <c r="AT46" s="289">
        <v>-0.3</v>
      </c>
      <c r="AU46" s="289">
        <v>-0.6</v>
      </c>
      <c r="AV46" s="281">
        <f>+AU46+AT46</f>
        <v>-0.89999999999999991</v>
      </c>
      <c r="AW46" s="289">
        <v>-0.7</v>
      </c>
      <c r="AX46" s="289">
        <v>-1.4</v>
      </c>
      <c r="AY46" s="281">
        <f>+AX46+AW46</f>
        <v>-2.0999999999999996</v>
      </c>
      <c r="AZ46" s="281">
        <f>AY46+AV46</f>
        <v>-2.9999999999999996</v>
      </c>
      <c r="BA46" s="289">
        <v>-0.6</v>
      </c>
      <c r="BB46" s="289">
        <v>-1.3</v>
      </c>
      <c r="BC46" s="281">
        <f>+BB46+BA46</f>
        <v>-1.9</v>
      </c>
      <c r="BD46" s="289">
        <v>-1.1000000000000001</v>
      </c>
      <c r="BE46" s="289">
        <v>-0.6</v>
      </c>
      <c r="BF46" s="281">
        <f>+BE46+BD46</f>
        <v>-1.7000000000000002</v>
      </c>
      <c r="BG46" s="281">
        <f>BF46+BC46</f>
        <v>-3.6</v>
      </c>
      <c r="BH46" s="289">
        <v>-0.8</v>
      </c>
      <c r="BI46" s="289">
        <v>-0.7</v>
      </c>
      <c r="BJ46" s="281">
        <f>+BI46+BH46</f>
        <v>-1.5</v>
      </c>
      <c r="BK46" s="289">
        <v>-0.8</v>
      </c>
      <c r="BL46" s="289">
        <v>1.1000000000000001</v>
      </c>
      <c r="BM46" s="281">
        <f>+BL46+BK46</f>
        <v>0.30000000000000004</v>
      </c>
      <c r="BN46" s="281">
        <f>BM46+BJ46</f>
        <v>-1.2</v>
      </c>
      <c r="BO46" s="289">
        <v>-0.7</v>
      </c>
      <c r="BP46" s="289">
        <v>-1.1000000000000001</v>
      </c>
      <c r="BQ46" s="281">
        <f>+BP46+BO46</f>
        <v>-1.8</v>
      </c>
      <c r="BR46" s="289">
        <v>-1.4</v>
      </c>
      <c r="BS46" s="289">
        <v>-1.4</v>
      </c>
      <c r="BT46" s="281">
        <f>+BS46+BR46</f>
        <v>-2.8</v>
      </c>
      <c r="BU46" s="281">
        <f>BT46+BQ46</f>
        <v>-4.5999999999999996</v>
      </c>
      <c r="BV46" s="289">
        <v>-2</v>
      </c>
      <c r="BW46" s="289">
        <v>-2.1</v>
      </c>
      <c r="BX46" s="281">
        <f>+BW46+BV46</f>
        <v>-4.0999999999999996</v>
      </c>
      <c r="BY46" s="289">
        <v>-2.2000000000000002</v>
      </c>
      <c r="BZ46" s="289">
        <v>-2.4</v>
      </c>
      <c r="CA46" s="281">
        <f>+BZ46+BY46</f>
        <v>-4.5999999999999996</v>
      </c>
      <c r="CB46" s="281">
        <f>CA46+BX46</f>
        <v>-8.6999999999999993</v>
      </c>
      <c r="CC46" s="289">
        <v>-1.4</v>
      </c>
      <c r="CD46" s="289">
        <v>-1.2</v>
      </c>
      <c r="CE46" s="281">
        <f>CC46+CD46</f>
        <v>-2.5999999999999996</v>
      </c>
      <c r="CF46" s="289">
        <v>-2.1</v>
      </c>
      <c r="CG46" s="289">
        <v>-2</v>
      </c>
      <c r="CH46" s="281">
        <f>CF46+CG46</f>
        <v>-4.0999999999999996</v>
      </c>
      <c r="CI46" s="281">
        <f>CH46+CE46</f>
        <v>-6.6999999999999993</v>
      </c>
      <c r="CJ46" s="289">
        <v>-1.8</v>
      </c>
      <c r="CK46" s="289">
        <f>-2.1</f>
        <v>-2.1</v>
      </c>
      <c r="CL46" s="281">
        <f>CJ46+CK46</f>
        <v>-3.9000000000000004</v>
      </c>
      <c r="CM46" s="289">
        <f>-1.9</f>
        <v>-1.9</v>
      </c>
      <c r="CN46" s="289">
        <v>-2.8</v>
      </c>
      <c r="CO46" s="281">
        <f>CM46+CN46</f>
        <v>-4.6999999999999993</v>
      </c>
      <c r="CP46" s="282">
        <f>CO46+CL46</f>
        <v>-8.6</v>
      </c>
      <c r="CQ46" s="290">
        <f>-1.5</f>
        <v>-1.5</v>
      </c>
      <c r="CR46" s="290">
        <v>-1.8</v>
      </c>
      <c r="CS46" s="282">
        <f>CQ46+CR46</f>
        <v>-3.3</v>
      </c>
      <c r="CT46" s="290">
        <v>-2.6</v>
      </c>
      <c r="CU46" s="291">
        <v>-0.9</v>
      </c>
      <c r="CV46" s="282">
        <f>SUM(CT46:CU46)</f>
        <v>-3.5</v>
      </c>
      <c r="CW46" s="282">
        <f>CV46+CS46</f>
        <v>-6.8</v>
      </c>
      <c r="CX46" s="291">
        <v>0.4</v>
      </c>
      <c r="CY46" s="290">
        <v>-0.5</v>
      </c>
      <c r="CZ46" s="282">
        <f>CY46+CX46</f>
        <v>-9.9999999999999978E-2</v>
      </c>
      <c r="DA46" s="290">
        <v>0</v>
      </c>
      <c r="DB46" s="290">
        <v>0.1</v>
      </c>
      <c r="DC46" s="282">
        <f>SUM(DA46:DB46)</f>
        <v>0.1</v>
      </c>
      <c r="DD46" s="654">
        <f>DC46+CZ46</f>
        <v>0</v>
      </c>
      <c r="DE46" s="290">
        <v>0</v>
      </c>
      <c r="DF46" s="290">
        <v>0</v>
      </c>
      <c r="DG46" s="282">
        <f>SUM(DE46:DF46)</f>
        <v>0</v>
      </c>
      <c r="DH46" s="290">
        <v>0</v>
      </c>
      <c r="DI46" s="282">
        <f>+DJ46-DH46</f>
        <v>0</v>
      </c>
      <c r="DJ46" s="282">
        <f>+DK46-DG46</f>
        <v>0</v>
      </c>
      <c r="DK46" s="654">
        <v>0</v>
      </c>
      <c r="DL46" s="292">
        <v>0</v>
      </c>
      <c r="DM46" s="290">
        <v>0</v>
      </c>
      <c r="DN46" s="282">
        <f>SUM(DL46:DM46)</f>
        <v>0</v>
      </c>
      <c r="DO46" s="290">
        <v>0</v>
      </c>
      <c r="DP46" s="282">
        <f>+DQ46-DO46</f>
        <v>0</v>
      </c>
      <c r="DQ46" s="282">
        <f>+DR46-DN46</f>
        <v>0</v>
      </c>
      <c r="DR46" s="670">
        <v>0</v>
      </c>
      <c r="DS46" s="290">
        <v>0</v>
      </c>
      <c r="DT46" s="290">
        <v>0</v>
      </c>
      <c r="DU46" s="282">
        <f>SUM(DS46:DT46)</f>
        <v>0</v>
      </c>
      <c r="DV46" s="290">
        <v>0</v>
      </c>
      <c r="DW46" s="282">
        <f>+DX46-DV46</f>
        <v>0</v>
      </c>
      <c r="DX46" s="282">
        <f>+DY46-DU46</f>
        <v>0</v>
      </c>
      <c r="DY46" s="670">
        <v>0</v>
      </c>
      <c r="DZ46" s="290">
        <v>0</v>
      </c>
      <c r="EA46" s="290">
        <v>0</v>
      </c>
      <c r="EB46" s="282">
        <f>SUM(DZ46:EA46)</f>
        <v>0</v>
      </c>
      <c r="EC46" s="290">
        <v>0</v>
      </c>
      <c r="ED46" s="282">
        <f>+EE46-EC46</f>
        <v>0</v>
      </c>
      <c r="EE46" s="282">
        <f>+EF46-EB46</f>
        <v>0</v>
      </c>
      <c r="EF46" s="670">
        <v>0</v>
      </c>
      <c r="EG46" s="290">
        <v>0</v>
      </c>
      <c r="EH46" s="290">
        <v>0</v>
      </c>
      <c r="EI46" s="282">
        <f>SUM(EG46:EH46)</f>
        <v>0</v>
      </c>
      <c r="EJ46" s="290">
        <v>0</v>
      </c>
      <c r="EK46" s="282">
        <f>+EL46-EJ46</f>
        <v>0</v>
      </c>
      <c r="EL46" s="282">
        <f>+EM46-EI46</f>
        <v>0</v>
      </c>
      <c r="EM46" s="670">
        <v>0</v>
      </c>
      <c r="EN46" s="697">
        <v>0</v>
      </c>
      <c r="EO46" s="290">
        <v>0</v>
      </c>
      <c r="EP46" s="282">
        <f>SUM(EN46:EO46)</f>
        <v>0</v>
      </c>
      <c r="EQ46" s="710"/>
      <c r="ER46" s="325">
        <v>0</v>
      </c>
      <c r="ES46" s="282">
        <f>ER46+EQ46</f>
        <v>0</v>
      </c>
      <c r="ET46" s="590">
        <f>EP46+ES46</f>
        <v>0</v>
      </c>
      <c r="EU46" s="325">
        <v>0</v>
      </c>
      <c r="EV46" s="325">
        <v>0</v>
      </c>
      <c r="EW46" s="282">
        <f>EV46+EU46</f>
        <v>0</v>
      </c>
      <c r="EX46" s="325">
        <v>0</v>
      </c>
      <c r="EY46" s="325">
        <v>0</v>
      </c>
      <c r="EZ46" s="282">
        <f>EY46+EX46</f>
        <v>0</v>
      </c>
      <c r="FA46" s="590">
        <f>EW46+EZ46</f>
        <v>0</v>
      </c>
      <c r="FB46" s="325">
        <v>0</v>
      </c>
      <c r="FC46" s="325">
        <v>0</v>
      </c>
      <c r="FD46" s="282">
        <f>FC46+FB46</f>
        <v>0</v>
      </c>
      <c r="FE46" s="325">
        <v>0</v>
      </c>
      <c r="FF46" s="325">
        <v>0</v>
      </c>
      <c r="FG46" s="282">
        <f>FF46+FE46</f>
        <v>0</v>
      </c>
      <c r="FH46" s="590">
        <f>FD46+FG46</f>
        <v>0</v>
      </c>
      <c r="FI46" s="325">
        <v>0</v>
      </c>
      <c r="FJ46" s="325">
        <v>0</v>
      </c>
      <c r="FK46" s="282">
        <f>FJ46+FI46</f>
        <v>0</v>
      </c>
      <c r="FL46" s="325">
        <v>0</v>
      </c>
      <c r="FM46" s="325">
        <v>0</v>
      </c>
      <c r="FN46" s="282">
        <f>FM46+FL46</f>
        <v>0</v>
      </c>
      <c r="FO46" s="590">
        <f>FK46+FN46</f>
        <v>0</v>
      </c>
      <c r="FP46" s="325">
        <v>0</v>
      </c>
      <c r="FQ46" s="325">
        <v>0</v>
      </c>
      <c r="FR46" s="282">
        <f>FQ46+FP46</f>
        <v>0</v>
      </c>
      <c r="FS46" s="325">
        <v>0</v>
      </c>
      <c r="FT46" s="325">
        <v>0</v>
      </c>
      <c r="FU46" s="282">
        <f>FT46+FS46</f>
        <v>0</v>
      </c>
      <c r="FV46" s="590">
        <f>FR46+FU46</f>
        <v>0</v>
      </c>
      <c r="FX46" s="532" t="s">
        <v>420</v>
      </c>
    </row>
    <row r="47" spans="1:280" ht="12.05" customHeight="1" outlineLevel="1" x14ac:dyDescent="0.3">
      <c r="B47" s="279" t="s">
        <v>686</v>
      </c>
      <c r="C47" s="280" t="s">
        <v>226</v>
      </c>
      <c r="D47" s="326"/>
      <c r="E47" s="289"/>
      <c r="F47" s="281"/>
      <c r="G47" s="326"/>
      <c r="H47" s="326"/>
      <c r="I47" s="281"/>
      <c r="J47" s="326"/>
      <c r="K47" s="326"/>
      <c r="L47" s="326"/>
      <c r="M47" s="281"/>
      <c r="N47" s="326"/>
      <c r="O47" s="326"/>
      <c r="P47" s="281"/>
      <c r="Q47" s="326"/>
      <c r="R47" s="326"/>
      <c r="S47" s="326"/>
      <c r="T47" s="281"/>
      <c r="U47" s="326"/>
      <c r="V47" s="326"/>
      <c r="W47" s="281"/>
      <c r="X47" s="326"/>
      <c r="Y47" s="326"/>
      <c r="Z47" s="326"/>
      <c r="AA47" s="281"/>
      <c r="AB47" s="326"/>
      <c r="AC47" s="326"/>
      <c r="AD47" s="281"/>
      <c r="AE47" s="326"/>
      <c r="AF47" s="326"/>
      <c r="AG47" s="326"/>
      <c r="AH47" s="281"/>
      <c r="AI47" s="326"/>
      <c r="AJ47" s="326"/>
      <c r="AK47" s="281"/>
      <c r="AL47" s="326"/>
      <c r="AM47" s="289"/>
      <c r="AN47" s="289"/>
      <c r="AO47" s="281"/>
      <c r="AP47" s="281"/>
      <c r="AQ47" s="281"/>
      <c r="AR47" s="281"/>
      <c r="AS47" s="281"/>
      <c r="AT47" s="289"/>
      <c r="AU47" s="289"/>
      <c r="AV47" s="281"/>
      <c r="AW47" s="289"/>
      <c r="AX47" s="289"/>
      <c r="AY47" s="281"/>
      <c r="AZ47" s="281"/>
      <c r="BA47" s="289"/>
      <c r="BB47" s="289"/>
      <c r="BC47" s="281"/>
      <c r="BD47" s="289"/>
      <c r="BE47" s="289"/>
      <c r="BF47" s="281"/>
      <c r="BG47" s="281"/>
      <c r="BH47" s="289"/>
      <c r="BI47" s="289"/>
      <c r="BJ47" s="281"/>
      <c r="BK47" s="289"/>
      <c r="BL47" s="289"/>
      <c r="BM47" s="281"/>
      <c r="BN47" s="281"/>
      <c r="BO47" s="289"/>
      <c r="BP47" s="289"/>
      <c r="BQ47" s="281"/>
      <c r="BR47" s="289"/>
      <c r="BS47" s="289"/>
      <c r="BT47" s="281"/>
      <c r="BU47" s="281"/>
      <c r="BV47" s="289"/>
      <c r="BW47" s="289"/>
      <c r="BX47" s="281"/>
      <c r="BY47" s="289"/>
      <c r="BZ47" s="289"/>
      <c r="CA47" s="281"/>
      <c r="CB47" s="281"/>
      <c r="CC47" s="289"/>
      <c r="CD47" s="289"/>
      <c r="CE47" s="281"/>
      <c r="CF47" s="289"/>
      <c r="CG47" s="289"/>
      <c r="CH47" s="281"/>
      <c r="CI47" s="281"/>
      <c r="CJ47" s="289"/>
      <c r="CK47" s="289"/>
      <c r="CL47" s="281"/>
      <c r="CM47" s="289"/>
      <c r="CN47" s="289"/>
      <c r="CO47" s="281"/>
      <c r="CP47" s="282"/>
      <c r="CQ47" s="290"/>
      <c r="CR47" s="290"/>
      <c r="CS47" s="282"/>
      <c r="CT47" s="290"/>
      <c r="CU47" s="291"/>
      <c r="CV47" s="282"/>
      <c r="CW47" s="282"/>
      <c r="CX47" s="291"/>
      <c r="CY47" s="290"/>
      <c r="CZ47" s="282"/>
      <c r="DA47" s="290"/>
      <c r="DB47" s="290"/>
      <c r="DC47" s="282"/>
      <c r="DD47" s="654"/>
      <c r="DE47" s="290"/>
      <c r="DF47" s="290"/>
      <c r="DG47" s="282"/>
      <c r="DH47" s="290"/>
      <c r="DI47" s="282"/>
      <c r="DJ47" s="282"/>
      <c r="DK47" s="654"/>
      <c r="DL47" s="292"/>
      <c r="DM47" s="290"/>
      <c r="DN47" s="282"/>
      <c r="DO47" s="290"/>
      <c r="DP47" s="282"/>
      <c r="DQ47" s="282"/>
      <c r="DR47" s="670"/>
      <c r="DS47" s="290"/>
      <c r="DT47" s="290"/>
      <c r="DU47" s="282"/>
      <c r="DV47" s="290"/>
      <c r="DW47" s="282"/>
      <c r="DX47" s="282"/>
      <c r="DY47" s="670"/>
      <c r="DZ47" s="290"/>
      <c r="EA47" s="290"/>
      <c r="EB47" s="282"/>
      <c r="EC47" s="290"/>
      <c r="ED47" s="282"/>
      <c r="EE47" s="282"/>
      <c r="EF47" s="670"/>
      <c r="EG47" s="290"/>
      <c r="EH47" s="290"/>
      <c r="EI47" s="282"/>
      <c r="EJ47" s="290"/>
      <c r="EK47" s="282"/>
      <c r="EL47" s="282"/>
      <c r="EM47" s="670"/>
      <c r="EN47" s="697"/>
      <c r="EO47" s="290"/>
      <c r="EP47" s="282"/>
      <c r="EQ47" s="710"/>
      <c r="ER47" s="282">
        <v>13</v>
      </c>
      <c r="ES47" s="282">
        <v>13</v>
      </c>
      <c r="ET47" s="590">
        <v>13</v>
      </c>
      <c r="EU47" s="282">
        <v>14</v>
      </c>
      <c r="EV47" s="282">
        <v>15</v>
      </c>
      <c r="EW47" s="282">
        <v>29</v>
      </c>
      <c r="EX47" s="282">
        <v>16</v>
      </c>
      <c r="EY47" s="282">
        <v>21</v>
      </c>
      <c r="EZ47" s="282">
        <v>37</v>
      </c>
      <c r="FA47" s="590">
        <v>66</v>
      </c>
      <c r="FB47" s="282">
        <v>15</v>
      </c>
      <c r="FC47" s="282">
        <v>20</v>
      </c>
      <c r="FD47" s="282">
        <v>35</v>
      </c>
      <c r="FE47" s="282">
        <v>23</v>
      </c>
      <c r="FF47" s="282">
        <v>24</v>
      </c>
      <c r="FG47" s="282">
        <v>47</v>
      </c>
      <c r="FH47" s="590">
        <v>82</v>
      </c>
      <c r="FI47" s="282">
        <v>31.25</v>
      </c>
      <c r="FJ47" s="282">
        <v>31.25</v>
      </c>
      <c r="FK47" s="282">
        <v>62.5</v>
      </c>
      <c r="FL47" s="282">
        <v>31.25</v>
      </c>
      <c r="FM47" s="282">
        <v>31.25</v>
      </c>
      <c r="FN47" s="282">
        <v>62.5</v>
      </c>
      <c r="FO47" s="590">
        <v>125</v>
      </c>
      <c r="FP47" s="282">
        <v>31.25</v>
      </c>
      <c r="FQ47" s="282">
        <v>31.25</v>
      </c>
      <c r="FR47" s="282">
        <v>62.5</v>
      </c>
      <c r="FS47" s="282">
        <v>31.25</v>
      </c>
      <c r="FT47" s="282">
        <v>31.25</v>
      </c>
      <c r="FU47" s="282">
        <v>62.5</v>
      </c>
      <c r="FV47" s="590">
        <v>125</v>
      </c>
      <c r="FX47" s="532"/>
    </row>
    <row r="48" spans="1:280" s="331" customFormat="1" outlineLevel="1" x14ac:dyDescent="0.3">
      <c r="A48" s="302"/>
      <c r="B48" s="321" t="s">
        <v>421</v>
      </c>
      <c r="C48" s="294" t="s">
        <v>226</v>
      </c>
      <c r="D48" s="297">
        <f t="shared" ref="D48:BO48" si="56">SUM(D39:D46)</f>
        <v>92.1</v>
      </c>
      <c r="E48" s="297">
        <f t="shared" si="56"/>
        <v>81.099999999999994</v>
      </c>
      <c r="F48" s="297">
        <f t="shared" si="56"/>
        <v>175.8</v>
      </c>
      <c r="G48" s="297">
        <f t="shared" si="56"/>
        <v>69.200000000000017</v>
      </c>
      <c r="H48" s="297">
        <f t="shared" si="56"/>
        <v>69.099999999999994</v>
      </c>
      <c r="I48" s="297">
        <f t="shared" si="56"/>
        <v>138.30000000000001</v>
      </c>
      <c r="J48" s="297">
        <f t="shared" si="56"/>
        <v>280.70000000000005</v>
      </c>
      <c r="K48" s="297">
        <f t="shared" si="56"/>
        <v>96.1</v>
      </c>
      <c r="L48" s="297">
        <f t="shared" si="56"/>
        <v>88.2</v>
      </c>
      <c r="M48" s="297">
        <f t="shared" si="56"/>
        <v>184.3</v>
      </c>
      <c r="N48" s="297">
        <f t="shared" si="56"/>
        <v>64.099999999999994</v>
      </c>
      <c r="O48" s="297">
        <f t="shared" si="56"/>
        <v>70.5</v>
      </c>
      <c r="P48" s="297">
        <f t="shared" si="56"/>
        <v>134.6</v>
      </c>
      <c r="Q48" s="297">
        <f t="shared" si="56"/>
        <v>318.89999999999992</v>
      </c>
      <c r="R48" s="297">
        <f t="shared" si="56"/>
        <v>107.4</v>
      </c>
      <c r="S48" s="297">
        <f t="shared" si="56"/>
        <v>76.600000000000009</v>
      </c>
      <c r="T48" s="297">
        <f t="shared" si="56"/>
        <v>184</v>
      </c>
      <c r="U48" s="297">
        <f t="shared" si="56"/>
        <v>58.899999999999991</v>
      </c>
      <c r="V48" s="297">
        <f t="shared" si="56"/>
        <v>44.300000000000004</v>
      </c>
      <c r="W48" s="297">
        <f t="shared" si="56"/>
        <v>103.20000000000002</v>
      </c>
      <c r="X48" s="297">
        <f t="shared" si="56"/>
        <v>287.2</v>
      </c>
      <c r="Y48" s="297">
        <f t="shared" si="56"/>
        <v>65.499999999999986</v>
      </c>
      <c r="Z48" s="297">
        <f t="shared" si="56"/>
        <v>56.7</v>
      </c>
      <c r="AA48" s="297">
        <f t="shared" si="56"/>
        <v>122.19999999999999</v>
      </c>
      <c r="AB48" s="297">
        <f t="shared" si="56"/>
        <v>31.599999999999994</v>
      </c>
      <c r="AC48" s="297">
        <f t="shared" si="56"/>
        <v>17.099999999999998</v>
      </c>
      <c r="AD48" s="297">
        <f t="shared" si="56"/>
        <v>48.699999999999989</v>
      </c>
      <c r="AE48" s="297">
        <f t="shared" si="56"/>
        <v>170.9</v>
      </c>
      <c r="AF48" s="297">
        <f t="shared" si="56"/>
        <v>63.800000000000004</v>
      </c>
      <c r="AG48" s="297">
        <f t="shared" si="56"/>
        <v>62.800000000000004</v>
      </c>
      <c r="AH48" s="297">
        <f t="shared" si="56"/>
        <v>126.59999999999998</v>
      </c>
      <c r="AI48" s="297">
        <f t="shared" si="56"/>
        <v>43.800000000000004</v>
      </c>
      <c r="AJ48" s="297">
        <f t="shared" si="56"/>
        <v>38.29999999999999</v>
      </c>
      <c r="AK48" s="297">
        <f t="shared" si="56"/>
        <v>82.1</v>
      </c>
      <c r="AL48" s="297">
        <f t="shared" si="56"/>
        <v>208.7</v>
      </c>
      <c r="AM48" s="297">
        <f t="shared" si="56"/>
        <v>64.900000000000006</v>
      </c>
      <c r="AN48" s="297">
        <f t="shared" si="56"/>
        <v>42.099999999999994</v>
      </c>
      <c r="AO48" s="297">
        <f t="shared" si="56"/>
        <v>107</v>
      </c>
      <c r="AP48" s="297">
        <f t="shared" si="56"/>
        <v>30.199999999999996</v>
      </c>
      <c r="AQ48" s="297">
        <f t="shared" si="56"/>
        <v>46.8</v>
      </c>
      <c r="AR48" s="297">
        <f t="shared" si="56"/>
        <v>77</v>
      </c>
      <c r="AS48" s="297">
        <f t="shared" si="56"/>
        <v>184.00000000000003</v>
      </c>
      <c r="AT48" s="297">
        <f t="shared" si="56"/>
        <v>56.800000000000011</v>
      </c>
      <c r="AU48" s="297">
        <f t="shared" si="56"/>
        <v>58.4</v>
      </c>
      <c r="AV48" s="297">
        <f t="shared" si="56"/>
        <v>115.2</v>
      </c>
      <c r="AW48" s="297">
        <f t="shared" si="56"/>
        <v>37.799999999999997</v>
      </c>
      <c r="AX48" s="297">
        <f t="shared" si="56"/>
        <v>41.9</v>
      </c>
      <c r="AY48" s="297">
        <f t="shared" si="56"/>
        <v>79.699999999999989</v>
      </c>
      <c r="AZ48" s="297">
        <f t="shared" si="56"/>
        <v>194.90000000000003</v>
      </c>
      <c r="BA48" s="297">
        <f t="shared" si="56"/>
        <v>57.699999999999996</v>
      </c>
      <c r="BB48" s="297">
        <f t="shared" si="56"/>
        <v>51.6</v>
      </c>
      <c r="BC48" s="297">
        <f t="shared" si="56"/>
        <v>109.29999999999998</v>
      </c>
      <c r="BD48" s="297">
        <f t="shared" si="56"/>
        <v>34.700000000000003</v>
      </c>
      <c r="BE48" s="297">
        <f t="shared" si="56"/>
        <v>37</v>
      </c>
      <c r="BF48" s="297">
        <f t="shared" si="56"/>
        <v>71.699999999999989</v>
      </c>
      <c r="BG48" s="297">
        <f t="shared" si="56"/>
        <v>181</v>
      </c>
      <c r="BH48" s="297">
        <f t="shared" si="56"/>
        <v>67.500000000000014</v>
      </c>
      <c r="BI48" s="297">
        <f t="shared" si="56"/>
        <v>72.7</v>
      </c>
      <c r="BJ48" s="297">
        <f t="shared" si="56"/>
        <v>140.20000000000002</v>
      </c>
      <c r="BK48" s="297">
        <f t="shared" si="56"/>
        <v>55.2</v>
      </c>
      <c r="BL48" s="297">
        <f t="shared" si="56"/>
        <v>57.4</v>
      </c>
      <c r="BM48" s="297">
        <f t="shared" si="56"/>
        <v>112.59999999999998</v>
      </c>
      <c r="BN48" s="297">
        <f t="shared" si="56"/>
        <v>252.80000000000007</v>
      </c>
      <c r="BO48" s="297">
        <f t="shared" si="56"/>
        <v>71.2</v>
      </c>
      <c r="BP48" s="297">
        <f t="shared" ref="BP48:CI48" si="57">SUM(BP39:BP46)</f>
        <v>85.100000000000009</v>
      </c>
      <c r="BQ48" s="297">
        <f t="shared" si="57"/>
        <v>156.30000000000001</v>
      </c>
      <c r="BR48" s="297">
        <f t="shared" si="57"/>
        <v>66.900000000000006</v>
      </c>
      <c r="BS48" s="297">
        <f t="shared" si="57"/>
        <v>80.8</v>
      </c>
      <c r="BT48" s="297">
        <f t="shared" si="57"/>
        <v>147.69999999999999</v>
      </c>
      <c r="BU48" s="297">
        <f t="shared" si="57"/>
        <v>304</v>
      </c>
      <c r="BV48" s="297">
        <f t="shared" si="57"/>
        <v>89.5</v>
      </c>
      <c r="BW48" s="297">
        <f t="shared" si="57"/>
        <v>95.40000000000002</v>
      </c>
      <c r="BX48" s="297">
        <f t="shared" si="57"/>
        <v>184.90000000000003</v>
      </c>
      <c r="BY48" s="297">
        <f t="shared" si="57"/>
        <v>82</v>
      </c>
      <c r="BZ48" s="297">
        <f t="shared" si="57"/>
        <v>83.699999999999989</v>
      </c>
      <c r="CA48" s="297">
        <f t="shared" si="57"/>
        <v>165.7</v>
      </c>
      <c r="CB48" s="297">
        <f>SUM(CB39:CB46)</f>
        <v>350.60000000000008</v>
      </c>
      <c r="CC48" s="297">
        <f t="shared" si="57"/>
        <v>97.6</v>
      </c>
      <c r="CD48" s="297">
        <f t="shared" si="57"/>
        <v>106.10000000000001</v>
      </c>
      <c r="CE48" s="297">
        <f t="shared" si="57"/>
        <v>203.70000000000002</v>
      </c>
      <c r="CF48" s="297">
        <f t="shared" si="57"/>
        <v>73.500000000000014</v>
      </c>
      <c r="CG48" s="297">
        <f t="shared" si="57"/>
        <v>77.09999999999998</v>
      </c>
      <c r="CH48" s="297">
        <f t="shared" si="57"/>
        <v>150.6</v>
      </c>
      <c r="CI48" s="297">
        <f t="shared" si="57"/>
        <v>354.3</v>
      </c>
      <c r="CJ48" s="297">
        <f t="shared" ref="CJ48:DU48" si="58">SUM(CJ39:CJ41,CJ43:CJ46)</f>
        <v>88.5</v>
      </c>
      <c r="CK48" s="297">
        <f t="shared" si="58"/>
        <v>103.80000000000001</v>
      </c>
      <c r="CL48" s="297">
        <f t="shared" si="58"/>
        <v>192.29999999999998</v>
      </c>
      <c r="CM48" s="297">
        <f t="shared" si="58"/>
        <v>96.899999999999977</v>
      </c>
      <c r="CN48" s="297">
        <f t="shared" si="58"/>
        <v>103.30000000000003</v>
      </c>
      <c r="CO48" s="297">
        <f t="shared" si="58"/>
        <v>200.2</v>
      </c>
      <c r="CP48" s="299">
        <f t="shared" si="58"/>
        <v>392.49999999999994</v>
      </c>
      <c r="CQ48" s="299">
        <f t="shared" si="58"/>
        <v>107.1</v>
      </c>
      <c r="CR48" s="299">
        <f t="shared" si="58"/>
        <v>106.90000000000002</v>
      </c>
      <c r="CS48" s="327">
        <f t="shared" si="58"/>
        <v>214</v>
      </c>
      <c r="CT48" s="328">
        <f t="shared" si="58"/>
        <v>90.6</v>
      </c>
      <c r="CU48" s="328">
        <f t="shared" si="58"/>
        <v>99.999999999999986</v>
      </c>
      <c r="CV48" s="327">
        <f t="shared" si="58"/>
        <v>190.59999999999997</v>
      </c>
      <c r="CW48" s="300">
        <f t="shared" si="58"/>
        <v>404.59999999999997</v>
      </c>
      <c r="CX48" s="329">
        <f t="shared" si="58"/>
        <v>124.40000000000003</v>
      </c>
      <c r="CY48" s="329">
        <f t="shared" si="58"/>
        <v>134.19999999999999</v>
      </c>
      <c r="CZ48" s="299">
        <f t="shared" si="58"/>
        <v>258.59999999999997</v>
      </c>
      <c r="DA48" s="328">
        <f t="shared" si="58"/>
        <v>107.2</v>
      </c>
      <c r="DB48" s="328">
        <f>SUM(DB39:DB41,DB43:DB46)</f>
        <v>120.99999999999997</v>
      </c>
      <c r="DC48" s="328">
        <f>SUM(DC39:DC41,DC43:DC46)</f>
        <v>228.20000000000002</v>
      </c>
      <c r="DD48" s="655">
        <f>SUM(DD39:DD41,DD43:DD46)</f>
        <v>486.8</v>
      </c>
      <c r="DE48" s="299">
        <f t="shared" si="58"/>
        <v>124.90000000000002</v>
      </c>
      <c r="DF48" s="299">
        <f>SUM(DF39:DF41,DF43:DF46)</f>
        <v>163.1</v>
      </c>
      <c r="DG48" s="299">
        <f>SUM(DG39:DG41,DG43:DG46)</f>
        <v>288</v>
      </c>
      <c r="DH48" s="328">
        <f t="shared" si="58"/>
        <v>167.9</v>
      </c>
      <c r="DI48" s="328">
        <f t="shared" si="58"/>
        <v>173.1</v>
      </c>
      <c r="DJ48" s="328">
        <f t="shared" si="58"/>
        <v>341</v>
      </c>
      <c r="DK48" s="655">
        <f t="shared" si="58"/>
        <v>629.00000000000011</v>
      </c>
      <c r="DL48" s="324">
        <f t="shared" si="58"/>
        <v>180.50000000000003</v>
      </c>
      <c r="DM48" s="299">
        <f t="shared" si="58"/>
        <v>205.7</v>
      </c>
      <c r="DN48" s="299">
        <f t="shared" si="58"/>
        <v>386.20000000000005</v>
      </c>
      <c r="DO48" s="299">
        <f t="shared" si="58"/>
        <v>204.10000000000002</v>
      </c>
      <c r="DP48" s="327">
        <f t="shared" si="58"/>
        <v>225.3</v>
      </c>
      <c r="DQ48" s="328">
        <f t="shared" si="58"/>
        <v>429.40000000000003</v>
      </c>
      <c r="DR48" s="591">
        <f t="shared" si="58"/>
        <v>815.6</v>
      </c>
      <c r="DS48" s="299">
        <f t="shared" si="58"/>
        <v>208.4</v>
      </c>
      <c r="DT48" s="299">
        <f t="shared" si="58"/>
        <v>218.50000000000003</v>
      </c>
      <c r="DU48" s="299">
        <f t="shared" si="58"/>
        <v>426.90000000000003</v>
      </c>
      <c r="DV48" s="306">
        <f>SUM(DV39:DV41,DV43:DV46)</f>
        <v>165.39999999999998</v>
      </c>
      <c r="DW48" s="328">
        <f>SUM(DW39:DW41,DW43:DW46)</f>
        <v>187.5</v>
      </c>
      <c r="DX48" s="328">
        <f>SUM(DX39:DX41,DX43:DX46)</f>
        <v>352.89999999999992</v>
      </c>
      <c r="DY48" s="591">
        <f>SUM(DY39:DY41,DY43:DY46)</f>
        <v>779.8</v>
      </c>
      <c r="DZ48" s="299">
        <f>SUM(DZ39:DZ41,DZ43:DZ46)</f>
        <v>233.90000000000003</v>
      </c>
      <c r="EA48" s="299">
        <f t="shared" ref="EA48:EF48" si="59">SUM(EA39:EA41,EA43:EA46)</f>
        <v>239.99999999999994</v>
      </c>
      <c r="EB48" s="299">
        <f t="shared" si="59"/>
        <v>473.89999999999992</v>
      </c>
      <c r="EC48" s="306">
        <f t="shared" si="59"/>
        <v>234.10000000000002</v>
      </c>
      <c r="ED48" s="328">
        <f t="shared" si="59"/>
        <v>232.80000000000007</v>
      </c>
      <c r="EE48" s="328">
        <f t="shared" si="59"/>
        <v>466.90000000000003</v>
      </c>
      <c r="EF48" s="591">
        <f t="shared" si="59"/>
        <v>940.80000000000007</v>
      </c>
      <c r="EG48" s="299">
        <f t="shared" ref="EG48:EN48" si="60">SUM(EG39:EG41,EG43:EG46)</f>
        <v>235.39999999999998</v>
      </c>
      <c r="EH48" s="300">
        <f t="shared" si="60"/>
        <v>210.99999999999994</v>
      </c>
      <c r="EI48" s="299">
        <f t="shared" si="60"/>
        <v>446.40000000000009</v>
      </c>
      <c r="EJ48" s="545">
        <f t="shared" si="60"/>
        <v>207</v>
      </c>
      <c r="EK48" s="328">
        <f t="shared" si="60"/>
        <v>209.79999999999998</v>
      </c>
      <c r="EL48" s="328">
        <f t="shared" si="60"/>
        <v>416.79999999999995</v>
      </c>
      <c r="EM48" s="591">
        <f t="shared" si="60"/>
        <v>863.2</v>
      </c>
      <c r="EN48" s="330">
        <f t="shared" si="60"/>
        <v>169</v>
      </c>
      <c r="EO48" s="301">
        <f>EO36-EO30</f>
        <v>251.8</v>
      </c>
      <c r="EP48" s="299">
        <f t="shared" ref="EP48" si="61">SUM(EP39:EP41,EP43:EP46)</f>
        <v>410.00000000000006</v>
      </c>
      <c r="EQ48" s="719">
        <v>239.9</v>
      </c>
      <c r="ER48" s="299">
        <f t="shared" ref="ER48:FA48" si="62">SUM(ER39:ER41,ER43:ER46)+ER47</f>
        <v>281.50076295311476</v>
      </c>
      <c r="ES48" s="299">
        <f t="shared" si="62"/>
        <v>536.86816295311473</v>
      </c>
      <c r="ET48" s="591">
        <f t="shared" si="62"/>
        <v>931.40076295311474</v>
      </c>
      <c r="EU48" s="299">
        <f>SUM(EU39:EU41,EU43:EU46)+EU47</f>
        <v>289.52904129152881</v>
      </c>
      <c r="EV48" s="299">
        <f t="shared" si="62"/>
        <v>283.90332114078336</v>
      </c>
      <c r="EW48" s="299">
        <f t="shared" si="62"/>
        <v>573.43236243231217</v>
      </c>
      <c r="EX48" s="299">
        <f t="shared" si="62"/>
        <v>296.07305926933333</v>
      </c>
      <c r="EY48" s="299">
        <f t="shared" si="62"/>
        <v>335.35544264978796</v>
      </c>
      <c r="EZ48" s="299">
        <f t="shared" si="62"/>
        <v>631.42850191912135</v>
      </c>
      <c r="FA48" s="591">
        <f t="shared" si="62"/>
        <v>1204.8608643514337</v>
      </c>
      <c r="FB48" s="299">
        <f t="shared" ref="FB48:FV48" si="63">SUM(FB39:FB41,FB43:FB46)+FB47</f>
        <v>329.38108884513639</v>
      </c>
      <c r="FC48" s="299">
        <f t="shared" si="63"/>
        <v>330.5931565527747</v>
      </c>
      <c r="FD48" s="299">
        <f t="shared" si="63"/>
        <v>659.97424539791109</v>
      </c>
      <c r="FE48" s="299">
        <f t="shared" si="63"/>
        <v>352.58336788156612</v>
      </c>
      <c r="FF48" s="299">
        <f t="shared" si="63"/>
        <v>380.71937304594638</v>
      </c>
      <c r="FG48" s="299">
        <f t="shared" si="63"/>
        <v>733.30274092751256</v>
      </c>
      <c r="FH48" s="591">
        <f t="shared" si="63"/>
        <v>1393.2769863254234</v>
      </c>
      <c r="FI48" s="299">
        <f t="shared" si="63"/>
        <v>373.66983756292564</v>
      </c>
      <c r="FJ48" s="299">
        <f t="shared" si="63"/>
        <v>366.25395353192397</v>
      </c>
      <c r="FK48" s="299">
        <f t="shared" si="63"/>
        <v>739.92379109484966</v>
      </c>
      <c r="FL48" s="299">
        <f t="shared" si="63"/>
        <v>387.88688011415081</v>
      </c>
      <c r="FM48" s="299">
        <f t="shared" si="63"/>
        <v>414.06745385168267</v>
      </c>
      <c r="FN48" s="299">
        <f t="shared" si="63"/>
        <v>801.95433396583326</v>
      </c>
      <c r="FO48" s="591">
        <f t="shared" si="63"/>
        <v>1541.878125060683</v>
      </c>
      <c r="FP48" s="299">
        <f t="shared" si="63"/>
        <v>411.1122593136547</v>
      </c>
      <c r="FQ48" s="299">
        <f t="shared" si="63"/>
        <v>411.23890466360552</v>
      </c>
      <c r="FR48" s="299">
        <f t="shared" si="63"/>
        <v>822.35116397726028</v>
      </c>
      <c r="FS48" s="299">
        <f t="shared" si="63"/>
        <v>432.71131514607521</v>
      </c>
      <c r="FT48" s="299">
        <f t="shared" si="63"/>
        <v>457.58932080436557</v>
      </c>
      <c r="FU48" s="299">
        <f t="shared" si="63"/>
        <v>890.30063595044089</v>
      </c>
      <c r="FV48" s="591">
        <f t="shared" si="63"/>
        <v>1712.6517999277014</v>
      </c>
      <c r="FW48" s="632"/>
      <c r="FX48" s="635">
        <f>(CW48/CB48)^(1/3)-1</f>
        <v>4.890942765704831E-2</v>
      </c>
      <c r="FY48" s="636"/>
      <c r="FZ48" s="636"/>
      <c r="GA48" s="636"/>
      <c r="GB48"/>
      <c r="GC48"/>
      <c r="GD48"/>
      <c r="GE48"/>
      <c r="GF48"/>
      <c r="GG48"/>
      <c r="GH48" s="637"/>
      <c r="GI48" s="637"/>
      <c r="GJ48" s="637"/>
      <c r="GK48" s="637"/>
      <c r="GL48" s="637"/>
      <c r="GM48" s="637"/>
      <c r="GN48" s="637"/>
      <c r="GO48" s="637"/>
      <c r="GP48" s="637"/>
      <c r="GQ48" s="637"/>
      <c r="GR48" s="637"/>
      <c r="GS48" s="637"/>
      <c r="GT48" s="637"/>
      <c r="GU48" s="637"/>
      <c r="GV48" s="637"/>
      <c r="GW48" s="637"/>
      <c r="GX48" s="637"/>
      <c r="GY48" s="637"/>
      <c r="GZ48" s="637"/>
      <c r="HA48" s="637"/>
      <c r="HB48" s="637"/>
      <c r="HC48" s="637"/>
      <c r="HD48" s="637"/>
      <c r="HE48" s="637"/>
      <c r="HF48" s="637"/>
      <c r="HG48" s="637"/>
      <c r="HH48" s="637"/>
      <c r="HI48" s="637"/>
      <c r="HJ48" s="637"/>
      <c r="HK48" s="637"/>
      <c r="HL48" s="637"/>
      <c r="HM48" s="637"/>
      <c r="HN48" s="637"/>
      <c r="HO48" s="637"/>
      <c r="HP48" s="637"/>
      <c r="HQ48" s="637"/>
      <c r="HR48" s="637"/>
      <c r="HS48" s="637"/>
      <c r="HT48" s="637"/>
      <c r="HU48" s="637"/>
      <c r="HV48" s="637"/>
      <c r="HW48" s="637"/>
      <c r="HX48" s="637"/>
      <c r="HY48" s="637"/>
      <c r="HZ48" s="637"/>
      <c r="IA48" s="637"/>
      <c r="IB48" s="637"/>
      <c r="IC48" s="637"/>
      <c r="ID48" s="637"/>
      <c r="IE48" s="637"/>
      <c r="IF48" s="637"/>
      <c r="IG48" s="637"/>
      <c r="IH48" s="637"/>
      <c r="II48" s="637"/>
      <c r="IJ48" s="637"/>
      <c r="IK48" s="637"/>
      <c r="IL48" s="637"/>
      <c r="IM48" s="637"/>
      <c r="IN48" s="637"/>
      <c r="IO48" s="637"/>
      <c r="IP48" s="637"/>
      <c r="IQ48" s="637"/>
      <c r="IR48" s="637"/>
      <c r="IS48" s="637"/>
      <c r="IT48" s="637"/>
      <c r="IU48" s="637"/>
      <c r="IV48" s="637"/>
      <c r="IW48" s="637"/>
      <c r="IX48" s="637"/>
      <c r="IY48" s="637"/>
      <c r="IZ48" s="637"/>
      <c r="JA48" s="637"/>
      <c r="JB48" s="637"/>
      <c r="JC48" s="637"/>
      <c r="JD48" s="637"/>
      <c r="JE48" s="637"/>
      <c r="JF48" s="637"/>
      <c r="JG48" s="637"/>
      <c r="JH48" s="637"/>
      <c r="JI48" s="637"/>
      <c r="JJ48" s="637"/>
      <c r="JK48" s="637"/>
      <c r="JL48" s="637"/>
      <c r="JM48" s="637"/>
      <c r="JN48" s="637"/>
      <c r="JO48" s="637"/>
      <c r="JP48" s="637"/>
      <c r="JQ48" s="637"/>
      <c r="JR48" s="637"/>
      <c r="JS48" s="637"/>
      <c r="JT48" s="637"/>
    </row>
    <row r="49" spans="1:179" outlineLevel="1" x14ac:dyDescent="0.3">
      <c r="B49" s="308" t="s">
        <v>108</v>
      </c>
      <c r="C49" s="332"/>
      <c r="D49" s="333">
        <f t="shared" ref="D49:AI49" si="64">D48/D16</f>
        <v>0.25626043405676124</v>
      </c>
      <c r="E49" s="333">
        <f t="shared" si="64"/>
        <v>0.21534784917684546</v>
      </c>
      <c r="F49" s="333">
        <f t="shared" si="64"/>
        <v>0.23885869565217394</v>
      </c>
      <c r="G49" s="333">
        <f t="shared" si="64"/>
        <v>0.19079128756548119</v>
      </c>
      <c r="H49" s="333">
        <f t="shared" si="64"/>
        <v>0.1772703950743971</v>
      </c>
      <c r="I49" s="333">
        <f t="shared" si="64"/>
        <v>0.18378737541528239</v>
      </c>
      <c r="J49" s="333">
        <f t="shared" si="64"/>
        <v>0.18857910648303663</v>
      </c>
      <c r="K49" s="333">
        <f t="shared" si="64"/>
        <v>0.23128760529482553</v>
      </c>
      <c r="L49" s="333">
        <f t="shared" si="64"/>
        <v>0.21438988818667962</v>
      </c>
      <c r="M49" s="333">
        <f t="shared" si="64"/>
        <v>0.22288063852944737</v>
      </c>
      <c r="N49" s="333">
        <f t="shared" si="64"/>
        <v>0.18051253168121656</v>
      </c>
      <c r="O49" s="333">
        <f t="shared" si="64"/>
        <v>0.19534497090606817</v>
      </c>
      <c r="P49" s="333">
        <f t="shared" si="64"/>
        <v>0.18798882681564247</v>
      </c>
      <c r="Q49" s="333">
        <f t="shared" si="64"/>
        <v>0.20668870309158072</v>
      </c>
      <c r="R49" s="333">
        <f t="shared" si="64"/>
        <v>0.25306314797360985</v>
      </c>
      <c r="S49" s="333">
        <f t="shared" si="64"/>
        <v>0.19635990771597028</v>
      </c>
      <c r="T49" s="333">
        <f t="shared" si="64"/>
        <v>0.22590546347452425</v>
      </c>
      <c r="U49" s="333">
        <f t="shared" si="64"/>
        <v>0.17252489748096073</v>
      </c>
      <c r="V49" s="333">
        <f t="shared" si="64"/>
        <v>0.14157877916267181</v>
      </c>
      <c r="W49" s="333">
        <f t="shared" si="64"/>
        <v>0.15772581384685927</v>
      </c>
      <c r="X49" s="333">
        <f t="shared" si="64"/>
        <v>0.19553376906318082</v>
      </c>
      <c r="Y49" s="333">
        <f t="shared" si="64"/>
        <v>0.1794520547945205</v>
      </c>
      <c r="Z49" s="333">
        <f t="shared" si="64"/>
        <v>0.16583796431705178</v>
      </c>
      <c r="AA49" s="333">
        <f t="shared" si="64"/>
        <v>0.17286744942707594</v>
      </c>
      <c r="AB49" s="333">
        <f t="shared" si="64"/>
        <v>0.12421383647798739</v>
      </c>
      <c r="AC49" s="333">
        <f t="shared" si="64"/>
        <v>7.0866141732283464E-2</v>
      </c>
      <c r="AD49" s="333">
        <f t="shared" si="64"/>
        <v>9.8244906193262024E-2</v>
      </c>
      <c r="AE49" s="333">
        <f t="shared" si="64"/>
        <v>0.14210876434392153</v>
      </c>
      <c r="AF49" s="333">
        <f t="shared" si="64"/>
        <v>0.22425307557117752</v>
      </c>
      <c r="AG49" s="333">
        <f t="shared" si="64"/>
        <v>0.20644312952005262</v>
      </c>
      <c r="AH49" s="333">
        <f t="shared" si="64"/>
        <v>0.21505011041277386</v>
      </c>
      <c r="AI49" s="333">
        <f t="shared" si="64"/>
        <v>0.167816091954023</v>
      </c>
      <c r="AJ49" s="333">
        <f t="shared" ref="AJ49:BO49" si="65">AJ48/AJ16</f>
        <v>0.13932339032375407</v>
      </c>
      <c r="AK49" s="333">
        <f t="shared" si="65"/>
        <v>0.15320022392237356</v>
      </c>
      <c r="AL49" s="333">
        <f t="shared" si="65"/>
        <v>0.18557709407789436</v>
      </c>
      <c r="AM49" s="333">
        <f t="shared" si="65"/>
        <v>0.20383165829145733</v>
      </c>
      <c r="AN49" s="333">
        <f t="shared" si="65"/>
        <v>0.1463838664812239</v>
      </c>
      <c r="AO49" s="333">
        <f t="shared" si="65"/>
        <v>0.17656765676567657</v>
      </c>
      <c r="AP49" s="333">
        <f t="shared" si="65"/>
        <v>0.10938965394217723</v>
      </c>
      <c r="AQ49" s="333">
        <f t="shared" si="65"/>
        <v>0.17225083484633902</v>
      </c>
      <c r="AR49" s="333">
        <f t="shared" si="65"/>
        <v>0.14056889675191125</v>
      </c>
      <c r="AS49" s="333">
        <f t="shared" si="65"/>
        <v>0.15947662634147569</v>
      </c>
      <c r="AT49" s="333">
        <f t="shared" si="65"/>
        <v>0.18112244897959187</v>
      </c>
      <c r="AU49" s="333">
        <f t="shared" si="65"/>
        <v>0.17611580217129069</v>
      </c>
      <c r="AV49" s="333">
        <f t="shared" si="65"/>
        <v>0.17854928704277742</v>
      </c>
      <c r="AW49" s="333">
        <f t="shared" si="65"/>
        <v>0.13356890459363957</v>
      </c>
      <c r="AX49" s="333">
        <f t="shared" si="65"/>
        <v>0.13546718396378918</v>
      </c>
      <c r="AY49" s="333">
        <f t="shared" si="65"/>
        <v>0.13456018909336481</v>
      </c>
      <c r="AZ49" s="333">
        <f t="shared" si="65"/>
        <v>0.15749494949494952</v>
      </c>
      <c r="BA49" s="333">
        <f t="shared" si="65"/>
        <v>0.16985575507801004</v>
      </c>
      <c r="BB49" s="333">
        <f t="shared" si="65"/>
        <v>0.15430622009569381</v>
      </c>
      <c r="BC49" s="333">
        <f t="shared" si="65"/>
        <v>0.16214211541314341</v>
      </c>
      <c r="BD49" s="333">
        <f t="shared" si="65"/>
        <v>0.10830212234706617</v>
      </c>
      <c r="BE49" s="333">
        <f t="shared" si="65"/>
        <v>0.11321909424724602</v>
      </c>
      <c r="BF49" s="333">
        <f t="shared" si="65"/>
        <v>0.11078491965389367</v>
      </c>
      <c r="BG49" s="333">
        <f t="shared" si="65"/>
        <v>0.13698630136986301</v>
      </c>
      <c r="BH49" s="333">
        <f t="shared" si="65"/>
        <v>0.18135411069317578</v>
      </c>
      <c r="BI49" s="333">
        <f t="shared" si="65"/>
        <v>0.18545918367346939</v>
      </c>
      <c r="BJ49" s="333">
        <f t="shared" si="65"/>
        <v>0.18345982727034812</v>
      </c>
      <c r="BK49" s="333">
        <f t="shared" si="65"/>
        <v>0.1562853907134768</v>
      </c>
      <c r="BL49" s="333">
        <f t="shared" si="65"/>
        <v>0.15249734325185971</v>
      </c>
      <c r="BM49" s="333">
        <f t="shared" si="65"/>
        <v>0.15433114035087714</v>
      </c>
      <c r="BN49" s="333">
        <f t="shared" si="65"/>
        <v>0.16923282902664352</v>
      </c>
      <c r="BO49" s="333">
        <f t="shared" si="65"/>
        <v>0.17082533589251439</v>
      </c>
      <c r="BP49" s="333">
        <f t="shared" ref="BP49:CU49" si="66">BP48/BP16</f>
        <v>0.19323342415985467</v>
      </c>
      <c r="BQ49" s="333">
        <f t="shared" si="66"/>
        <v>0.18233784414372378</v>
      </c>
      <c r="BR49" s="333">
        <f t="shared" si="66"/>
        <v>0.17224510813594232</v>
      </c>
      <c r="BS49" s="333">
        <f t="shared" si="66"/>
        <v>0.19645027960126427</v>
      </c>
      <c r="BT49" s="333">
        <f t="shared" si="66"/>
        <v>0.18469426034763031</v>
      </c>
      <c r="BU49" s="333">
        <f t="shared" si="66"/>
        <v>0.18347516446375761</v>
      </c>
      <c r="BV49" s="333">
        <f t="shared" si="66"/>
        <v>0.20896567826289986</v>
      </c>
      <c r="BW49" s="333">
        <f t="shared" si="66"/>
        <v>0.21185876082611599</v>
      </c>
      <c r="BX49" s="333">
        <f t="shared" si="66"/>
        <v>0.21044844070111546</v>
      </c>
      <c r="BY49" s="333">
        <f t="shared" si="66"/>
        <v>0.19811548683256827</v>
      </c>
      <c r="BZ49" s="333">
        <f t="shared" si="66"/>
        <v>0.1920605782469022</v>
      </c>
      <c r="CA49" s="333">
        <f t="shared" si="66"/>
        <v>0.19501000353065789</v>
      </c>
      <c r="CB49" s="333">
        <f t="shared" si="66"/>
        <v>0.20285830006364641</v>
      </c>
      <c r="CC49" s="333">
        <f t="shared" si="66"/>
        <v>0.20431232991417203</v>
      </c>
      <c r="CD49" s="333">
        <f t="shared" si="66"/>
        <v>0.21399757966922148</v>
      </c>
      <c r="CE49" s="333">
        <f t="shared" si="66"/>
        <v>0.20924499229583976</v>
      </c>
      <c r="CF49" s="333">
        <f t="shared" si="66"/>
        <v>0.16196562362274133</v>
      </c>
      <c r="CG49" s="333">
        <f t="shared" si="66"/>
        <v>0.15597815092049358</v>
      </c>
      <c r="CH49" s="333">
        <f t="shared" si="66"/>
        <v>0.15884400379706784</v>
      </c>
      <c r="CI49" s="333">
        <f t="shared" si="66"/>
        <v>0.18437760199833472</v>
      </c>
      <c r="CJ49" s="333">
        <f t="shared" si="66"/>
        <v>0.14524864598719844</v>
      </c>
      <c r="CK49" s="333">
        <f t="shared" si="66"/>
        <v>0.1623904881101377</v>
      </c>
      <c r="CL49" s="333">
        <f t="shared" si="66"/>
        <v>0.15402482979575488</v>
      </c>
      <c r="CM49" s="333">
        <f t="shared" si="66"/>
        <v>0.16139240506329111</v>
      </c>
      <c r="CN49" s="333">
        <f t="shared" si="66"/>
        <v>0.16370839936608561</v>
      </c>
      <c r="CO49" s="333">
        <f t="shared" si="66"/>
        <v>0.16257917817118725</v>
      </c>
      <c r="CP49" s="333">
        <f t="shared" si="66"/>
        <v>0.1582725109883463</v>
      </c>
      <c r="CQ49" s="333">
        <f t="shared" si="66"/>
        <v>0.16451612903225807</v>
      </c>
      <c r="CR49" s="333">
        <f t="shared" si="66"/>
        <v>0.16583928017375121</v>
      </c>
      <c r="CS49" s="333">
        <f t="shared" si="66"/>
        <v>0.1651744365544921</v>
      </c>
      <c r="CT49" s="333">
        <f t="shared" si="66"/>
        <v>0.15455475946775846</v>
      </c>
      <c r="CU49" s="333">
        <f t="shared" si="66"/>
        <v>0.16005121638924455</v>
      </c>
      <c r="CV49" s="333">
        <f t="shared" ref="CV49:EA49" si="67">CV48/CV16</f>
        <v>0.15739058629232036</v>
      </c>
      <c r="CW49" s="333">
        <f t="shared" si="67"/>
        <v>0.16141386739009014</v>
      </c>
      <c r="CX49" s="333">
        <f t="shared" si="67"/>
        <v>0.18940316686967121</v>
      </c>
      <c r="CY49" s="333">
        <f t="shared" si="67"/>
        <v>0.20330252991970912</v>
      </c>
      <c r="CZ49" s="333">
        <f t="shared" si="67"/>
        <v>0.196370263497608</v>
      </c>
      <c r="DA49" s="333">
        <f t="shared" si="67"/>
        <v>0.17382844170585374</v>
      </c>
      <c r="DB49" s="333">
        <f t="shared" si="67"/>
        <v>0.17971186692410512</v>
      </c>
      <c r="DC49" s="333">
        <f t="shared" si="67"/>
        <v>0.1768992248062016</v>
      </c>
      <c r="DD49" s="658">
        <f t="shared" si="67"/>
        <v>0.18673520273121333</v>
      </c>
      <c r="DE49" s="334">
        <f t="shared" si="67"/>
        <v>0.19942519559316627</v>
      </c>
      <c r="DF49" s="334">
        <f t="shared" si="67"/>
        <v>0.22136264929424534</v>
      </c>
      <c r="DG49" s="333">
        <f t="shared" si="67"/>
        <v>0.21128310468784389</v>
      </c>
      <c r="DH49" s="333">
        <f t="shared" si="67"/>
        <v>0.22732196046574601</v>
      </c>
      <c r="DI49" s="333">
        <f t="shared" si="67"/>
        <v>0.21449814126394048</v>
      </c>
      <c r="DJ49" s="333">
        <f t="shared" si="67"/>
        <v>0.22062629399585923</v>
      </c>
      <c r="DK49" s="658">
        <f t="shared" si="67"/>
        <v>0.21624780829924023</v>
      </c>
      <c r="DL49" s="335">
        <f t="shared" si="67"/>
        <v>0.21404008063559826</v>
      </c>
      <c r="DM49" s="334">
        <f t="shared" si="67"/>
        <v>0.22774579273693535</v>
      </c>
      <c r="DN49" s="333">
        <f t="shared" si="67"/>
        <v>0.22112797022616662</v>
      </c>
      <c r="DO49" s="334">
        <f t="shared" si="67"/>
        <v>0.2267777777777778</v>
      </c>
      <c r="DP49" s="333">
        <f t="shared" si="67"/>
        <v>0.23269985540177648</v>
      </c>
      <c r="DQ49" s="333">
        <f t="shared" si="67"/>
        <v>0.22984691146558189</v>
      </c>
      <c r="DR49" s="680">
        <f t="shared" si="67"/>
        <v>0.22563421584087198</v>
      </c>
      <c r="DS49" s="681">
        <f t="shared" si="67"/>
        <v>0.208212608652213</v>
      </c>
      <c r="DT49" s="681">
        <f t="shared" si="67"/>
        <v>0.21902566158781075</v>
      </c>
      <c r="DU49" s="681">
        <f t="shared" si="67"/>
        <v>0.21361020765574179</v>
      </c>
      <c r="DV49" s="681">
        <f t="shared" si="67"/>
        <v>0.19214684014869887</v>
      </c>
      <c r="DW49" s="682">
        <f t="shared" si="67"/>
        <v>0.20429287426454568</v>
      </c>
      <c r="DX49" s="682">
        <f t="shared" si="67"/>
        <v>0.19841448330147304</v>
      </c>
      <c r="DY49" s="680">
        <f t="shared" si="67"/>
        <v>0.20645468745863224</v>
      </c>
      <c r="DZ49" s="681">
        <f t="shared" si="67"/>
        <v>0.24510112124070005</v>
      </c>
      <c r="EA49" s="681">
        <f t="shared" si="67"/>
        <v>0.24028834601521823</v>
      </c>
      <c r="EB49" s="681">
        <f t="shared" ref="EB49:FG49" si="68">EB48/EB16</f>
        <v>0.24263990579079409</v>
      </c>
      <c r="EC49" s="681">
        <f t="shared" si="68"/>
        <v>0.23931711306481296</v>
      </c>
      <c r="ED49" s="682">
        <f t="shared" si="68"/>
        <v>0.23164179104477614</v>
      </c>
      <c r="EE49" s="682">
        <f t="shared" si="68"/>
        <v>0.23542759177087533</v>
      </c>
      <c r="EF49" s="680">
        <f t="shared" si="68"/>
        <v>0.23900617330996116</v>
      </c>
      <c r="EG49" s="681">
        <f t="shared" si="68"/>
        <v>0.23732231071680615</v>
      </c>
      <c r="EH49" s="681">
        <f t="shared" si="68"/>
        <v>0.2196086594504579</v>
      </c>
      <c r="EI49" s="681">
        <f t="shared" si="68"/>
        <v>0.2286065447841451</v>
      </c>
      <c r="EJ49" s="681">
        <f t="shared" si="68"/>
        <v>0.21714045945662436</v>
      </c>
      <c r="EK49" s="681">
        <f t="shared" si="68"/>
        <v>0.21595470921255783</v>
      </c>
      <c r="EL49" s="682">
        <f t="shared" si="68"/>
        <v>0.21654197838736489</v>
      </c>
      <c r="EM49" s="680">
        <f t="shared" si="68"/>
        <v>0.22261766602192132</v>
      </c>
      <c r="EN49" s="700">
        <f t="shared" ref="EN49:EO49" si="69">EN48/EN16</f>
        <v>0.18779864429381044</v>
      </c>
      <c r="EO49" s="700">
        <f t="shared" si="69"/>
        <v>0.1948614765516174</v>
      </c>
      <c r="EP49" s="700">
        <f>EP48/EP16</f>
        <v>0.21174404792645771</v>
      </c>
      <c r="EQ49" s="551">
        <f t="shared" ref="EQ49" si="70">EQ48/EQ16</f>
        <v>0.19349895144378126</v>
      </c>
      <c r="ER49" s="333">
        <f t="shared" si="68"/>
        <v>0.19888513813041669</v>
      </c>
      <c r="ES49" s="333">
        <f t="shared" si="68"/>
        <v>0.19694982370750855</v>
      </c>
      <c r="ET49" s="594">
        <f t="shared" si="68"/>
        <v>0.19214861505973824</v>
      </c>
      <c r="EU49" s="333">
        <f t="shared" si="68"/>
        <v>0.20712700313665264</v>
      </c>
      <c r="EV49" s="333">
        <f t="shared" si="68"/>
        <v>0.19460684749643592</v>
      </c>
      <c r="EW49" s="333">
        <f t="shared" si="68"/>
        <v>0.20073320240247636</v>
      </c>
      <c r="EX49" s="333">
        <f t="shared" si="68"/>
        <v>0.21177542850487552</v>
      </c>
      <c r="EY49" s="333">
        <f t="shared" si="68"/>
        <v>0.21843007087755506</v>
      </c>
      <c r="EZ49" s="333">
        <f t="shared" si="68"/>
        <v>0.2152584298321866</v>
      </c>
      <c r="FA49" s="594">
        <f t="shared" si="68"/>
        <v>0.20809197510770491</v>
      </c>
      <c r="FB49" s="333">
        <f t="shared" si="68"/>
        <v>0.21570252839537363</v>
      </c>
      <c r="FC49" s="333">
        <f t="shared" si="68"/>
        <v>0.20481535166516024</v>
      </c>
      <c r="FD49" s="333">
        <f t="shared" si="68"/>
        <v>0.21010801575101287</v>
      </c>
      <c r="FE49" s="333">
        <f t="shared" si="68"/>
        <v>0.22799561194773066</v>
      </c>
      <c r="FF49" s="333">
        <f t="shared" si="68"/>
        <v>0.22574737360083341</v>
      </c>
      <c r="FG49" s="333">
        <f t="shared" si="68"/>
        <v>0.22682280097064864</v>
      </c>
      <c r="FH49" s="594">
        <f t="shared" ref="FH49:FV49" si="71">FH48/FH16</f>
        <v>0.21858579027946565</v>
      </c>
      <c r="FI49" s="333">
        <f t="shared" si="71"/>
        <v>0.22669957311209105</v>
      </c>
      <c r="FJ49" s="333">
        <f t="shared" si="71"/>
        <v>0.21116625788011317</v>
      </c>
      <c r="FK49" s="333">
        <f t="shared" si="71"/>
        <v>0.21873516386881289</v>
      </c>
      <c r="FL49" s="333">
        <f t="shared" si="71"/>
        <v>0.23380829662240418</v>
      </c>
      <c r="FM49" s="333">
        <f t="shared" si="71"/>
        <v>0.23034028408636242</v>
      </c>
      <c r="FN49" s="333">
        <f t="shared" si="71"/>
        <v>0.23200474290924111</v>
      </c>
      <c r="FO49" s="594">
        <f t="shared" si="71"/>
        <v>0.2254416340461117</v>
      </c>
      <c r="FP49" s="333">
        <f t="shared" si="71"/>
        <v>0.23311608434302125</v>
      </c>
      <c r="FQ49" s="333">
        <f t="shared" si="71"/>
        <v>0.22016451851987454</v>
      </c>
      <c r="FR49" s="333">
        <f t="shared" si="71"/>
        <v>0.2264542727063478</v>
      </c>
      <c r="FS49" s="333">
        <f t="shared" si="71"/>
        <v>0.24142346272431273</v>
      </c>
      <c r="FT49" s="333">
        <f t="shared" si="71"/>
        <v>0.23645269151008819</v>
      </c>
      <c r="FU49" s="333">
        <f t="shared" si="71"/>
        <v>0.23884280226575832</v>
      </c>
      <c r="FV49" s="594">
        <f t="shared" si="71"/>
        <v>0.23272945823188712</v>
      </c>
    </row>
    <row r="50" spans="1:179" outlineLevel="1" x14ac:dyDescent="0.3">
      <c r="B50" s="308" t="s">
        <v>113</v>
      </c>
      <c r="C50" s="332"/>
      <c r="D50" s="333"/>
      <c r="E50" s="333"/>
      <c r="F50" s="333"/>
      <c r="G50" s="333"/>
      <c r="H50" s="333"/>
      <c r="I50" s="333"/>
      <c r="J50" s="333"/>
      <c r="K50" s="333"/>
      <c r="L50" s="333"/>
      <c r="M50" s="333"/>
      <c r="N50" s="333"/>
      <c r="O50" s="333"/>
      <c r="P50" s="333"/>
      <c r="Q50" s="333">
        <f t="shared" ref="Q50:CB50" si="72">Q48/J48-1</f>
        <v>0.13608835055219037</v>
      </c>
      <c r="R50" s="333">
        <f t="shared" si="72"/>
        <v>0.11758584807492212</v>
      </c>
      <c r="S50" s="333">
        <f t="shared" si="72"/>
        <v>-0.13151927437641719</v>
      </c>
      <c r="T50" s="333">
        <f t="shared" si="72"/>
        <v>-1.6277807921867282E-3</v>
      </c>
      <c r="U50" s="333">
        <f t="shared" si="72"/>
        <v>-8.1123244929797278E-2</v>
      </c>
      <c r="V50" s="333">
        <f t="shared" si="72"/>
        <v>-0.37163120567375885</v>
      </c>
      <c r="W50" s="333">
        <f t="shared" si="72"/>
        <v>-0.2332838038632985</v>
      </c>
      <c r="X50" s="333">
        <f t="shared" si="72"/>
        <v>-9.9404201944182979E-2</v>
      </c>
      <c r="Y50" s="333">
        <f t="shared" si="72"/>
        <v>-0.39013035381750483</v>
      </c>
      <c r="Z50" s="333">
        <f t="shared" si="72"/>
        <v>-0.25979112271540472</v>
      </c>
      <c r="AA50" s="333">
        <f t="shared" si="72"/>
        <v>-0.33586956521739142</v>
      </c>
      <c r="AB50" s="333">
        <f t="shared" si="72"/>
        <v>-0.46349745331069614</v>
      </c>
      <c r="AC50" s="333">
        <f t="shared" si="72"/>
        <v>-0.61399548532731385</v>
      </c>
      <c r="AD50" s="333">
        <f t="shared" si="72"/>
        <v>-0.52810077519379861</v>
      </c>
      <c r="AE50" s="333">
        <f t="shared" si="72"/>
        <v>-0.40494428969359331</v>
      </c>
      <c r="AF50" s="333">
        <f t="shared" si="72"/>
        <v>-2.5954198473282175E-2</v>
      </c>
      <c r="AG50" s="333">
        <f t="shared" si="72"/>
        <v>0.10758377425044086</v>
      </c>
      <c r="AH50" s="333">
        <f t="shared" si="72"/>
        <v>3.6006546644844484E-2</v>
      </c>
      <c r="AI50" s="333">
        <f t="shared" si="72"/>
        <v>0.38607594936708889</v>
      </c>
      <c r="AJ50" s="333">
        <f t="shared" si="72"/>
        <v>1.2397660818713447</v>
      </c>
      <c r="AK50" s="333">
        <f t="shared" si="72"/>
        <v>0.68583162217659166</v>
      </c>
      <c r="AL50" s="333">
        <f t="shared" si="72"/>
        <v>0.22118197776477455</v>
      </c>
      <c r="AM50" s="333">
        <f t="shared" si="72"/>
        <v>1.7241379310344751E-2</v>
      </c>
      <c r="AN50" s="333">
        <f t="shared" si="72"/>
        <v>-0.32961783439490455</v>
      </c>
      <c r="AO50" s="333">
        <f t="shared" si="72"/>
        <v>-0.15481832543443907</v>
      </c>
      <c r="AP50" s="333">
        <f t="shared" si="72"/>
        <v>-0.31050228310502304</v>
      </c>
      <c r="AQ50" s="333">
        <f t="shared" si="72"/>
        <v>0.22193211488250686</v>
      </c>
      <c r="AR50" s="333">
        <f t="shared" si="72"/>
        <v>-6.2119366626065764E-2</v>
      </c>
      <c r="AS50" s="333">
        <f t="shared" si="72"/>
        <v>-0.11835170100622883</v>
      </c>
      <c r="AT50" s="333">
        <f t="shared" si="72"/>
        <v>-0.12480739599383661</v>
      </c>
      <c r="AU50" s="333">
        <f t="shared" si="72"/>
        <v>0.3871733966745845</v>
      </c>
      <c r="AV50" s="333">
        <f t="shared" si="72"/>
        <v>7.6635514018691619E-2</v>
      </c>
      <c r="AW50" s="333">
        <f t="shared" si="72"/>
        <v>0.25165562913907302</v>
      </c>
      <c r="AX50" s="333">
        <f t="shared" si="72"/>
        <v>-0.10470085470085466</v>
      </c>
      <c r="AY50" s="333">
        <f t="shared" si="72"/>
        <v>3.5064935064935021E-2</v>
      </c>
      <c r="AZ50" s="333">
        <f t="shared" si="72"/>
        <v>5.9239130434782572E-2</v>
      </c>
      <c r="BA50" s="333">
        <f t="shared" si="72"/>
        <v>1.5845070422535024E-2</v>
      </c>
      <c r="BB50" s="333">
        <f t="shared" si="72"/>
        <v>-0.11643835616438347</v>
      </c>
      <c r="BC50" s="333">
        <f t="shared" si="72"/>
        <v>-5.1215277777777901E-2</v>
      </c>
      <c r="BD50" s="333">
        <f t="shared" si="72"/>
        <v>-8.2010582010581867E-2</v>
      </c>
      <c r="BE50" s="333">
        <f t="shared" si="72"/>
        <v>-0.116945107398568</v>
      </c>
      <c r="BF50" s="333">
        <f t="shared" si="72"/>
        <v>-0.10037641154328736</v>
      </c>
      <c r="BG50" s="333">
        <f t="shared" si="72"/>
        <v>-7.1318624935864716E-2</v>
      </c>
      <c r="BH50" s="333">
        <f t="shared" si="72"/>
        <v>0.16984402079722738</v>
      </c>
      <c r="BI50" s="333">
        <f t="shared" si="72"/>
        <v>0.4089147286821706</v>
      </c>
      <c r="BJ50" s="333">
        <f t="shared" si="72"/>
        <v>0.28270814272644129</v>
      </c>
      <c r="BK50" s="333">
        <f t="shared" si="72"/>
        <v>0.59077809798270886</v>
      </c>
      <c r="BL50" s="333">
        <f t="shared" si="72"/>
        <v>0.55135135135135127</v>
      </c>
      <c r="BM50" s="333">
        <f t="shared" si="72"/>
        <v>0.57043235704323569</v>
      </c>
      <c r="BN50" s="333">
        <f t="shared" si="72"/>
        <v>0.39668508287292847</v>
      </c>
      <c r="BO50" s="333">
        <f t="shared" si="72"/>
        <v>5.481481481481465E-2</v>
      </c>
      <c r="BP50" s="333">
        <f t="shared" si="72"/>
        <v>0.17056396148555719</v>
      </c>
      <c r="BQ50" s="333">
        <f t="shared" si="72"/>
        <v>0.11483594864479318</v>
      </c>
      <c r="BR50" s="333">
        <f t="shared" si="72"/>
        <v>0.21195652173913038</v>
      </c>
      <c r="BS50" s="333">
        <f t="shared" si="72"/>
        <v>0.40766550522648082</v>
      </c>
      <c r="BT50" s="333">
        <f t="shared" si="72"/>
        <v>0.31172291296625243</v>
      </c>
      <c r="BU50" s="333">
        <f t="shared" si="72"/>
        <v>0.20253164556962</v>
      </c>
      <c r="BV50" s="333">
        <f t="shared" si="72"/>
        <v>0.2570224719101124</v>
      </c>
      <c r="BW50" s="333">
        <f t="shared" si="72"/>
        <v>0.12103407755581674</v>
      </c>
      <c r="BX50" s="333">
        <f t="shared" si="72"/>
        <v>0.18298144593730026</v>
      </c>
      <c r="BY50" s="333">
        <f t="shared" si="72"/>
        <v>0.22571001494768295</v>
      </c>
      <c r="BZ50" s="333">
        <f t="shared" si="72"/>
        <v>3.5891089108910812E-2</v>
      </c>
      <c r="CA50" s="333">
        <f t="shared" si="72"/>
        <v>0.12186865267433999</v>
      </c>
      <c r="CB50" s="333">
        <f t="shared" si="72"/>
        <v>0.15328947368421075</v>
      </c>
      <c r="CC50" s="333">
        <f t="shared" ref="CC50:DN50" si="73">CC48/BV48-1</f>
        <v>9.0502793296089346E-2</v>
      </c>
      <c r="CD50" s="333">
        <f t="shared" si="73"/>
        <v>0.11215932914046101</v>
      </c>
      <c r="CE50" s="333">
        <f t="shared" si="73"/>
        <v>0.10167658193618156</v>
      </c>
      <c r="CF50" s="333">
        <f t="shared" si="73"/>
        <v>-0.10365853658536572</v>
      </c>
      <c r="CG50" s="333">
        <f t="shared" si="73"/>
        <v>-7.8853046594982157E-2</v>
      </c>
      <c r="CH50" s="333">
        <f t="shared" si="73"/>
        <v>-9.1128545564272745E-2</v>
      </c>
      <c r="CI50" s="333">
        <f t="shared" si="73"/>
        <v>1.0553337136337548E-2</v>
      </c>
      <c r="CJ50" s="333">
        <f t="shared" si="73"/>
        <v>-9.3237704918032738E-2</v>
      </c>
      <c r="CK50" s="333">
        <f t="shared" si="73"/>
        <v>-2.1677662582469392E-2</v>
      </c>
      <c r="CL50" s="333">
        <f t="shared" si="73"/>
        <v>-5.5964653902798367E-2</v>
      </c>
      <c r="CM50" s="333">
        <f t="shared" si="73"/>
        <v>0.31836734693877489</v>
      </c>
      <c r="CN50" s="333">
        <f t="shared" si="73"/>
        <v>0.33981841763942988</v>
      </c>
      <c r="CO50" s="333">
        <f t="shared" si="73"/>
        <v>0.32934926958831334</v>
      </c>
      <c r="CP50" s="333">
        <f t="shared" si="73"/>
        <v>0.10781823313576044</v>
      </c>
      <c r="CQ50" s="333">
        <f t="shared" si="73"/>
        <v>0.21016949152542375</v>
      </c>
      <c r="CR50" s="333">
        <f t="shared" si="73"/>
        <v>2.9865125240847945E-2</v>
      </c>
      <c r="CS50" s="333">
        <f t="shared" si="73"/>
        <v>0.11284451378055138</v>
      </c>
      <c r="CT50" s="333">
        <f t="shared" si="73"/>
        <v>-6.5015479876160853E-2</v>
      </c>
      <c r="CU50" s="333">
        <f t="shared" si="73"/>
        <v>-3.194578896418232E-2</v>
      </c>
      <c r="CV50" s="333">
        <f t="shared" si="73"/>
        <v>-4.7952047952048105E-2</v>
      </c>
      <c r="CW50" s="333">
        <f t="shared" si="73"/>
        <v>3.0828025477707133E-2</v>
      </c>
      <c r="CX50" s="333">
        <f t="shared" si="73"/>
        <v>0.16153127917833832</v>
      </c>
      <c r="CY50" s="333">
        <f t="shared" si="73"/>
        <v>0.2553788587464918</v>
      </c>
      <c r="CZ50" s="333">
        <f t="shared" si="73"/>
        <v>0.20841121495327086</v>
      </c>
      <c r="DA50" s="333">
        <f t="shared" si="73"/>
        <v>0.18322295805739519</v>
      </c>
      <c r="DB50" s="333">
        <f>DB48/CU48-1</f>
        <v>0.20999999999999996</v>
      </c>
      <c r="DC50" s="333">
        <f>DC48/CV48-1</f>
        <v>0.1972717733473246</v>
      </c>
      <c r="DD50" s="658">
        <f>DD48/CW48-1</f>
        <v>0.20316361838853192</v>
      </c>
      <c r="DE50" s="334">
        <f t="shared" si="73"/>
        <v>4.019292604501512E-3</v>
      </c>
      <c r="DF50" s="334">
        <f t="shared" si="73"/>
        <v>0.21535022354694489</v>
      </c>
      <c r="DG50" s="333">
        <f t="shared" si="73"/>
        <v>0.11368909512761038</v>
      </c>
      <c r="DH50" s="333">
        <f>DH48/DA48-1</f>
        <v>0.56623134328358216</v>
      </c>
      <c r="DI50" s="333">
        <f>DI48/DB48-1</f>
        <v>0.43057851239669453</v>
      </c>
      <c r="DJ50" s="333">
        <f>DJ48/DC48-1</f>
        <v>0.49430324276950022</v>
      </c>
      <c r="DK50" s="658">
        <f>DK48/DD48-1</f>
        <v>0.29211175020542335</v>
      </c>
      <c r="DL50" s="335">
        <f t="shared" si="73"/>
        <v>0.44515612489991985</v>
      </c>
      <c r="DM50" s="334">
        <f t="shared" si="73"/>
        <v>0.26118945432250151</v>
      </c>
      <c r="DN50" s="333">
        <f t="shared" si="73"/>
        <v>0.34097222222222245</v>
      </c>
      <c r="DO50" s="334">
        <f>DO48/DH48-1</f>
        <v>0.21560452650387152</v>
      </c>
      <c r="DP50" s="333">
        <f>DP48/DI48-1</f>
        <v>0.30155979202772976</v>
      </c>
      <c r="DQ50" s="333">
        <f>DQ48/DJ48-1</f>
        <v>0.25923753665689153</v>
      </c>
      <c r="DR50" s="680">
        <f>DR48/DK48-1</f>
        <v>0.29666136724960235</v>
      </c>
      <c r="DS50" s="681">
        <f t="shared" ref="DS50:FV50" si="74">DS48/DL48-1</f>
        <v>0.15457063711911334</v>
      </c>
      <c r="DT50" s="681">
        <f t="shared" si="74"/>
        <v>6.2226543509966259E-2</v>
      </c>
      <c r="DU50" s="681">
        <f t="shared" si="74"/>
        <v>0.10538581046090112</v>
      </c>
      <c r="DV50" s="681">
        <f>DV48/DO48-1</f>
        <v>-0.18961293483586494</v>
      </c>
      <c r="DW50" s="682">
        <f>DW48/DP48-1</f>
        <v>-0.16777629826897478</v>
      </c>
      <c r="DX50" s="682">
        <f>DX48/DQ48-1</f>
        <v>-0.17815556590591552</v>
      </c>
      <c r="DY50" s="680">
        <f>DY48/DR48-1</f>
        <v>-4.3894065718489528E-2</v>
      </c>
      <c r="DZ50" s="681">
        <f t="shared" si="74"/>
        <v>0.1223608445297506</v>
      </c>
      <c r="EA50" s="681">
        <f t="shared" ref="EA50:EF50" si="75">EA48/DT48-1</f>
        <v>9.8398169336384012E-2</v>
      </c>
      <c r="EB50" s="681">
        <f t="shared" si="75"/>
        <v>0.11009604122745342</v>
      </c>
      <c r="EC50" s="681">
        <f t="shared" si="75"/>
        <v>0.41535671100362781</v>
      </c>
      <c r="ED50" s="682">
        <f t="shared" si="75"/>
        <v>0.24160000000000026</v>
      </c>
      <c r="EE50" s="682">
        <f t="shared" si="75"/>
        <v>0.32303768773023567</v>
      </c>
      <c r="EF50" s="680">
        <f t="shared" si="75"/>
        <v>0.20646319569120308</v>
      </c>
      <c r="EG50" s="681">
        <f t="shared" si="74"/>
        <v>6.4129970072677178E-3</v>
      </c>
      <c r="EH50" s="681">
        <f t="shared" ref="EH50:EM50" si="76">EH48/EA48-1</f>
        <v>-0.12083333333333335</v>
      </c>
      <c r="EI50" s="681">
        <f t="shared" si="76"/>
        <v>-5.8029120067524476E-2</v>
      </c>
      <c r="EJ50" s="681">
        <f t="shared" si="76"/>
        <v>-0.11576249466040167</v>
      </c>
      <c r="EK50" s="681">
        <f t="shared" si="76"/>
        <v>-9.8797250859106844E-2</v>
      </c>
      <c r="EL50" s="682">
        <f t="shared" si="76"/>
        <v>-0.10730349111158721</v>
      </c>
      <c r="EM50" s="680">
        <f t="shared" si="76"/>
        <v>-8.248299319727892E-2</v>
      </c>
      <c r="EN50" s="700">
        <f t="shared" si="74"/>
        <v>-0.28207306711979607</v>
      </c>
      <c r="EO50" s="700">
        <f t="shared" ref="EO50" si="77">EO48/EH48-1</f>
        <v>0.19336492890995305</v>
      </c>
      <c r="EP50" s="700">
        <f t="shared" ref="EP50" si="78">EP48/EI48-1</f>
        <v>-8.1541218637992907E-2</v>
      </c>
      <c r="EQ50" s="551">
        <f t="shared" si="74"/>
        <v>0.15893719806763285</v>
      </c>
      <c r="ER50" s="333">
        <f t="shared" si="74"/>
        <v>0.34175768805107132</v>
      </c>
      <c r="ES50" s="333">
        <f t="shared" si="74"/>
        <v>0.28807140823683963</v>
      </c>
      <c r="ET50" s="594">
        <f t="shared" si="74"/>
        <v>7.900922492251472E-2</v>
      </c>
      <c r="EU50" s="333">
        <f t="shared" si="74"/>
        <v>0.71318959344099886</v>
      </c>
      <c r="EV50" s="333">
        <f t="shared" si="74"/>
        <v>0.12749531827157812</v>
      </c>
      <c r="EW50" s="333">
        <f t="shared" si="74"/>
        <v>0.39861551812759055</v>
      </c>
      <c r="EX50" s="333">
        <f t="shared" si="74"/>
        <v>0.23415197694594969</v>
      </c>
      <c r="EY50" s="333">
        <f t="shared" si="74"/>
        <v>0.19131273084912714</v>
      </c>
      <c r="EZ50" s="333">
        <f t="shared" si="74"/>
        <v>0.17613325857481454</v>
      </c>
      <c r="FA50" s="594">
        <f t="shared" si="74"/>
        <v>0.29360089907085962</v>
      </c>
      <c r="FB50" s="333">
        <f t="shared" si="74"/>
        <v>0.13764438750543251</v>
      </c>
      <c r="FC50" s="333">
        <f t="shared" si="74"/>
        <v>0.16445681306010007</v>
      </c>
      <c r="FD50" s="333">
        <f t="shared" si="74"/>
        <v>0.15091907718377917</v>
      </c>
      <c r="FE50" s="333">
        <f t="shared" si="74"/>
        <v>0.19086609484730666</v>
      </c>
      <c r="FF50" s="333">
        <f t="shared" si="74"/>
        <v>0.13527119177705438</v>
      </c>
      <c r="FG50" s="333">
        <f t="shared" si="74"/>
        <v>0.16133931030791526</v>
      </c>
      <c r="FH50" s="594">
        <f t="shared" si="74"/>
        <v>0.15637998340614412</v>
      </c>
      <c r="FI50" s="333">
        <f t="shared" si="74"/>
        <v>0.13446050856493552</v>
      </c>
      <c r="FJ50" s="333">
        <f t="shared" si="74"/>
        <v>0.10786913241338225</v>
      </c>
      <c r="FK50" s="333">
        <f t="shared" si="74"/>
        <v>0.12114040245424351</v>
      </c>
      <c r="FL50" s="333">
        <f t="shared" si="74"/>
        <v>0.1001281269865324</v>
      </c>
      <c r="FM50" s="333">
        <f t="shared" si="74"/>
        <v>8.759228756586479E-2</v>
      </c>
      <c r="FN50" s="333">
        <f t="shared" si="74"/>
        <v>9.3619714214469241E-2</v>
      </c>
      <c r="FO50" s="594">
        <f t="shared" si="74"/>
        <v>0.10665584818649365</v>
      </c>
      <c r="FP50" s="333">
        <f t="shared" si="74"/>
        <v>0.10020188408817932</v>
      </c>
      <c r="FQ50" s="333">
        <f t="shared" si="74"/>
        <v>0.12282447929332863</v>
      </c>
      <c r="FR50" s="333">
        <f t="shared" si="74"/>
        <v>0.11139981424363254</v>
      </c>
      <c r="FS50" s="333">
        <f t="shared" si="74"/>
        <v>0.11556058564995308</v>
      </c>
      <c r="FT50" s="333">
        <f t="shared" si="74"/>
        <v>0.10510815701123</v>
      </c>
      <c r="FU50" s="333">
        <f t="shared" si="74"/>
        <v>0.11016375651680388</v>
      </c>
      <c r="FV50" s="594">
        <f t="shared" si="74"/>
        <v>0.11075692176403207</v>
      </c>
    </row>
    <row r="51" spans="1:179" hidden="1" outlineLevel="1" x14ac:dyDescent="0.3">
      <c r="B51" s="247" t="s">
        <v>422</v>
      </c>
      <c r="C51" s="280"/>
      <c r="D51" s="336"/>
      <c r="E51" s="336"/>
      <c r="G51" s="336"/>
      <c r="H51" s="336"/>
      <c r="J51" s="336"/>
      <c r="K51" s="336"/>
      <c r="L51" s="336"/>
      <c r="N51" s="336"/>
      <c r="O51" s="336"/>
      <c r="Q51" s="336"/>
      <c r="R51" s="336"/>
      <c r="S51" s="336"/>
      <c r="U51" s="326"/>
      <c r="V51" s="336"/>
      <c r="X51" s="336"/>
      <c r="Y51" s="336"/>
      <c r="Z51" s="336"/>
      <c r="AB51" s="336"/>
      <c r="AC51" s="336"/>
      <c r="AE51" s="336"/>
      <c r="AF51" s="326"/>
      <c r="AG51" s="336"/>
      <c r="AI51" s="336"/>
      <c r="AJ51" s="336"/>
      <c r="AL51" s="336"/>
      <c r="AM51" s="337"/>
      <c r="AN51" s="281"/>
      <c r="AO51" s="281"/>
      <c r="AP51" s="281"/>
      <c r="AQ51" s="281"/>
      <c r="AR51" s="281"/>
      <c r="AS51" s="281"/>
      <c r="AT51" s="337"/>
      <c r="AU51" s="281"/>
      <c r="AV51" s="281"/>
      <c r="AW51" s="281"/>
      <c r="AX51" s="281"/>
      <c r="AY51" s="281"/>
      <c r="AZ51" s="281"/>
      <c r="BA51" s="281"/>
      <c r="BB51" s="281"/>
      <c r="BC51" s="281"/>
      <c r="BD51" s="281"/>
      <c r="BE51" s="281"/>
      <c r="BF51" s="281"/>
      <c r="BG51" s="281"/>
      <c r="BH51" s="281"/>
      <c r="BI51" s="281"/>
      <c r="BJ51" s="281"/>
      <c r="BK51" s="281"/>
      <c r="BL51" s="281"/>
      <c r="BM51" s="281"/>
      <c r="BN51" s="281"/>
      <c r="BO51" s="281"/>
      <c r="BP51" s="281"/>
      <c r="BQ51" s="281"/>
      <c r="BR51" s="281"/>
      <c r="BS51" s="281"/>
      <c r="BT51" s="281"/>
      <c r="BU51" s="281"/>
      <c r="BV51" s="281"/>
      <c r="BW51" s="281"/>
      <c r="BX51" s="281"/>
      <c r="BY51" s="281"/>
      <c r="BZ51" s="281"/>
      <c r="CA51" s="281"/>
      <c r="CB51" s="281"/>
      <c r="CC51" s="281"/>
      <c r="CD51" s="281"/>
      <c r="CE51" s="281"/>
      <c r="CF51" s="281"/>
      <c r="CG51" s="281"/>
      <c r="CH51" s="281"/>
      <c r="CI51" s="281"/>
      <c r="CJ51" s="338">
        <f>(CJ16-CJ21-CJ22-CJ30+CJ65+CJ70)/CJ251</f>
        <v>0.38700181159420283</v>
      </c>
      <c r="CK51" s="338">
        <f>(CK16-CK21-CK22-CK30+CK65+CK70)/CK251</f>
        <v>0.44258210645526586</v>
      </c>
      <c r="CL51" s="281"/>
      <c r="CM51" s="338">
        <f>(CM16-CM21-CM22-CM30+CM65+CM70)/CM251</f>
        <v>0.41266968325791847</v>
      </c>
      <c r="CN51" s="338">
        <f>(CN16-CN21-CN22-CN30+CN65+CN70)/CN251</f>
        <v>0.42749171925092316</v>
      </c>
      <c r="CO51" s="281"/>
      <c r="CP51" s="281"/>
      <c r="CQ51" s="338"/>
      <c r="CR51" s="338"/>
      <c r="CS51" s="281"/>
      <c r="CT51" s="338"/>
      <c r="CU51" s="338"/>
      <c r="CV51" s="338"/>
      <c r="CW51" s="338"/>
      <c r="CX51" s="281"/>
      <c r="CY51" s="281"/>
      <c r="CZ51" s="281"/>
      <c r="DA51" s="338"/>
      <c r="DB51" s="338"/>
      <c r="DC51" s="338"/>
      <c r="DD51" s="608"/>
      <c r="DE51" s="281"/>
      <c r="DF51" s="281"/>
      <c r="DG51" s="281"/>
      <c r="DH51" s="338"/>
      <c r="DI51" s="338"/>
      <c r="DJ51" s="338"/>
      <c r="DK51" s="608"/>
      <c r="DL51" s="339"/>
      <c r="DM51" s="281"/>
      <c r="DN51" s="281"/>
      <c r="DO51" s="281"/>
      <c r="DP51" s="338"/>
      <c r="DQ51" s="338"/>
      <c r="DR51" s="590"/>
      <c r="DS51" s="282"/>
      <c r="DT51" s="282"/>
      <c r="DU51" s="282"/>
      <c r="DV51" s="282"/>
      <c r="DW51" s="282"/>
      <c r="DX51" s="282"/>
      <c r="DY51" s="590"/>
      <c r="DZ51" s="282"/>
      <c r="EA51" s="282"/>
      <c r="EB51" s="282"/>
      <c r="EC51" s="282"/>
      <c r="ED51" s="282"/>
      <c r="EE51" s="282"/>
      <c r="EF51" s="590"/>
      <c r="EG51" s="282"/>
      <c r="EH51" s="282"/>
      <c r="EI51" s="282"/>
      <c r="EJ51" s="282"/>
      <c r="EK51" s="282"/>
      <c r="EL51" s="282"/>
      <c r="EM51" s="590"/>
      <c r="EN51" s="540"/>
      <c r="EO51" s="282"/>
      <c r="EP51" s="282"/>
      <c r="EQ51" s="547"/>
      <c r="ER51" s="281"/>
      <c r="ES51" s="281"/>
      <c r="ET51" s="575"/>
      <c r="EU51" s="281"/>
      <c r="EV51" s="281"/>
      <c r="EW51" s="281"/>
      <c r="EX51" s="281"/>
      <c r="EY51" s="281"/>
      <c r="EZ51" s="281"/>
      <c r="FA51" s="575"/>
      <c r="FB51" s="281"/>
      <c r="FC51" s="281"/>
      <c r="FD51" s="281"/>
      <c r="FE51" s="281"/>
      <c r="FF51" s="281"/>
      <c r="FG51" s="281"/>
      <c r="FH51" s="575"/>
      <c r="FI51" s="281"/>
      <c r="FJ51" s="281"/>
      <c r="FK51" s="281"/>
      <c r="FL51" s="281"/>
      <c r="FM51" s="281"/>
      <c r="FN51" s="281"/>
      <c r="FO51" s="575"/>
      <c r="FP51" s="281"/>
      <c r="FQ51" s="281"/>
      <c r="FR51" s="281"/>
      <c r="FS51" s="281"/>
      <c r="FT51" s="281"/>
      <c r="FU51" s="281"/>
      <c r="FV51" s="575"/>
    </row>
    <row r="52" spans="1:179" hidden="1" outlineLevel="1" x14ac:dyDescent="0.3">
      <c r="B52" s="279" t="s">
        <v>423</v>
      </c>
      <c r="C52" s="280" t="s">
        <v>226</v>
      </c>
      <c r="D52" s="340">
        <v>0</v>
      </c>
      <c r="E52" s="340">
        <v>0</v>
      </c>
      <c r="F52" s="320">
        <f>SUM(D52:E52)</f>
        <v>0</v>
      </c>
      <c r="G52" s="340">
        <v>0</v>
      </c>
      <c r="H52" s="340">
        <v>-715.6</v>
      </c>
      <c r="I52" s="320">
        <f>SUM(G52:H52)</f>
        <v>-715.6</v>
      </c>
      <c r="J52" s="340">
        <v>-715.6</v>
      </c>
      <c r="K52" s="340">
        <v>-27.2</v>
      </c>
      <c r="L52" s="340">
        <v>-47.2</v>
      </c>
      <c r="M52" s="320">
        <f>SUM(K52:L52)</f>
        <v>-74.400000000000006</v>
      </c>
      <c r="N52" s="340">
        <v>-44.8</v>
      </c>
      <c r="O52" s="340">
        <v>-286.3</v>
      </c>
      <c r="P52" s="320">
        <f>SUM(N52:O52)</f>
        <v>-331.1</v>
      </c>
      <c r="Q52" s="340">
        <v>-405.5</v>
      </c>
      <c r="R52" s="340">
        <v>-30.1</v>
      </c>
      <c r="S52" s="340">
        <v>-28.9</v>
      </c>
      <c r="T52" s="320">
        <f>SUM(R52:S52)</f>
        <v>-59</v>
      </c>
      <c r="U52" s="340">
        <v>1.2</v>
      </c>
      <c r="V52" s="340">
        <v>-182.3</v>
      </c>
      <c r="W52" s="320">
        <f>SUM(U52:V52)</f>
        <v>-181.10000000000002</v>
      </c>
      <c r="X52" s="340">
        <v>-240.1</v>
      </c>
      <c r="Y52" s="340">
        <v>-40.5</v>
      </c>
      <c r="Z52" s="340">
        <v>140.80000000000001</v>
      </c>
      <c r="AA52" s="320">
        <f>SUM(Y52:Z52)</f>
        <v>100.30000000000001</v>
      </c>
      <c r="AB52" s="340">
        <v>93.6</v>
      </c>
      <c r="AC52" s="340">
        <v>-176.5</v>
      </c>
      <c r="AD52" s="320">
        <f>SUM(AB52:AC52)</f>
        <v>-82.9</v>
      </c>
      <c r="AE52" s="340">
        <v>17.399999999999999</v>
      </c>
      <c r="AF52" s="340">
        <v>-119.8</v>
      </c>
      <c r="AG52" s="340">
        <v>-62.7</v>
      </c>
      <c r="AH52" s="320">
        <f>SUM(AF52:AG52)</f>
        <v>-182.5</v>
      </c>
      <c r="AI52" s="340">
        <v>-17.5</v>
      </c>
      <c r="AJ52" s="340">
        <v>-24.2</v>
      </c>
      <c r="AK52" s="320">
        <f>SUM(AI52:AJ52)</f>
        <v>-41.7</v>
      </c>
      <c r="AL52" s="340">
        <v>-224.2</v>
      </c>
      <c r="AM52" s="340">
        <v>63.1</v>
      </c>
      <c r="AN52" s="340">
        <v>-107.8</v>
      </c>
      <c r="AO52" s="320">
        <f>AN52+AM52</f>
        <v>-44.699999999999996</v>
      </c>
      <c r="AP52" s="340">
        <v>-46.4</v>
      </c>
      <c r="AQ52" s="340">
        <v>5.3</v>
      </c>
      <c r="AR52" s="320">
        <f>AQ52+AP52</f>
        <v>-41.1</v>
      </c>
      <c r="AS52" s="320">
        <f>AR52+AO52</f>
        <v>-85.8</v>
      </c>
      <c r="AT52" s="340">
        <v>-38.200000000000003</v>
      </c>
      <c r="AU52" s="340">
        <v>86.9</v>
      </c>
      <c r="AV52" s="341">
        <f>AU52+AT52</f>
        <v>48.7</v>
      </c>
      <c r="AW52" s="340">
        <v>-33.5</v>
      </c>
      <c r="AX52" s="340">
        <v>-31</v>
      </c>
      <c r="AY52" s="320">
        <f>AX52+AW52</f>
        <v>-64.5</v>
      </c>
      <c r="AZ52" s="320">
        <f>AY52+AV52</f>
        <v>-15.799999999999997</v>
      </c>
      <c r="BA52" s="340">
        <v>25.2</v>
      </c>
      <c r="BB52" s="340">
        <v>-22.4</v>
      </c>
      <c r="BC52" s="320">
        <f>BB52+BA52</f>
        <v>2.8000000000000007</v>
      </c>
      <c r="BD52" s="340">
        <v>11.7</v>
      </c>
      <c r="BE52" s="340">
        <v>-131.6</v>
      </c>
      <c r="BF52" s="320">
        <f>BE52+BD52</f>
        <v>-119.89999999999999</v>
      </c>
      <c r="BG52" s="320">
        <f>BF52+BC52</f>
        <v>-117.1</v>
      </c>
      <c r="BH52" s="340">
        <v>94.5</v>
      </c>
      <c r="BI52" s="340">
        <v>-4.0999999999999996</v>
      </c>
      <c r="BJ52" s="320">
        <f>BI52+BH52</f>
        <v>90.4</v>
      </c>
      <c r="BK52" s="340">
        <v>35.799999999999997</v>
      </c>
      <c r="BL52" s="281"/>
      <c r="BM52" s="281">
        <f>BL52+BK52</f>
        <v>35.799999999999997</v>
      </c>
      <c r="BN52" s="281">
        <f>BM52+BJ52</f>
        <v>126.2</v>
      </c>
      <c r="BO52" s="289">
        <v>-21.5</v>
      </c>
      <c r="BP52" s="289">
        <v>63.5</v>
      </c>
      <c r="BQ52" s="281">
        <f>BP52+BO52</f>
        <v>42</v>
      </c>
      <c r="BR52" s="289">
        <v>54.9</v>
      </c>
      <c r="BS52" s="289">
        <v>-63.5</v>
      </c>
      <c r="BT52" s="281">
        <f>BS52+BR52</f>
        <v>-8.6000000000000014</v>
      </c>
      <c r="BU52" s="281">
        <f>BT52+BQ52</f>
        <v>33.4</v>
      </c>
      <c r="BV52" s="289">
        <v>-4.5</v>
      </c>
      <c r="BW52" s="289">
        <v>66</v>
      </c>
      <c r="BX52" s="281">
        <f>BW52+BV52</f>
        <v>61.5</v>
      </c>
      <c r="BY52" s="289">
        <v>-29</v>
      </c>
      <c r="BZ52" s="289">
        <v>-27</v>
      </c>
      <c r="CA52" s="281">
        <f>BZ52+BY52</f>
        <v>-56</v>
      </c>
      <c r="CB52" s="281">
        <f>CA52+BX52</f>
        <v>5.5</v>
      </c>
      <c r="CC52" s="289">
        <v>20.6</v>
      </c>
      <c r="CD52" s="289">
        <v>-17.2</v>
      </c>
      <c r="CE52" s="281">
        <f>CD52+CC52</f>
        <v>3.4000000000000021</v>
      </c>
      <c r="CF52" s="289">
        <v>35.6</v>
      </c>
      <c r="CG52" s="289">
        <v>-1.4</v>
      </c>
      <c r="CH52" s="281">
        <f>CG52+CF52</f>
        <v>34.200000000000003</v>
      </c>
      <c r="CI52" s="281">
        <f>CH52+CE52</f>
        <v>37.600000000000009</v>
      </c>
      <c r="CJ52" s="289">
        <f>-3.9</f>
        <v>-3.9</v>
      </c>
      <c r="CK52" s="289">
        <f>-6.6</f>
        <v>-6.6</v>
      </c>
      <c r="CL52" s="281">
        <f>CK52+CJ52</f>
        <v>-10.5</v>
      </c>
      <c r="CM52" s="289">
        <v>47</v>
      </c>
      <c r="CN52" s="289">
        <f>-192.9</f>
        <v>-192.9</v>
      </c>
      <c r="CO52" s="281">
        <f>CN52+CM52</f>
        <v>-145.9</v>
      </c>
      <c r="CP52" s="320">
        <f>CO52+CL52</f>
        <v>-156.4</v>
      </c>
      <c r="CQ52" s="340">
        <v>25.1</v>
      </c>
      <c r="CR52" s="340">
        <v>14.2</v>
      </c>
      <c r="CS52" s="320">
        <f>CR52+CQ52</f>
        <v>39.299999999999997</v>
      </c>
      <c r="CT52" s="340">
        <v>12.1</v>
      </c>
      <c r="CU52" s="342">
        <v>-73.400000000000006</v>
      </c>
      <c r="CV52" s="320">
        <f>SUM(CT52:CU52)</f>
        <v>-61.300000000000004</v>
      </c>
      <c r="CW52" s="320">
        <f>CV52+CS52</f>
        <v>-22.000000000000007</v>
      </c>
      <c r="CX52" s="342">
        <v>8.5</v>
      </c>
      <c r="CY52" s="340">
        <v>18.8</v>
      </c>
      <c r="CZ52" s="320">
        <f>CY52+CX52</f>
        <v>27.3</v>
      </c>
      <c r="DA52" s="340">
        <v>-18.5</v>
      </c>
      <c r="DB52" s="340">
        <v>-67</v>
      </c>
      <c r="DC52" s="320">
        <f>SUM(DA52:DB52)</f>
        <v>-85.5</v>
      </c>
      <c r="DD52" s="654">
        <f>DC52+CZ52</f>
        <v>-58.2</v>
      </c>
      <c r="DE52" s="340">
        <v>-63.7</v>
      </c>
      <c r="DF52" s="340">
        <v>-16.3</v>
      </c>
      <c r="DG52" s="320">
        <f>SUM(DE52:DF52)</f>
        <v>-80</v>
      </c>
      <c r="DH52" s="340">
        <v>-35.799999999999997</v>
      </c>
      <c r="DI52" s="340">
        <v>-28.1</v>
      </c>
      <c r="DJ52" s="320">
        <f>DI52+DH52</f>
        <v>-63.9</v>
      </c>
      <c r="DK52" s="654">
        <v>-143.9</v>
      </c>
      <c r="DL52" s="343">
        <v>2.8</v>
      </c>
      <c r="DM52" s="340">
        <v>9.6</v>
      </c>
      <c r="DN52" s="320">
        <f>SUM(DL52:DM52)</f>
        <v>12.399999999999999</v>
      </c>
      <c r="DO52" s="340">
        <v>-1.6</v>
      </c>
      <c r="DP52" s="320">
        <f>+DQ52-DO52</f>
        <v>-142.5</v>
      </c>
      <c r="DQ52" s="320">
        <f>+DR52-DN52</f>
        <v>-144.1</v>
      </c>
      <c r="DR52" s="670">
        <v>-131.69999999999999</v>
      </c>
      <c r="DS52" s="290">
        <v>13.2</v>
      </c>
      <c r="DT52" s="290">
        <v>8.5</v>
      </c>
      <c r="DU52" s="282">
        <f>SUM(DS52:DT52)</f>
        <v>21.7</v>
      </c>
      <c r="DV52" s="290">
        <v>-2.2000000000000002</v>
      </c>
      <c r="DW52" s="282">
        <f>+DX52-DV52</f>
        <v>-56.5</v>
      </c>
      <c r="DX52" s="282">
        <f>+DY52-DU52</f>
        <v>-58.7</v>
      </c>
      <c r="DY52" s="670">
        <v>-37</v>
      </c>
      <c r="DZ52" s="290">
        <v>0.1</v>
      </c>
      <c r="EA52" s="290">
        <v>3.8</v>
      </c>
      <c r="EB52" s="282">
        <f>SUM(DZ52:EA52)</f>
        <v>3.9</v>
      </c>
      <c r="EC52" s="290">
        <v>-7.6</v>
      </c>
      <c r="ED52" s="282">
        <f>+EE52-EC52</f>
        <v>-148</v>
      </c>
      <c r="EE52" s="282">
        <f>+EF52-EB52</f>
        <v>-155.6</v>
      </c>
      <c r="EF52" s="670">
        <v>-151.69999999999999</v>
      </c>
      <c r="EG52" s="290">
        <v>0.1</v>
      </c>
      <c r="EH52" s="290">
        <v>-0.6</v>
      </c>
      <c r="EI52" s="282">
        <f>SUM(EG52:EH52)</f>
        <v>-0.5</v>
      </c>
      <c r="EJ52" s="290">
        <f>-0.9</f>
        <v>-0.9</v>
      </c>
      <c r="EK52" s="282">
        <f>+EL52-EJ52</f>
        <v>-136.19999999999999</v>
      </c>
      <c r="EL52" s="282">
        <f>+EM52-EI52</f>
        <v>-137.1</v>
      </c>
      <c r="EM52" s="670">
        <v>-137.6</v>
      </c>
      <c r="EN52" s="697">
        <v>0</v>
      </c>
      <c r="EO52" s="290">
        <v>-0.9</v>
      </c>
      <c r="EP52" s="282">
        <f>SUM(EN52:EO52)</f>
        <v>-0.9</v>
      </c>
      <c r="EQ52" s="710">
        <v>0.7</v>
      </c>
      <c r="ER52" s="320"/>
      <c r="ES52" s="320">
        <f>ER52+EQ52</f>
        <v>0.7</v>
      </c>
      <c r="ET52" s="583">
        <f>ES52+EP52</f>
        <v>-0.20000000000000007</v>
      </c>
      <c r="EU52" s="320"/>
      <c r="EV52" s="320"/>
      <c r="EW52" s="320">
        <f>EV52+EU52</f>
        <v>0</v>
      </c>
      <c r="EX52" s="320"/>
      <c r="EY52" s="320"/>
      <c r="EZ52" s="320">
        <f>EY52+EX52</f>
        <v>0</v>
      </c>
      <c r="FA52" s="583">
        <f>EZ52+EW52</f>
        <v>0</v>
      </c>
      <c r="FB52" s="320"/>
      <c r="FC52" s="320"/>
      <c r="FD52" s="320">
        <f>FC52+FB52</f>
        <v>0</v>
      </c>
      <c r="FE52" s="320"/>
      <c r="FF52" s="320"/>
      <c r="FG52" s="320">
        <f>FF52+FE52</f>
        <v>0</v>
      </c>
      <c r="FH52" s="583">
        <f>FG52+FD52</f>
        <v>0</v>
      </c>
      <c r="FI52" s="320"/>
      <c r="FJ52" s="320"/>
      <c r="FK52" s="320">
        <f>FJ52+FI52</f>
        <v>0</v>
      </c>
      <c r="FL52" s="320"/>
      <c r="FM52" s="320"/>
      <c r="FN52" s="320">
        <f>FM52+FL52</f>
        <v>0</v>
      </c>
      <c r="FO52" s="583">
        <f>FN52+FK52</f>
        <v>0</v>
      </c>
      <c r="FP52" s="320"/>
      <c r="FQ52" s="320"/>
      <c r="FR52" s="320">
        <f>FQ52+FP52</f>
        <v>0</v>
      </c>
      <c r="FS52" s="320"/>
      <c r="FT52" s="320"/>
      <c r="FU52" s="320">
        <f>FT52+FS52</f>
        <v>0</v>
      </c>
      <c r="FV52" s="583">
        <f>FU52+FR52</f>
        <v>0</v>
      </c>
    </row>
    <row r="53" spans="1:179" hidden="1" outlineLevel="1" x14ac:dyDescent="0.3">
      <c r="B53" s="279" t="s">
        <v>424</v>
      </c>
      <c r="C53" s="280" t="s">
        <v>226</v>
      </c>
      <c r="D53" s="340">
        <v>0</v>
      </c>
      <c r="E53" s="340">
        <v>0</v>
      </c>
      <c r="F53" s="320">
        <f>SUM(D53:E53)</f>
        <v>0</v>
      </c>
      <c r="G53" s="340">
        <v>0</v>
      </c>
      <c r="H53" s="340">
        <v>0</v>
      </c>
      <c r="I53" s="320">
        <f>SUM(G53:H53)</f>
        <v>0</v>
      </c>
      <c r="J53" s="340">
        <v>0</v>
      </c>
      <c r="K53" s="340">
        <v>0</v>
      </c>
      <c r="L53" s="340">
        <v>0</v>
      </c>
      <c r="M53" s="320">
        <f>SUM(K53:L53)</f>
        <v>0</v>
      </c>
      <c r="N53" s="340">
        <v>0</v>
      </c>
      <c r="O53" s="340">
        <v>0</v>
      </c>
      <c r="P53" s="320">
        <f>SUM(N53:O53)</f>
        <v>0</v>
      </c>
      <c r="Q53" s="340">
        <v>0</v>
      </c>
      <c r="R53" s="340">
        <v>-0.6</v>
      </c>
      <c r="S53" s="340">
        <v>-1.1000000000000001</v>
      </c>
      <c r="T53" s="320">
        <f>SUM(R53:S53)</f>
        <v>-1.7000000000000002</v>
      </c>
      <c r="U53" s="340">
        <v>-1</v>
      </c>
      <c r="V53" s="340">
        <v>-1.3</v>
      </c>
      <c r="W53" s="320">
        <f>SUM(U53:V53)</f>
        <v>-2.2999999999999998</v>
      </c>
      <c r="X53" s="340">
        <v>-4</v>
      </c>
      <c r="Y53" s="340">
        <v>-0.6</v>
      </c>
      <c r="Z53" s="340">
        <v>-0.3</v>
      </c>
      <c r="AA53" s="320">
        <f>SUM(Y53:Z53)</f>
        <v>-0.89999999999999991</v>
      </c>
      <c r="AB53" s="340">
        <v>-0.5</v>
      </c>
      <c r="AC53" s="341">
        <f>0.7-14.8</f>
        <v>-14.100000000000001</v>
      </c>
      <c r="AD53" s="320">
        <f>SUM(AB53:AC53)</f>
        <v>-14.600000000000001</v>
      </c>
      <c r="AE53" s="320">
        <f>AD53+AA53</f>
        <v>-15.500000000000002</v>
      </c>
      <c r="AF53" s="340">
        <v>-0.5</v>
      </c>
      <c r="AG53" s="340">
        <v>-0.5</v>
      </c>
      <c r="AH53" s="320">
        <f>SUM(AF53:AG53)</f>
        <v>-1</v>
      </c>
      <c r="AI53" s="340">
        <v>-0.6</v>
      </c>
      <c r="AJ53" s="340">
        <v>-0.5</v>
      </c>
      <c r="AK53" s="320">
        <f>SUM(AI53:AJ53)</f>
        <v>-1.1000000000000001</v>
      </c>
      <c r="AL53" s="340">
        <v>-2.1</v>
      </c>
      <c r="AM53" s="340">
        <v>-0.4</v>
      </c>
      <c r="AN53" s="340">
        <v>-0.6</v>
      </c>
      <c r="AO53" s="320">
        <f>AN53+AM53</f>
        <v>-1</v>
      </c>
      <c r="AP53" s="340">
        <v>-0.7</v>
      </c>
      <c r="AQ53" s="340">
        <v>-0.5</v>
      </c>
      <c r="AR53" s="320">
        <f>AQ53+AP53</f>
        <v>-1.2</v>
      </c>
      <c r="AS53" s="320">
        <f>AR53+AO53</f>
        <v>-2.2000000000000002</v>
      </c>
      <c r="AT53" s="340">
        <v>-0.6</v>
      </c>
      <c r="AU53" s="340">
        <v>-0.8</v>
      </c>
      <c r="AV53" s="341">
        <f>AU53+AT53</f>
        <v>-1.4</v>
      </c>
      <c r="AW53" s="340">
        <v>-0.9</v>
      </c>
      <c r="AX53" s="340">
        <v>-0.5</v>
      </c>
      <c r="AY53" s="320">
        <f>AX53+AW53</f>
        <v>-1.4</v>
      </c>
      <c r="AZ53" s="320">
        <f>AY53+AV53</f>
        <v>-2.8</v>
      </c>
      <c r="BA53" s="340">
        <v>-0.3</v>
      </c>
      <c r="BB53" s="340">
        <v>-0.4</v>
      </c>
      <c r="BC53" s="320">
        <f>BB53+BA53</f>
        <v>-0.7</v>
      </c>
      <c r="BD53" s="340">
        <v>-0.5</v>
      </c>
      <c r="BE53" s="340">
        <v>-0.5</v>
      </c>
      <c r="BF53" s="320">
        <f>BE53+BD53</f>
        <v>-1</v>
      </c>
      <c r="BG53" s="320">
        <f>BF53+BC53</f>
        <v>-1.7</v>
      </c>
      <c r="BH53" s="340">
        <v>-0.5</v>
      </c>
      <c r="BI53" s="340">
        <v>-0.5</v>
      </c>
      <c r="BJ53" s="320">
        <f>BI53+BH53</f>
        <v>-1</v>
      </c>
      <c r="BK53" s="340">
        <v>-0.4</v>
      </c>
      <c r="BL53" s="281"/>
      <c r="BM53" s="281">
        <f>BL53+BK53</f>
        <v>-0.4</v>
      </c>
      <c r="BN53" s="281">
        <f>BM53+BJ53</f>
        <v>-1.4</v>
      </c>
      <c r="BO53" s="289">
        <v>-0.6</v>
      </c>
      <c r="BP53" s="289">
        <v>-0.7</v>
      </c>
      <c r="BQ53" s="281">
        <f>BP53+BO53</f>
        <v>-1.2999999999999998</v>
      </c>
      <c r="BR53" s="289">
        <v>-0.6</v>
      </c>
      <c r="BS53" s="289">
        <v>-0.6</v>
      </c>
      <c r="BT53" s="281">
        <f>BS53+BR53</f>
        <v>-1.2</v>
      </c>
      <c r="BU53" s="281">
        <f>BT53+BQ53</f>
        <v>-2.5</v>
      </c>
      <c r="BV53" s="289">
        <f>-0.5</f>
        <v>-0.5</v>
      </c>
      <c r="BW53" s="289">
        <v>-0.3</v>
      </c>
      <c r="BX53" s="281">
        <f>BW53+BV53</f>
        <v>-0.8</v>
      </c>
      <c r="BY53" s="289">
        <v>-0.5</v>
      </c>
      <c r="BZ53" s="289">
        <v>-0.4</v>
      </c>
      <c r="CA53" s="281">
        <f>BZ53+BY53</f>
        <v>-0.9</v>
      </c>
      <c r="CB53" s="281">
        <f>CA53+BX53</f>
        <v>-1.7000000000000002</v>
      </c>
      <c r="CC53" s="289">
        <v>-0.4</v>
      </c>
      <c r="CD53" s="289">
        <v>-0.4</v>
      </c>
      <c r="CE53" s="281">
        <f>CD53+CC53</f>
        <v>-0.8</v>
      </c>
      <c r="CF53" s="289">
        <v>-0.4</v>
      </c>
      <c r="CG53" s="289">
        <v>0.3</v>
      </c>
      <c r="CH53" s="281">
        <f>CG53+CF53</f>
        <v>-0.10000000000000003</v>
      </c>
      <c r="CI53" s="281">
        <f>CH53+CE53</f>
        <v>-0.90000000000000013</v>
      </c>
      <c r="CJ53" s="289">
        <v>-0.4</v>
      </c>
      <c r="CK53" s="289">
        <v>-0.4</v>
      </c>
      <c r="CL53" s="281">
        <f>CK53+CJ53</f>
        <v>-0.8</v>
      </c>
      <c r="CM53" s="289">
        <f>-0.5</f>
        <v>-0.5</v>
      </c>
      <c r="CN53" s="289">
        <f>-0.6</f>
        <v>-0.6</v>
      </c>
      <c r="CO53" s="281">
        <f>CN53+CM53</f>
        <v>-1.1000000000000001</v>
      </c>
      <c r="CP53" s="320">
        <f>CO53+CL53</f>
        <v>-1.9000000000000001</v>
      </c>
      <c r="CQ53" s="340">
        <v>-0.3</v>
      </c>
      <c r="CR53" s="340">
        <v>-0.4</v>
      </c>
      <c r="CS53" s="320">
        <f>CR53+CQ53</f>
        <v>-0.7</v>
      </c>
      <c r="CT53" s="340">
        <v>-0.4</v>
      </c>
      <c r="CU53" s="342">
        <v>-0.4</v>
      </c>
      <c r="CV53" s="320">
        <f>SUM(CT53:CU53)</f>
        <v>-0.8</v>
      </c>
      <c r="CW53" s="320">
        <f>CV53+CS53</f>
        <v>-1.5</v>
      </c>
      <c r="CX53" s="342">
        <v>-0.4</v>
      </c>
      <c r="CY53" s="340">
        <v>-0.4</v>
      </c>
      <c r="CZ53" s="320">
        <f>CY53+CX53</f>
        <v>-0.8</v>
      </c>
      <c r="DA53" s="340">
        <v>-0.5</v>
      </c>
      <c r="DB53" s="340">
        <v>-0.4</v>
      </c>
      <c r="DC53" s="320">
        <f>SUM(DA53:DB53)</f>
        <v>-0.9</v>
      </c>
      <c r="DD53" s="654">
        <f>DC53+CZ53</f>
        <v>-1.7000000000000002</v>
      </c>
      <c r="DE53" s="320"/>
      <c r="DF53" s="340">
        <v>-0.3</v>
      </c>
      <c r="DG53" s="320">
        <f>SUM(DE53:DF53)</f>
        <v>-0.3</v>
      </c>
      <c r="DH53" s="340">
        <v>-0.3</v>
      </c>
      <c r="DI53" s="320">
        <f>+DJ53-DH53</f>
        <v>-0.19999999999999996</v>
      </c>
      <c r="DJ53" s="320">
        <f>+DK53-DG53</f>
        <v>-0.49999999999999994</v>
      </c>
      <c r="DK53" s="654">
        <f>-1.2+0.4</f>
        <v>-0.79999999999999993</v>
      </c>
      <c r="DL53" s="344">
        <v>-0.3</v>
      </c>
      <c r="DM53" s="340">
        <v>-0.3</v>
      </c>
      <c r="DN53" s="320">
        <f>SUM(DL53:DM53)</f>
        <v>-0.6</v>
      </c>
      <c r="DO53" s="340">
        <v>-0.3</v>
      </c>
      <c r="DP53" s="281">
        <f>+DQ53-DO53</f>
        <v>-0.40000000000000008</v>
      </c>
      <c r="DQ53" s="320">
        <f>+DR53-DN53</f>
        <v>-0.70000000000000007</v>
      </c>
      <c r="DR53" s="670">
        <v>-1.3</v>
      </c>
      <c r="DS53" s="282">
        <v>-0.3</v>
      </c>
      <c r="DT53" s="290">
        <v>-0.4</v>
      </c>
      <c r="DU53" s="282">
        <f>SUM(DS53:DT53)</f>
        <v>-0.7</v>
      </c>
      <c r="DV53" s="290">
        <v>-0.3</v>
      </c>
      <c r="DW53" s="282">
        <f>+DX53-DV53</f>
        <v>-0.3000000000000001</v>
      </c>
      <c r="DX53" s="282">
        <f>+DY53-DU53</f>
        <v>-0.60000000000000009</v>
      </c>
      <c r="DY53" s="670">
        <v>-1.3</v>
      </c>
      <c r="DZ53" s="290">
        <v>-0.4</v>
      </c>
      <c r="EA53" s="290">
        <v>-0.3</v>
      </c>
      <c r="EB53" s="282">
        <f>SUM(DZ53:EA53)</f>
        <v>-0.7</v>
      </c>
      <c r="EC53" s="290">
        <v>-0.4</v>
      </c>
      <c r="ED53" s="282">
        <f>+EE53-EC53</f>
        <v>-0.50000000000000011</v>
      </c>
      <c r="EE53" s="282">
        <f>+EF53-EB53</f>
        <v>-0.90000000000000013</v>
      </c>
      <c r="EF53" s="670">
        <v>-1.6</v>
      </c>
      <c r="EG53" s="290">
        <f>0.6-EG52</f>
        <v>0.5</v>
      </c>
      <c r="EH53" s="290">
        <v>-0.8</v>
      </c>
      <c r="EI53" s="282">
        <f>SUM(EG53:EH53)</f>
        <v>-0.30000000000000004</v>
      </c>
      <c r="EJ53" s="290">
        <v>0</v>
      </c>
      <c r="EK53" s="282">
        <f>+EL53-EJ53</f>
        <v>-2.5999999999999996</v>
      </c>
      <c r="EL53" s="282">
        <f>+EM53-EI53</f>
        <v>-2.5999999999999996</v>
      </c>
      <c r="EM53" s="670">
        <v>-2.9</v>
      </c>
      <c r="EN53" s="697">
        <v>0</v>
      </c>
      <c r="EO53" s="290">
        <v>0</v>
      </c>
      <c r="EP53" s="282">
        <f>SUM(EN53:EO53)</f>
        <v>0</v>
      </c>
      <c r="EQ53" s="710">
        <v>0</v>
      </c>
      <c r="ER53" s="320"/>
      <c r="ES53" s="320">
        <f>ER53+EQ53</f>
        <v>0</v>
      </c>
      <c r="ET53" s="583">
        <f>ES53+EP53</f>
        <v>0</v>
      </c>
      <c r="EU53" s="320"/>
      <c r="EV53" s="320"/>
      <c r="EW53" s="320">
        <f>EV53+EU53</f>
        <v>0</v>
      </c>
      <c r="EX53" s="320"/>
      <c r="EY53" s="320"/>
      <c r="EZ53" s="320">
        <f>EY53+EX53</f>
        <v>0</v>
      </c>
      <c r="FA53" s="583">
        <f>EZ53+EW53</f>
        <v>0</v>
      </c>
      <c r="FB53" s="320"/>
      <c r="FC53" s="320"/>
      <c r="FD53" s="320">
        <f>FC53+FB53</f>
        <v>0</v>
      </c>
      <c r="FE53" s="320"/>
      <c r="FF53" s="320"/>
      <c r="FG53" s="320">
        <f>FF53+FE53</f>
        <v>0</v>
      </c>
      <c r="FH53" s="583">
        <f>FG53+FD53</f>
        <v>0</v>
      </c>
      <c r="FI53" s="320"/>
      <c r="FJ53" s="320"/>
      <c r="FK53" s="320">
        <f>FJ53+FI53</f>
        <v>0</v>
      </c>
      <c r="FL53" s="320"/>
      <c r="FM53" s="320"/>
      <c r="FN53" s="320">
        <f>FM53+FL53</f>
        <v>0</v>
      </c>
      <c r="FO53" s="583">
        <f>FN53+FK53</f>
        <v>0</v>
      </c>
      <c r="FP53" s="320"/>
      <c r="FQ53" s="320"/>
      <c r="FR53" s="320">
        <f>FQ53+FP53</f>
        <v>0</v>
      </c>
      <c r="FS53" s="320"/>
      <c r="FT53" s="320"/>
      <c r="FU53" s="320">
        <f>FT53+FS53</f>
        <v>0</v>
      </c>
      <c r="FV53" s="583">
        <f>FU53+FR53</f>
        <v>0</v>
      </c>
    </row>
    <row r="54" spans="1:179" hidden="1" outlineLevel="1" x14ac:dyDescent="0.3">
      <c r="B54" s="279" t="s">
        <v>425</v>
      </c>
      <c r="C54" s="280" t="s">
        <v>226</v>
      </c>
      <c r="D54" s="340">
        <v>-5.2</v>
      </c>
      <c r="E54" s="340">
        <v>-4.7</v>
      </c>
      <c r="F54" s="320">
        <f>SUM(D54:E54)</f>
        <v>-9.9</v>
      </c>
      <c r="G54" s="340">
        <v>-4.8</v>
      </c>
      <c r="H54" s="340">
        <v>-2.7</v>
      </c>
      <c r="I54" s="320">
        <f>SUM(G54:H54)</f>
        <v>-7.5</v>
      </c>
      <c r="J54" s="340">
        <v>0</v>
      </c>
      <c r="K54" s="340">
        <v>0</v>
      </c>
      <c r="L54" s="340">
        <v>0</v>
      </c>
      <c r="M54" s="320">
        <f>SUM(K54:L54)</f>
        <v>0</v>
      </c>
      <c r="N54" s="340">
        <v>0</v>
      </c>
      <c r="O54" s="340">
        <v>0</v>
      </c>
      <c r="P54" s="320">
        <f>SUM(N54:O54)</f>
        <v>0</v>
      </c>
      <c r="Q54" s="340">
        <v>0</v>
      </c>
      <c r="R54" s="340">
        <v>-1.7</v>
      </c>
      <c r="S54" s="340">
        <v>-1.9</v>
      </c>
      <c r="T54" s="320">
        <f>SUM(R54:S54)</f>
        <v>-3.5999999999999996</v>
      </c>
      <c r="U54" s="340">
        <v>-1.1000000000000001</v>
      </c>
      <c r="V54" s="340">
        <v>-1.1000000000000001</v>
      </c>
      <c r="W54" s="320">
        <f>SUM(U54:V54)</f>
        <v>-2.2000000000000002</v>
      </c>
      <c r="X54" s="340">
        <v>-5.5</v>
      </c>
      <c r="Y54" s="340">
        <v>-1.5</v>
      </c>
      <c r="Z54" s="340">
        <v>-5</v>
      </c>
      <c r="AA54" s="320">
        <f>SUM(Y54:Z54)</f>
        <v>-6.5</v>
      </c>
      <c r="AB54" s="340">
        <v>-5.8</v>
      </c>
      <c r="AC54" s="340">
        <v>-1.7</v>
      </c>
      <c r="AD54" s="320">
        <f>SUM(AB54:AC54)</f>
        <v>-7.5</v>
      </c>
      <c r="AE54" s="340">
        <v>-14</v>
      </c>
      <c r="AF54" s="340">
        <v>-0.6</v>
      </c>
      <c r="AG54" s="340">
        <v>-0.4</v>
      </c>
      <c r="AH54" s="320">
        <f>SUM(AF54:AG54)</f>
        <v>-1</v>
      </c>
      <c r="AI54" s="340">
        <v>-0.6</v>
      </c>
      <c r="AJ54" s="340">
        <v>-1.8</v>
      </c>
      <c r="AK54" s="320">
        <f>SUM(AI54:AJ54)</f>
        <v>-2.4</v>
      </c>
      <c r="AL54" s="340">
        <v>-3.4</v>
      </c>
      <c r="AM54" s="340">
        <v>-0.6</v>
      </c>
      <c r="AN54" s="340">
        <v>10.1</v>
      </c>
      <c r="AO54" s="320">
        <f>AN54+AM54</f>
        <v>9.5</v>
      </c>
      <c r="AP54" s="340">
        <v>0</v>
      </c>
      <c r="AQ54" s="340">
        <v>-0.8</v>
      </c>
      <c r="AR54" s="320">
        <f>AQ54+AP54</f>
        <v>-0.8</v>
      </c>
      <c r="AS54" s="320">
        <f>AR54+AO54</f>
        <v>8.6999999999999993</v>
      </c>
      <c r="AT54" s="340">
        <v>-0.2</v>
      </c>
      <c r="AU54" s="340">
        <v>-0.5</v>
      </c>
      <c r="AV54" s="341">
        <f>AU54+AT54</f>
        <v>-0.7</v>
      </c>
      <c r="AW54" s="340">
        <v>-0.3</v>
      </c>
      <c r="AX54" s="340">
        <v>-0.1</v>
      </c>
      <c r="AY54" s="320">
        <f>AX54+AW54</f>
        <v>-0.4</v>
      </c>
      <c r="AZ54" s="320">
        <f>AY54+AV54</f>
        <v>-1.1000000000000001</v>
      </c>
      <c r="BA54" s="340">
        <v>-0.1</v>
      </c>
      <c r="BB54" s="340">
        <v>-0.3</v>
      </c>
      <c r="BC54" s="320">
        <f>BB54+BA54</f>
        <v>-0.4</v>
      </c>
      <c r="BD54" s="340">
        <v>-0.1</v>
      </c>
      <c r="BE54" s="340">
        <v>-2.1</v>
      </c>
      <c r="BF54" s="320">
        <f>BE54+BD54</f>
        <v>-2.2000000000000002</v>
      </c>
      <c r="BG54" s="320">
        <f>BF54+BC54</f>
        <v>-2.6</v>
      </c>
      <c r="BH54" s="340">
        <v>0</v>
      </c>
      <c r="BI54" s="340">
        <v>0</v>
      </c>
      <c r="BJ54" s="320">
        <f>BI54+BH54</f>
        <v>0</v>
      </c>
      <c r="BK54" s="340">
        <v>0</v>
      </c>
      <c r="BL54" s="281"/>
      <c r="BM54" s="281">
        <f>BL54+BK54</f>
        <v>0</v>
      </c>
      <c r="BN54" s="281">
        <f>BM54+BJ54</f>
        <v>0</v>
      </c>
      <c r="BO54" s="289">
        <v>0</v>
      </c>
      <c r="BP54" s="289">
        <v>0</v>
      </c>
      <c r="BQ54" s="281">
        <f>BP54+BO54</f>
        <v>0</v>
      </c>
      <c r="BR54" s="289"/>
      <c r="BS54" s="289"/>
      <c r="BT54" s="281">
        <f>BS54+BR54</f>
        <v>0</v>
      </c>
      <c r="BU54" s="281">
        <f>BT54+BQ54</f>
        <v>0</v>
      </c>
      <c r="BV54" s="289">
        <v>0</v>
      </c>
      <c r="BW54" s="289">
        <v>0</v>
      </c>
      <c r="BX54" s="281">
        <f>BW54+BV54</f>
        <v>0</v>
      </c>
      <c r="BY54" s="289">
        <v>0</v>
      </c>
      <c r="BZ54" s="289">
        <v>0</v>
      </c>
      <c r="CA54" s="281">
        <f>BZ54+BY54</f>
        <v>0</v>
      </c>
      <c r="CB54" s="281">
        <f>CA54+BX54</f>
        <v>0</v>
      </c>
      <c r="CC54" s="281"/>
      <c r="CD54" s="289"/>
      <c r="CE54" s="281">
        <f>CD54+CC54</f>
        <v>0</v>
      </c>
      <c r="CF54" s="281"/>
      <c r="CG54" s="281"/>
      <c r="CH54" s="281">
        <f>CG54+CF54</f>
        <v>0</v>
      </c>
      <c r="CI54" s="281">
        <f>CH54+CE54</f>
        <v>0</v>
      </c>
      <c r="CJ54" s="281"/>
      <c r="CK54" s="289"/>
      <c r="CL54" s="281">
        <f>CK54+CJ54</f>
        <v>0</v>
      </c>
      <c r="CM54" s="281"/>
      <c r="CN54" s="281"/>
      <c r="CO54" s="281">
        <f>CN54+CM54</f>
        <v>0</v>
      </c>
      <c r="CP54" s="320">
        <f>CO54+CL54</f>
        <v>0</v>
      </c>
      <c r="CQ54" s="320"/>
      <c r="CR54" s="320"/>
      <c r="CS54" s="320">
        <f>CR54+CQ54</f>
        <v>0</v>
      </c>
      <c r="CT54" s="320"/>
      <c r="CU54" s="320"/>
      <c r="CV54" s="320">
        <f>SUM(CT54:CU54)</f>
        <v>0</v>
      </c>
      <c r="CW54" s="320">
        <f>CV54+CS54</f>
        <v>0</v>
      </c>
      <c r="CX54" s="320"/>
      <c r="CY54" s="320"/>
      <c r="CZ54" s="320">
        <f>CY54+CX54</f>
        <v>0</v>
      </c>
      <c r="DA54" s="320"/>
      <c r="DB54" s="340">
        <v>0</v>
      </c>
      <c r="DC54" s="320">
        <f>SUM(DA54:DB54)</f>
        <v>0</v>
      </c>
      <c r="DD54" s="654">
        <f>DC54+CZ54</f>
        <v>0</v>
      </c>
      <c r="DE54" s="320"/>
      <c r="DF54" s="320"/>
      <c r="DG54" s="320">
        <f>SUM(DE54:DF54)</f>
        <v>0</v>
      </c>
      <c r="DH54" s="320">
        <v>0</v>
      </c>
      <c r="DI54" s="320">
        <f>+DJ54-DH54</f>
        <v>0</v>
      </c>
      <c r="DJ54" s="320">
        <f>+DK54-DG54</f>
        <v>0</v>
      </c>
      <c r="DK54" s="654">
        <v>0</v>
      </c>
      <c r="DL54" s="343">
        <v>0</v>
      </c>
      <c r="DM54" s="340">
        <v>0</v>
      </c>
      <c r="DN54" s="320">
        <f>SUM(DL54:DM54)</f>
        <v>0</v>
      </c>
      <c r="DO54" s="281">
        <v>0</v>
      </c>
      <c r="DP54" s="281">
        <f>+DQ54-DO54</f>
        <v>0</v>
      </c>
      <c r="DQ54" s="281">
        <f>+DR54-DN54</f>
        <v>0</v>
      </c>
      <c r="DR54" s="670">
        <v>0</v>
      </c>
      <c r="DS54" s="290">
        <v>0</v>
      </c>
      <c r="DT54" s="290">
        <v>0</v>
      </c>
      <c r="DU54" s="282">
        <f>SUM(DS54:DT54)</f>
        <v>0</v>
      </c>
      <c r="DV54" s="282">
        <v>0</v>
      </c>
      <c r="DW54" s="282">
        <f>+DX54-DV54</f>
        <v>0</v>
      </c>
      <c r="DX54" s="282">
        <f>+DY54-DU54</f>
        <v>0</v>
      </c>
      <c r="DY54" s="670">
        <v>0</v>
      </c>
      <c r="DZ54" s="290">
        <v>0</v>
      </c>
      <c r="EA54" s="290">
        <v>0</v>
      </c>
      <c r="EB54" s="282">
        <f>SUM(DZ54:EA54)</f>
        <v>0</v>
      </c>
      <c r="EC54" s="282">
        <v>0</v>
      </c>
      <c r="ED54" s="282">
        <f>+EE54-EC54</f>
        <v>0</v>
      </c>
      <c r="EE54" s="282">
        <f>+EF54-EB54</f>
        <v>0</v>
      </c>
      <c r="EF54" s="670">
        <v>0</v>
      </c>
      <c r="EG54" s="290">
        <v>0</v>
      </c>
      <c r="EH54" s="290">
        <v>0</v>
      </c>
      <c r="EI54" s="282">
        <f>SUM(EG54:EH54)</f>
        <v>0</v>
      </c>
      <c r="EJ54" s="290">
        <v>0</v>
      </c>
      <c r="EK54" s="282">
        <f>+EL54-EJ54</f>
        <v>0</v>
      </c>
      <c r="EL54" s="282">
        <f>+EM54-EI54</f>
        <v>0</v>
      </c>
      <c r="EM54" s="670">
        <v>0</v>
      </c>
      <c r="EN54" s="697">
        <v>0</v>
      </c>
      <c r="EO54" s="290">
        <v>0</v>
      </c>
      <c r="EP54" s="282">
        <f>SUM(EN54:EO54)</f>
        <v>0</v>
      </c>
      <c r="EQ54" s="710">
        <v>0</v>
      </c>
      <c r="ER54" s="320"/>
      <c r="ES54" s="320">
        <f>ER54+EQ54</f>
        <v>0</v>
      </c>
      <c r="ET54" s="583">
        <f>ES54+EP54</f>
        <v>0</v>
      </c>
      <c r="EU54" s="320"/>
      <c r="EV54" s="320"/>
      <c r="EW54" s="320">
        <f>EV54+EU54</f>
        <v>0</v>
      </c>
      <c r="EX54" s="320"/>
      <c r="EY54" s="320"/>
      <c r="EZ54" s="320">
        <f>EY54+EX54</f>
        <v>0</v>
      </c>
      <c r="FA54" s="583">
        <f>EZ54+EW54</f>
        <v>0</v>
      </c>
      <c r="FB54" s="320"/>
      <c r="FC54" s="320"/>
      <c r="FD54" s="320">
        <f>FC54+FB54</f>
        <v>0</v>
      </c>
      <c r="FE54" s="320"/>
      <c r="FF54" s="320"/>
      <c r="FG54" s="320">
        <f>FF54+FE54</f>
        <v>0</v>
      </c>
      <c r="FH54" s="583">
        <f>FG54+FD54</f>
        <v>0</v>
      </c>
      <c r="FI54" s="320"/>
      <c r="FJ54" s="320"/>
      <c r="FK54" s="320">
        <f>FJ54+FI54</f>
        <v>0</v>
      </c>
      <c r="FL54" s="320"/>
      <c r="FM54" s="320"/>
      <c r="FN54" s="320">
        <f>FM54+FL54</f>
        <v>0</v>
      </c>
      <c r="FO54" s="583">
        <f>FN54+FK54</f>
        <v>0</v>
      </c>
      <c r="FP54" s="320"/>
      <c r="FQ54" s="320"/>
      <c r="FR54" s="320">
        <f>FQ54+FP54</f>
        <v>0</v>
      </c>
      <c r="FS54" s="320"/>
      <c r="FT54" s="320"/>
      <c r="FU54" s="320">
        <f>FT54+FS54</f>
        <v>0</v>
      </c>
      <c r="FV54" s="583">
        <f>FU54+FR54</f>
        <v>0</v>
      </c>
    </row>
    <row r="55" spans="1:179" hidden="1" outlineLevel="1" x14ac:dyDescent="0.3">
      <c r="B55" s="279" t="s">
        <v>426</v>
      </c>
      <c r="C55" s="280" t="s">
        <v>226</v>
      </c>
      <c r="D55" s="341"/>
      <c r="E55" s="341"/>
      <c r="F55" s="320"/>
      <c r="G55" s="341"/>
      <c r="H55" s="340">
        <v>-13.4</v>
      </c>
      <c r="I55" s="320"/>
      <c r="J55" s="341"/>
      <c r="K55" s="341"/>
      <c r="L55" s="341"/>
      <c r="M55" s="320"/>
      <c r="N55" s="341"/>
      <c r="O55" s="341"/>
      <c r="P55" s="320"/>
      <c r="Q55" s="341"/>
      <c r="R55" s="341"/>
      <c r="S55" s="341"/>
      <c r="T55" s="320"/>
      <c r="U55" s="340">
        <v>-32.4</v>
      </c>
      <c r="V55" s="340">
        <v>-41.1</v>
      </c>
      <c r="W55" s="320"/>
      <c r="X55" s="340">
        <v>-74.2</v>
      </c>
      <c r="Y55" s="341"/>
      <c r="Z55" s="341"/>
      <c r="AA55" s="320"/>
      <c r="AB55" s="341"/>
      <c r="AC55" s="340">
        <v>-14.8</v>
      </c>
      <c r="AD55" s="320"/>
      <c r="AE55" s="341"/>
      <c r="AF55" s="341"/>
      <c r="AG55" s="341"/>
      <c r="AH55" s="320"/>
      <c r="AI55" s="341"/>
      <c r="AJ55" s="341"/>
      <c r="AK55" s="320"/>
      <c r="AL55" s="341"/>
      <c r="AM55" s="320"/>
      <c r="AN55" s="320"/>
      <c r="AO55" s="320"/>
      <c r="AP55" s="320"/>
      <c r="AQ55" s="320"/>
      <c r="AR55" s="320"/>
      <c r="AS55" s="320"/>
      <c r="AT55" s="320"/>
      <c r="AU55" s="320"/>
      <c r="AV55" s="320"/>
      <c r="AW55" s="320"/>
      <c r="AX55" s="340">
        <v>-14.3</v>
      </c>
      <c r="AY55" s="320">
        <f>+AX55+AW55</f>
        <v>-14.3</v>
      </c>
      <c r="AZ55" s="320">
        <f>+AY55+AV55</f>
        <v>-14.3</v>
      </c>
      <c r="BA55" s="340">
        <v>0</v>
      </c>
      <c r="BB55" s="340">
        <v>0</v>
      </c>
      <c r="BC55" s="320">
        <f>+BB55+BA55</f>
        <v>0</v>
      </c>
      <c r="BD55" s="320">
        <f>-5.8</f>
        <v>-5.8</v>
      </c>
      <c r="BE55" s="340">
        <v>-11.1</v>
      </c>
      <c r="BF55" s="320">
        <f>+BE55+BD55</f>
        <v>-16.899999999999999</v>
      </c>
      <c r="BG55" s="320">
        <f>+BF55+BC55</f>
        <v>-16.899999999999999</v>
      </c>
      <c r="BH55" s="340">
        <v>0</v>
      </c>
      <c r="BI55" s="340">
        <v>0</v>
      </c>
      <c r="BJ55" s="320">
        <f>+BI55+BH55</f>
        <v>0</v>
      </c>
      <c r="BK55" s="340">
        <v>0</v>
      </c>
      <c r="BM55" s="283">
        <f>+BL55+BK55</f>
        <v>0</v>
      </c>
      <c r="BN55" s="283">
        <f>+BM55+BJ55</f>
        <v>0</v>
      </c>
      <c r="BO55" s="289">
        <v>0</v>
      </c>
      <c r="BP55" s="288">
        <v>0</v>
      </c>
      <c r="BQ55" s="281">
        <f>+BP55+BO55</f>
        <v>0</v>
      </c>
      <c r="BR55" s="289"/>
      <c r="BS55" s="289">
        <v>-4.2</v>
      </c>
      <c r="BT55" s="250">
        <f>+BS55+BR55</f>
        <v>-4.2</v>
      </c>
      <c r="BV55" s="289">
        <v>0</v>
      </c>
      <c r="BW55" s="288">
        <v>0</v>
      </c>
      <c r="BY55" s="288">
        <v>0</v>
      </c>
      <c r="BZ55" s="288">
        <v>0</v>
      </c>
      <c r="CA55" s="281">
        <f>BZ55+BY55</f>
        <v>0</v>
      </c>
      <c r="CB55" s="281">
        <f>CA55+BX55</f>
        <v>0</v>
      </c>
      <c r="CD55" s="288"/>
      <c r="CI55" s="281">
        <f>CH55+CE55</f>
        <v>0</v>
      </c>
      <c r="CP55" s="320">
        <f>CO55+CL55</f>
        <v>0</v>
      </c>
      <c r="CQ55" s="320"/>
      <c r="CR55" s="340">
        <v>-21.2</v>
      </c>
      <c r="CS55" s="320">
        <f>CR55+CQ55</f>
        <v>-21.2</v>
      </c>
      <c r="CT55" s="340">
        <v>-4.8</v>
      </c>
      <c r="CU55" s="320"/>
      <c r="CV55" s="320">
        <f>SUM(CT55:CU55)</f>
        <v>-4.8</v>
      </c>
      <c r="CW55" s="320">
        <f>CV55+CS55</f>
        <v>-26</v>
      </c>
      <c r="CX55" s="320"/>
      <c r="CY55" s="320"/>
      <c r="CZ55" s="320">
        <f>CY55+CX55</f>
        <v>0</v>
      </c>
      <c r="DA55" s="340"/>
      <c r="DB55" s="340">
        <v>-84.4</v>
      </c>
      <c r="DC55" s="320">
        <f>SUM(DA55:DB55)</f>
        <v>-84.4</v>
      </c>
      <c r="DD55" s="654">
        <f>DC55+CZ55</f>
        <v>-84.4</v>
      </c>
      <c r="DE55" s="340">
        <v>-0.1</v>
      </c>
      <c r="DF55" s="320"/>
      <c r="DG55" s="320">
        <f>SUM(DE55:DF55)</f>
        <v>-0.1</v>
      </c>
      <c r="DH55" s="340">
        <v>0</v>
      </c>
      <c r="DI55" s="320">
        <f>+DJ55-DH55</f>
        <v>0.1</v>
      </c>
      <c r="DJ55" s="320">
        <f>+DK55-DG55</f>
        <v>0.1</v>
      </c>
      <c r="DK55" s="654">
        <v>0</v>
      </c>
      <c r="DL55" s="343">
        <v>0</v>
      </c>
      <c r="DM55" s="340">
        <v>0</v>
      </c>
      <c r="DN55" s="320">
        <f>SUM(DL55:DM55)</f>
        <v>0</v>
      </c>
      <c r="DO55" s="340">
        <v>0</v>
      </c>
      <c r="DP55" s="281">
        <f>+DQ55-DO55</f>
        <v>0</v>
      </c>
      <c r="DQ55" s="320">
        <f>+DR55-DN55</f>
        <v>0</v>
      </c>
      <c r="DR55" s="670">
        <v>0</v>
      </c>
      <c r="DS55" s="290">
        <v>0</v>
      </c>
      <c r="DT55" s="290">
        <v>0</v>
      </c>
      <c r="DU55" s="282">
        <f>SUM(DS55:DT55)</f>
        <v>0</v>
      </c>
      <c r="DV55" s="290">
        <v>0</v>
      </c>
      <c r="DW55" s="282">
        <f>+DX55-DV55</f>
        <v>0</v>
      </c>
      <c r="DX55" s="282">
        <f>+DY55-DU55</f>
        <v>0</v>
      </c>
      <c r="DY55" s="670">
        <v>0</v>
      </c>
      <c r="DZ55" s="290">
        <v>0</v>
      </c>
      <c r="EA55" s="290">
        <v>-20.100000000000001</v>
      </c>
      <c r="EB55" s="282">
        <f>SUM(DZ55:EA55)</f>
        <v>-20.100000000000001</v>
      </c>
      <c r="EC55" s="290">
        <v>0</v>
      </c>
      <c r="ED55" s="282">
        <f>+EE55-EC55</f>
        <v>0</v>
      </c>
      <c r="EE55" s="282">
        <f>+EF55-EB55</f>
        <v>0</v>
      </c>
      <c r="EF55" s="670">
        <v>-20.100000000000001</v>
      </c>
      <c r="EG55" s="290">
        <v>0</v>
      </c>
      <c r="EH55" s="290">
        <v>-57.3</v>
      </c>
      <c r="EI55" s="282">
        <f>SUM(EG55:EH55)</f>
        <v>-57.3</v>
      </c>
      <c r="EJ55" s="290">
        <v>0</v>
      </c>
      <c r="EK55" s="282">
        <f>+EL55-EJ55</f>
        <v>-9.5</v>
      </c>
      <c r="EL55" s="282">
        <f>+EM55-EI55</f>
        <v>-9.5</v>
      </c>
      <c r="EM55" s="670">
        <f>-50.3+-16.5</f>
        <v>-66.8</v>
      </c>
      <c r="EN55" s="697">
        <v>0</v>
      </c>
      <c r="EO55" s="290">
        <v>-47.9</v>
      </c>
      <c r="EP55" s="282">
        <f>SUM(EN55:EO55)</f>
        <v>-47.9</v>
      </c>
      <c r="EQ55" s="710">
        <v>0</v>
      </c>
      <c r="ER55" s="320"/>
      <c r="ES55" s="320">
        <f>ER55+EQ55</f>
        <v>0</v>
      </c>
      <c r="ET55" s="583">
        <f>ES55+EP55</f>
        <v>-47.9</v>
      </c>
      <c r="EU55" s="320"/>
      <c r="EV55" s="320"/>
      <c r="EW55" s="320">
        <f>EV55+EU55</f>
        <v>0</v>
      </c>
      <c r="EX55" s="320"/>
      <c r="EY55" s="320"/>
      <c r="EZ55" s="320">
        <f>EY55+EX55</f>
        <v>0</v>
      </c>
      <c r="FA55" s="583">
        <f>EZ55+EW55</f>
        <v>0</v>
      </c>
      <c r="FB55" s="320"/>
      <c r="FC55" s="320"/>
      <c r="FD55" s="320">
        <f>FC55+FB55</f>
        <v>0</v>
      </c>
      <c r="FE55" s="320"/>
      <c r="FF55" s="320"/>
      <c r="FG55" s="320">
        <f>FF55+FE55</f>
        <v>0</v>
      </c>
      <c r="FH55" s="583">
        <f>FG55+FD55</f>
        <v>0</v>
      </c>
      <c r="FI55" s="320"/>
      <c r="FJ55" s="320"/>
      <c r="FK55" s="320">
        <f>FJ55+FI55</f>
        <v>0</v>
      </c>
      <c r="FL55" s="320"/>
      <c r="FM55" s="320"/>
      <c r="FN55" s="320">
        <f>FM55+FL55</f>
        <v>0</v>
      </c>
      <c r="FO55" s="583">
        <f>FN55+FK55</f>
        <v>0</v>
      </c>
      <c r="FP55" s="320"/>
      <c r="FQ55" s="320"/>
      <c r="FR55" s="320">
        <f>FQ55+FP55</f>
        <v>0</v>
      </c>
      <c r="FS55" s="320"/>
      <c r="FT55" s="320"/>
      <c r="FU55" s="320">
        <f>FT55+FS55</f>
        <v>0</v>
      </c>
      <c r="FV55" s="583">
        <f>FU55+FR55</f>
        <v>0</v>
      </c>
    </row>
    <row r="56" spans="1:179" hidden="1" outlineLevel="1" x14ac:dyDescent="0.3">
      <c r="B56" s="279" t="s">
        <v>49</v>
      </c>
      <c r="C56" s="280" t="s">
        <v>226</v>
      </c>
      <c r="D56" s="341"/>
      <c r="E56" s="341"/>
      <c r="F56" s="320"/>
      <c r="G56" s="341"/>
      <c r="H56" s="341"/>
      <c r="I56" s="320"/>
      <c r="J56" s="341"/>
      <c r="K56" s="341"/>
      <c r="L56" s="341"/>
      <c r="M56" s="320"/>
      <c r="N56" s="341"/>
      <c r="O56" s="341"/>
      <c r="P56" s="320"/>
      <c r="Q56" s="341"/>
      <c r="R56" s="341"/>
      <c r="S56" s="341"/>
      <c r="T56" s="320"/>
      <c r="U56" s="341"/>
      <c r="V56" s="341"/>
      <c r="W56" s="320"/>
      <c r="X56" s="341"/>
      <c r="Y56" s="341"/>
      <c r="Z56" s="341"/>
      <c r="AA56" s="320"/>
      <c r="AB56" s="341"/>
      <c r="AC56" s="341"/>
      <c r="AD56" s="320"/>
      <c r="AE56" s="341"/>
      <c r="AF56" s="341"/>
      <c r="AG56" s="341"/>
      <c r="AH56" s="320"/>
      <c r="AI56" s="341"/>
      <c r="AJ56" s="341"/>
      <c r="AK56" s="320"/>
      <c r="AL56" s="341"/>
      <c r="AM56" s="320"/>
      <c r="AN56" s="320"/>
      <c r="AO56" s="320"/>
      <c r="AP56" s="320"/>
      <c r="AQ56" s="320"/>
      <c r="AR56" s="320"/>
      <c r="AS56" s="320"/>
      <c r="AT56" s="320">
        <f>+AU56</f>
        <v>-1.0000000000000171</v>
      </c>
      <c r="AU56" s="320">
        <f>+AV56/2</f>
        <v>-1.0000000000000171</v>
      </c>
      <c r="AV56" s="320">
        <f>+AZ56-AY56</f>
        <v>-2.0000000000000342</v>
      </c>
      <c r="AW56" s="320">
        <f>+AY56-AX56</f>
        <v>-3.1</v>
      </c>
      <c r="AX56" s="340">
        <v>-0.3</v>
      </c>
      <c r="AY56" s="340">
        <v>-3.4</v>
      </c>
      <c r="AZ56" s="320">
        <f>-(AZ48+SUM(AZ52:AZ55)-AZ57)</f>
        <v>-5.4000000000000341</v>
      </c>
      <c r="BA56" s="340">
        <v>0</v>
      </c>
      <c r="BB56" s="340">
        <v>-5.7</v>
      </c>
      <c r="BC56" s="320">
        <f>+BG56-BF56</f>
        <v>-5.6999999999999993</v>
      </c>
      <c r="BD56" s="340">
        <v>-7.5</v>
      </c>
      <c r="BE56" s="340">
        <v>0</v>
      </c>
      <c r="BF56" s="320">
        <f>+BE56+BD56</f>
        <v>-7.5</v>
      </c>
      <c r="BG56" s="340">
        <v>-13.2</v>
      </c>
      <c r="BH56" s="340">
        <v>-4.5999999999999996</v>
      </c>
      <c r="BI56" s="340">
        <v>-0.3</v>
      </c>
      <c r="BJ56" s="320">
        <f>+BI56+BH56</f>
        <v>-4.8999999999999995</v>
      </c>
      <c r="BK56" s="340">
        <v>4.2</v>
      </c>
      <c r="BM56" s="283">
        <f>+BL56+BK56</f>
        <v>4.2</v>
      </c>
      <c r="BN56" s="283">
        <f>+BM56+BJ56</f>
        <v>-0.69999999999999929</v>
      </c>
      <c r="BO56" s="289">
        <v>1.3</v>
      </c>
      <c r="BP56" s="288">
        <v>-2.2999999999999998</v>
      </c>
      <c r="BQ56" s="281">
        <f>+BP56+BO56</f>
        <v>-0.99999999999999978</v>
      </c>
      <c r="BR56" s="289">
        <v>5.2</v>
      </c>
      <c r="BS56" s="288">
        <v>0.1</v>
      </c>
      <c r="BT56" s="250">
        <f>+BS56+BR56</f>
        <v>5.3</v>
      </c>
      <c r="BU56" s="281">
        <f>+BT56+BQ56</f>
        <v>4.3</v>
      </c>
      <c r="BV56" s="288"/>
      <c r="BW56" s="288"/>
      <c r="BX56" s="281"/>
      <c r="BY56" s="288">
        <v>-0.4</v>
      </c>
      <c r="BZ56" s="288">
        <v>0</v>
      </c>
      <c r="CA56" s="281">
        <f>BZ56+BY56</f>
        <v>-0.4</v>
      </c>
      <c r="CB56" s="281">
        <f>CA56+BX56</f>
        <v>-0.4</v>
      </c>
      <c r="CD56" s="288"/>
      <c r="CI56" s="281">
        <f>CH56+CE56</f>
        <v>0</v>
      </c>
      <c r="CN56" s="250">
        <f>-5.3</f>
        <v>-5.3</v>
      </c>
      <c r="CO56" s="250">
        <f>SUM(CM56:CN56)</f>
        <v>-5.3</v>
      </c>
      <c r="CP56" s="320">
        <f>CO56+CL56</f>
        <v>-5.3</v>
      </c>
      <c r="CQ56" s="320"/>
      <c r="CR56" s="320"/>
      <c r="CS56" s="320"/>
      <c r="CT56" s="320"/>
      <c r="CU56" s="320"/>
      <c r="CV56" s="320">
        <f>SUM(CT56:CU56)</f>
        <v>0</v>
      </c>
      <c r="CW56" s="320">
        <f>CV56+CS56</f>
        <v>0</v>
      </c>
      <c r="CX56" s="320"/>
      <c r="CY56" s="320"/>
      <c r="CZ56" s="320">
        <f>CY56+CX56</f>
        <v>0</v>
      </c>
      <c r="DA56" s="320"/>
      <c r="DB56" s="340"/>
      <c r="DC56" s="320">
        <f>SUM(DA56:DB56)</f>
        <v>0</v>
      </c>
      <c r="DD56" s="654">
        <f>DC56+CZ56</f>
        <v>0</v>
      </c>
      <c r="DE56" s="340">
        <v>-11.1</v>
      </c>
      <c r="DF56" s="340">
        <v>0</v>
      </c>
      <c r="DG56" s="320">
        <f>SUM(DE56:DF56)</f>
        <v>-11.1</v>
      </c>
      <c r="DH56" s="340">
        <v>0</v>
      </c>
      <c r="DI56" s="320">
        <f>+DJ56-DH56</f>
        <v>0</v>
      </c>
      <c r="DJ56" s="320">
        <f>+DK56-DG56</f>
        <v>0</v>
      </c>
      <c r="DK56" s="654">
        <v>-11.1</v>
      </c>
      <c r="DL56" s="343">
        <v>0</v>
      </c>
      <c r="DM56" s="340">
        <v>0</v>
      </c>
      <c r="DN56" s="320">
        <f>SUM(DL56:DM56)</f>
        <v>0</v>
      </c>
      <c r="DO56" s="340">
        <v>0</v>
      </c>
      <c r="DP56" s="281">
        <f>+DQ56-DO56</f>
        <v>0</v>
      </c>
      <c r="DQ56" s="320">
        <f>+DR56-DN56</f>
        <v>0</v>
      </c>
      <c r="DR56" s="670">
        <v>0</v>
      </c>
      <c r="DS56" s="290">
        <v>0</v>
      </c>
      <c r="DT56" s="290">
        <v>0</v>
      </c>
      <c r="DU56" s="282">
        <f>SUM(DS56:DT56)</f>
        <v>0</v>
      </c>
      <c r="DV56" s="290">
        <v>0</v>
      </c>
      <c r="DW56" s="282">
        <f>+DX56-DV56</f>
        <v>0</v>
      </c>
      <c r="DX56" s="282">
        <f>+DY56-DU56</f>
        <v>0</v>
      </c>
      <c r="DY56" s="670">
        <v>0</v>
      </c>
      <c r="DZ56" s="290">
        <v>0</v>
      </c>
      <c r="EA56" s="290">
        <v>0</v>
      </c>
      <c r="EB56" s="282">
        <f>SUM(DZ56:EA56)</f>
        <v>0</v>
      </c>
      <c r="EC56" s="290">
        <v>0</v>
      </c>
      <c r="ED56" s="282">
        <f>+EE56-EC56</f>
        <v>0</v>
      </c>
      <c r="EE56" s="282">
        <f>+EF56-EB56</f>
        <v>0</v>
      </c>
      <c r="EF56" s="670">
        <v>0</v>
      </c>
      <c r="EG56" s="290">
        <v>0</v>
      </c>
      <c r="EH56" s="290">
        <v>0</v>
      </c>
      <c r="EI56" s="282">
        <f>SUM(EG56:EH56)</f>
        <v>0</v>
      </c>
      <c r="EJ56" s="290">
        <v>0</v>
      </c>
      <c r="EK56" s="282">
        <f>+EL56-EJ56</f>
        <v>0</v>
      </c>
      <c r="EL56" s="282">
        <f>+EM56-EI56</f>
        <v>0</v>
      </c>
      <c r="EM56" s="670">
        <v>0</v>
      </c>
      <c r="EN56" s="697">
        <f>-29.4-1</f>
        <v>-30.4</v>
      </c>
      <c r="EO56" s="290">
        <f>-48.7+-130.3</f>
        <v>-179</v>
      </c>
      <c r="EP56" s="282">
        <f>SUM(EN56:EO56)</f>
        <v>-209.4</v>
      </c>
      <c r="EQ56" s="710">
        <f>-24+29.4</f>
        <v>5.3999999999999986</v>
      </c>
      <c r="ER56" s="320"/>
      <c r="ES56" s="320">
        <f>ER56+EQ56</f>
        <v>5.3999999999999986</v>
      </c>
      <c r="ET56" s="583">
        <f>ES56+EP56</f>
        <v>-204</v>
      </c>
      <c r="EU56" s="320"/>
      <c r="EV56" s="320"/>
      <c r="EW56" s="320">
        <f>EV56+EU56</f>
        <v>0</v>
      </c>
      <c r="EX56" s="320"/>
      <c r="EY56" s="320"/>
      <c r="EZ56" s="320">
        <f>EY56+EX56</f>
        <v>0</v>
      </c>
      <c r="FA56" s="583">
        <f>EZ56+EW56</f>
        <v>0</v>
      </c>
      <c r="FB56" s="320"/>
      <c r="FC56" s="320"/>
      <c r="FD56" s="320">
        <f>FC56+FB56</f>
        <v>0</v>
      </c>
      <c r="FE56" s="320"/>
      <c r="FF56" s="320"/>
      <c r="FG56" s="320">
        <f>FF56+FE56</f>
        <v>0</v>
      </c>
      <c r="FH56" s="583">
        <f>FG56+FD56</f>
        <v>0</v>
      </c>
      <c r="FI56" s="320"/>
      <c r="FJ56" s="320"/>
      <c r="FK56" s="320">
        <f>FJ56+FI56</f>
        <v>0</v>
      </c>
      <c r="FL56" s="320"/>
      <c r="FM56" s="320"/>
      <c r="FN56" s="320">
        <f>FM56+FL56</f>
        <v>0</v>
      </c>
      <c r="FO56" s="583">
        <f>FN56+FK56</f>
        <v>0</v>
      </c>
      <c r="FP56" s="320"/>
      <c r="FQ56" s="320"/>
      <c r="FR56" s="320">
        <f>FQ56+FP56</f>
        <v>0</v>
      </c>
      <c r="FS56" s="320"/>
      <c r="FT56" s="320"/>
      <c r="FU56" s="320">
        <f>FT56+FS56</f>
        <v>0</v>
      </c>
      <c r="FV56" s="583">
        <f>FU56+FR56</f>
        <v>0</v>
      </c>
    </row>
    <row r="57" spans="1:179" hidden="1" outlineLevel="1" x14ac:dyDescent="0.3">
      <c r="A57" s="302"/>
      <c r="B57" s="321" t="s">
        <v>427</v>
      </c>
      <c r="C57" s="294" t="s">
        <v>226</v>
      </c>
      <c r="D57" s="345">
        <f t="shared" ref="D57:AS57" si="79">D48+D52+D53+D54+D55</f>
        <v>86.899999999999991</v>
      </c>
      <c r="E57" s="345">
        <f t="shared" si="79"/>
        <v>76.399999999999991</v>
      </c>
      <c r="F57" s="345">
        <f t="shared" si="79"/>
        <v>165.9</v>
      </c>
      <c r="G57" s="345">
        <f t="shared" si="79"/>
        <v>64.40000000000002</v>
      </c>
      <c r="H57" s="345">
        <f t="shared" si="79"/>
        <v>-662.6</v>
      </c>
      <c r="I57" s="345">
        <f t="shared" si="79"/>
        <v>-584.79999999999995</v>
      </c>
      <c r="J57" s="345">
        <f t="shared" si="79"/>
        <v>-434.9</v>
      </c>
      <c r="K57" s="345">
        <f t="shared" si="79"/>
        <v>68.899999999999991</v>
      </c>
      <c r="L57" s="345">
        <f t="shared" si="79"/>
        <v>41</v>
      </c>
      <c r="M57" s="345">
        <f t="shared" si="79"/>
        <v>109.9</v>
      </c>
      <c r="N57" s="345">
        <f t="shared" si="79"/>
        <v>19.299999999999997</v>
      </c>
      <c r="O57" s="345">
        <f t="shared" si="79"/>
        <v>-215.8</v>
      </c>
      <c r="P57" s="345">
        <f t="shared" si="79"/>
        <v>-196.50000000000003</v>
      </c>
      <c r="Q57" s="345">
        <f t="shared" si="79"/>
        <v>-86.60000000000008</v>
      </c>
      <c r="R57" s="345">
        <f t="shared" si="79"/>
        <v>75.000000000000014</v>
      </c>
      <c r="S57" s="345">
        <f t="shared" si="79"/>
        <v>44.70000000000001</v>
      </c>
      <c r="T57" s="345">
        <f t="shared" si="79"/>
        <v>119.7</v>
      </c>
      <c r="U57" s="345">
        <f t="shared" si="79"/>
        <v>25.599999999999994</v>
      </c>
      <c r="V57" s="345">
        <f t="shared" si="79"/>
        <v>-181.5</v>
      </c>
      <c r="W57" s="345">
        <f t="shared" si="79"/>
        <v>-82.4</v>
      </c>
      <c r="X57" s="345">
        <f t="shared" si="79"/>
        <v>-36.600000000000009</v>
      </c>
      <c r="Y57" s="345">
        <f t="shared" si="79"/>
        <v>22.899999999999984</v>
      </c>
      <c r="Z57" s="345">
        <f t="shared" si="79"/>
        <v>192.2</v>
      </c>
      <c r="AA57" s="345">
        <f t="shared" si="79"/>
        <v>215.1</v>
      </c>
      <c r="AB57" s="345">
        <f t="shared" si="79"/>
        <v>118.89999999999999</v>
      </c>
      <c r="AC57" s="345">
        <f t="shared" si="79"/>
        <v>-190</v>
      </c>
      <c r="AD57" s="345">
        <f t="shared" si="79"/>
        <v>-56.300000000000018</v>
      </c>
      <c r="AE57" s="345">
        <f t="shared" si="79"/>
        <v>158.80000000000001</v>
      </c>
      <c r="AF57" s="345">
        <f t="shared" si="79"/>
        <v>-57.099999999999994</v>
      </c>
      <c r="AG57" s="345">
        <f t="shared" si="79"/>
        <v>-0.7999999999999986</v>
      </c>
      <c r="AH57" s="345">
        <f t="shared" si="79"/>
        <v>-57.90000000000002</v>
      </c>
      <c r="AI57" s="345">
        <f t="shared" si="79"/>
        <v>25.1</v>
      </c>
      <c r="AJ57" s="345">
        <f t="shared" si="79"/>
        <v>11.79999999999999</v>
      </c>
      <c r="AK57" s="345">
        <f t="shared" si="79"/>
        <v>36.899999999999991</v>
      </c>
      <c r="AL57" s="345">
        <f t="shared" si="79"/>
        <v>-21</v>
      </c>
      <c r="AM57" s="345">
        <f t="shared" si="79"/>
        <v>127</v>
      </c>
      <c r="AN57" s="345">
        <f t="shared" si="79"/>
        <v>-56.199999999999996</v>
      </c>
      <c r="AO57" s="345">
        <f t="shared" si="79"/>
        <v>70.800000000000011</v>
      </c>
      <c r="AP57" s="345">
        <f t="shared" si="79"/>
        <v>-16.900000000000002</v>
      </c>
      <c r="AQ57" s="345">
        <f t="shared" si="79"/>
        <v>50.8</v>
      </c>
      <c r="AR57" s="345">
        <f t="shared" si="79"/>
        <v>33.9</v>
      </c>
      <c r="AS57" s="345">
        <f t="shared" si="79"/>
        <v>104.70000000000003</v>
      </c>
      <c r="AT57" s="345">
        <f t="shared" ref="AT57:AY57" si="80">AT48+AT52+AT53+AT54+AT55+AT56</f>
        <v>16.79999999999999</v>
      </c>
      <c r="AU57" s="345">
        <f t="shared" si="80"/>
        <v>142.99999999999997</v>
      </c>
      <c r="AV57" s="345">
        <f t="shared" si="80"/>
        <v>159.79999999999998</v>
      </c>
      <c r="AW57" s="345">
        <f t="shared" si="80"/>
        <v>0</v>
      </c>
      <c r="AX57" s="345">
        <f t="shared" si="80"/>
        <v>-4.3000000000000016</v>
      </c>
      <c r="AY57" s="345">
        <f t="shared" si="80"/>
        <v>-4.3000000000000131</v>
      </c>
      <c r="AZ57" s="346">
        <v>155.5</v>
      </c>
      <c r="BA57" s="345">
        <f t="shared" ref="BA57:CB57" si="81">BA48+BA52+BA53+BA54+BA55+BA56</f>
        <v>82.5</v>
      </c>
      <c r="BB57" s="345">
        <f t="shared" si="81"/>
        <v>22.800000000000004</v>
      </c>
      <c r="BC57" s="345">
        <f t="shared" si="81"/>
        <v>105.29999999999997</v>
      </c>
      <c r="BD57" s="345">
        <f t="shared" si="81"/>
        <v>32.500000000000007</v>
      </c>
      <c r="BE57" s="345">
        <f t="shared" si="81"/>
        <v>-108.29999999999998</v>
      </c>
      <c r="BF57" s="345">
        <f t="shared" si="81"/>
        <v>-75.800000000000011</v>
      </c>
      <c r="BG57" s="345">
        <f t="shared" si="81"/>
        <v>29.500000000000004</v>
      </c>
      <c r="BH57" s="345">
        <f t="shared" si="81"/>
        <v>156.9</v>
      </c>
      <c r="BI57" s="345">
        <f t="shared" si="81"/>
        <v>67.800000000000011</v>
      </c>
      <c r="BJ57" s="345">
        <f t="shared" si="81"/>
        <v>224.70000000000002</v>
      </c>
      <c r="BK57" s="345">
        <f t="shared" si="81"/>
        <v>94.8</v>
      </c>
      <c r="BL57" s="322">
        <f t="shared" si="81"/>
        <v>57.4</v>
      </c>
      <c r="BM57" s="322">
        <f t="shared" si="81"/>
        <v>152.19999999999996</v>
      </c>
      <c r="BN57" s="322">
        <f t="shared" si="81"/>
        <v>376.90000000000009</v>
      </c>
      <c r="BO57" s="322">
        <f t="shared" si="81"/>
        <v>50.4</v>
      </c>
      <c r="BP57" s="322">
        <f t="shared" si="81"/>
        <v>145.60000000000002</v>
      </c>
      <c r="BQ57" s="322">
        <f t="shared" si="81"/>
        <v>196</v>
      </c>
      <c r="BR57" s="322">
        <f t="shared" si="81"/>
        <v>126.40000000000002</v>
      </c>
      <c r="BS57" s="322">
        <f t="shared" si="81"/>
        <v>12.599999999999996</v>
      </c>
      <c r="BT57" s="322">
        <f t="shared" si="81"/>
        <v>139.00000000000003</v>
      </c>
      <c r="BU57" s="322">
        <f t="shared" si="81"/>
        <v>339.2</v>
      </c>
      <c r="BV57" s="322">
        <f t="shared" si="81"/>
        <v>84.5</v>
      </c>
      <c r="BW57" s="322">
        <f t="shared" si="81"/>
        <v>161.10000000000002</v>
      </c>
      <c r="BX57" s="322">
        <f t="shared" si="81"/>
        <v>245.60000000000002</v>
      </c>
      <c r="BY57" s="322">
        <f t="shared" si="81"/>
        <v>52.1</v>
      </c>
      <c r="BZ57" s="322">
        <f t="shared" si="81"/>
        <v>56.29999999999999</v>
      </c>
      <c r="CA57" s="322">
        <f t="shared" si="81"/>
        <v>108.39999999999998</v>
      </c>
      <c r="CB57" s="322">
        <f t="shared" si="81"/>
        <v>354.00000000000011</v>
      </c>
      <c r="CC57" s="322">
        <f t="shared" ref="CC57:CL57" si="82">CC48+CC52+CC53+CC54+CC55</f>
        <v>117.79999999999998</v>
      </c>
      <c r="CD57" s="322">
        <f t="shared" si="82"/>
        <v>88.5</v>
      </c>
      <c r="CE57" s="322">
        <f t="shared" si="82"/>
        <v>206.3</v>
      </c>
      <c r="CF57" s="322">
        <f t="shared" si="82"/>
        <v>108.70000000000002</v>
      </c>
      <c r="CG57" s="347">
        <f t="shared" si="82"/>
        <v>75.999999999999972</v>
      </c>
      <c r="CH57" s="322">
        <f t="shared" si="82"/>
        <v>184.70000000000002</v>
      </c>
      <c r="CI57" s="322">
        <f t="shared" si="82"/>
        <v>391.00000000000006</v>
      </c>
      <c r="CJ57" s="347">
        <f t="shared" si="82"/>
        <v>84.199999999999989</v>
      </c>
      <c r="CK57" s="347">
        <f t="shared" si="82"/>
        <v>96.800000000000011</v>
      </c>
      <c r="CL57" s="322">
        <f t="shared" si="82"/>
        <v>180.99999999999997</v>
      </c>
      <c r="CM57" s="347">
        <f>CM48+CM52+CM53+CM54+CM55+CM56</f>
        <v>143.39999999999998</v>
      </c>
      <c r="CN57" s="347">
        <f>CN48+CN52+CN53+CN54+CN55+CN56</f>
        <v>-95.499999999999972</v>
      </c>
      <c r="CO57" s="347">
        <f>CO48+CO52+CO53+CO54+CO55+CO56</f>
        <v>47.899999999999984</v>
      </c>
      <c r="CP57" s="345">
        <f>CP48+CP52+CP53+CP54+CP55+CP56</f>
        <v>228.89999999999992</v>
      </c>
      <c r="CQ57" s="345">
        <f>CQ48+CQ52+CQ53+CQ54+CQ55</f>
        <v>131.89999999999998</v>
      </c>
      <c r="CR57" s="345">
        <f>CR48+CR52+CR53+CR54+CR55</f>
        <v>99.500000000000014</v>
      </c>
      <c r="CS57" s="297">
        <f>CS48+CS52+CS53+CS54+CS55</f>
        <v>231.40000000000003</v>
      </c>
      <c r="CT57" s="345">
        <f>CT48+CT52+CT53+CT54+CT55+CT56</f>
        <v>97.499999999999986</v>
      </c>
      <c r="CU57" s="345">
        <f t="shared" ref="CU57:DA57" si="83">CU48+CU52+CU53+CU54+CU55</f>
        <v>26.199999999999982</v>
      </c>
      <c r="CV57" s="297">
        <f t="shared" si="83"/>
        <v>123.69999999999995</v>
      </c>
      <c r="CW57" s="297">
        <f t="shared" si="83"/>
        <v>355.09999999999997</v>
      </c>
      <c r="CX57" s="345">
        <f t="shared" si="83"/>
        <v>132.50000000000003</v>
      </c>
      <c r="CY57" s="345">
        <f t="shared" si="83"/>
        <v>152.6</v>
      </c>
      <c r="CZ57" s="345">
        <f t="shared" si="83"/>
        <v>285.09999999999997</v>
      </c>
      <c r="DA57" s="345">
        <f t="shared" si="83"/>
        <v>88.2</v>
      </c>
      <c r="DB57" s="345">
        <f>DB48+DB52+DB53+DB54+DB55</f>
        <v>-30.800000000000033</v>
      </c>
      <c r="DC57" s="297">
        <f>DC48+DC52+DC53+DC54+DC55</f>
        <v>57.400000000000006</v>
      </c>
      <c r="DD57" s="655">
        <f>DD48+DD52+DD53+DD54+DD55</f>
        <v>342.5</v>
      </c>
      <c r="DE57" s="345">
        <f>DE48+DE52+DE53+DE54+DE55+DE56</f>
        <v>50.000000000000014</v>
      </c>
      <c r="DF57" s="345">
        <f>DF48+DF52+DF53+DF54+DF55+DF56</f>
        <v>146.49999999999997</v>
      </c>
      <c r="DG57" s="345">
        <f>DG48+DG52+DG53+DG54+DG55</f>
        <v>207.6</v>
      </c>
      <c r="DH57" s="345">
        <f t="shared" ref="DH57:FS57" si="84">DH48+DH52+DH53+DH54+DH55+DH56</f>
        <v>131.80000000000001</v>
      </c>
      <c r="DI57" s="345">
        <f t="shared" si="84"/>
        <v>144.9</v>
      </c>
      <c r="DJ57" s="345">
        <f t="shared" si="84"/>
        <v>276.70000000000005</v>
      </c>
      <c r="DK57" s="655">
        <f>DK48+DK52+DK53+DK54+DK55+DK56</f>
        <v>473.2000000000001</v>
      </c>
      <c r="DL57" s="348">
        <f t="shared" si="84"/>
        <v>183.00000000000003</v>
      </c>
      <c r="DM57" s="345">
        <f>DM48+DM52+DM53+DM54+DM55+DM56</f>
        <v>214.99999999999997</v>
      </c>
      <c r="DN57" s="297">
        <f>DN48+DN52+DN53+DN54+DN55</f>
        <v>398</v>
      </c>
      <c r="DO57" s="297">
        <f>DO48+DO52+DO53+DO54+DO55+DO56</f>
        <v>202.20000000000002</v>
      </c>
      <c r="DP57" s="297">
        <f t="shared" si="84"/>
        <v>82.4</v>
      </c>
      <c r="DQ57" s="345">
        <f>DQ48+DQ52+DQ53+DQ54+DQ55+DQ56</f>
        <v>284.60000000000008</v>
      </c>
      <c r="DR57" s="591">
        <f>DR48+DR52+DR53+DR54+DR55+DR56</f>
        <v>682.60000000000014</v>
      </c>
      <c r="DS57" s="299">
        <f>DS48+DS52+DS53+DS54+DS55+DS56</f>
        <v>221.29999999999998</v>
      </c>
      <c r="DT57" s="299">
        <f>DT48+DT52+DT53+DT54+DT55+DT56</f>
        <v>226.60000000000002</v>
      </c>
      <c r="DU57" s="299">
        <f>DU48+DU52+DU53+DU54+DU55</f>
        <v>447.90000000000003</v>
      </c>
      <c r="DV57" s="306">
        <f t="shared" ref="DV57:EA57" si="85">DV48+DV52+DV53+DV54+DV55+DV56</f>
        <v>162.89999999999998</v>
      </c>
      <c r="DW57" s="299">
        <f t="shared" si="85"/>
        <v>130.69999999999999</v>
      </c>
      <c r="DX57" s="299">
        <f t="shared" si="85"/>
        <v>293.59999999999991</v>
      </c>
      <c r="DY57" s="591">
        <f t="shared" si="85"/>
        <v>741.5</v>
      </c>
      <c r="DZ57" s="299">
        <f t="shared" si="85"/>
        <v>233.60000000000002</v>
      </c>
      <c r="EA57" s="299">
        <f t="shared" si="85"/>
        <v>223.39999999999995</v>
      </c>
      <c r="EB57" s="299">
        <f>EB48+EB52+EB53+EB54+EB55</f>
        <v>456.99999999999989</v>
      </c>
      <c r="EC57" s="306">
        <f t="shared" ref="EC57:EH57" si="86">EC48+EC52+EC53+EC54+EC55+EC56</f>
        <v>226.10000000000002</v>
      </c>
      <c r="ED57" s="299">
        <f t="shared" si="86"/>
        <v>84.300000000000068</v>
      </c>
      <c r="EE57" s="299">
        <f t="shared" si="86"/>
        <v>310.40000000000009</v>
      </c>
      <c r="EF57" s="591">
        <f t="shared" si="86"/>
        <v>767.40000000000009</v>
      </c>
      <c r="EG57" s="299">
        <f t="shared" si="86"/>
        <v>235.99999999999997</v>
      </c>
      <c r="EH57" s="300">
        <f t="shared" si="86"/>
        <v>152.29999999999995</v>
      </c>
      <c r="EI57" s="300">
        <f>EI48+EI52+EI53+EI54+EI55</f>
        <v>388.30000000000007</v>
      </c>
      <c r="EJ57" s="306">
        <f t="shared" ref="EJ57:EO57" si="87">EJ48+EJ52+EJ53+EJ54+EJ55+EJ56</f>
        <v>206.1</v>
      </c>
      <c r="EK57" s="299">
        <f t="shared" si="87"/>
        <v>61.5</v>
      </c>
      <c r="EL57" s="299">
        <f t="shared" si="87"/>
        <v>267.59999999999991</v>
      </c>
      <c r="EM57" s="591">
        <f t="shared" si="87"/>
        <v>655.90000000000009</v>
      </c>
      <c r="EN57" s="330">
        <f t="shared" si="87"/>
        <v>138.6</v>
      </c>
      <c r="EO57" s="720">
        <f t="shared" si="87"/>
        <v>24</v>
      </c>
      <c r="EP57" s="299">
        <f>EP48+EP52+EP53+EP54+EP55+EP56</f>
        <v>151.8000000000001</v>
      </c>
      <c r="EQ57" s="711">
        <f>EQ48+EQ52+EQ53+EQ54+EQ55+EQ56</f>
        <v>246</v>
      </c>
      <c r="ER57" s="345">
        <f t="shared" si="84"/>
        <v>281.50076295311476</v>
      </c>
      <c r="ES57" s="345">
        <f t="shared" si="84"/>
        <v>542.96816295311476</v>
      </c>
      <c r="ET57" s="595">
        <f t="shared" si="84"/>
        <v>679.30076295311471</v>
      </c>
      <c r="EU57" s="345">
        <f t="shared" si="84"/>
        <v>289.52904129152881</v>
      </c>
      <c r="EV57" s="345">
        <f t="shared" si="84"/>
        <v>283.90332114078336</v>
      </c>
      <c r="EW57" s="345">
        <f t="shared" si="84"/>
        <v>573.43236243231217</v>
      </c>
      <c r="EX57" s="345">
        <f t="shared" si="84"/>
        <v>296.07305926933333</v>
      </c>
      <c r="EY57" s="345">
        <f t="shared" si="84"/>
        <v>335.35544264978796</v>
      </c>
      <c r="EZ57" s="345">
        <f t="shared" si="84"/>
        <v>631.42850191912135</v>
      </c>
      <c r="FA57" s="595">
        <f t="shared" si="84"/>
        <v>1204.8608643514337</v>
      </c>
      <c r="FB57" s="345">
        <f t="shared" si="84"/>
        <v>329.38108884513639</v>
      </c>
      <c r="FC57" s="345">
        <f t="shared" si="84"/>
        <v>330.5931565527747</v>
      </c>
      <c r="FD57" s="345">
        <f t="shared" si="84"/>
        <v>659.97424539791109</v>
      </c>
      <c r="FE57" s="345">
        <f t="shared" si="84"/>
        <v>352.58336788156612</v>
      </c>
      <c r="FF57" s="345">
        <f t="shared" si="84"/>
        <v>380.71937304594638</v>
      </c>
      <c r="FG57" s="345">
        <f t="shared" si="84"/>
        <v>733.30274092751256</v>
      </c>
      <c r="FH57" s="595">
        <f t="shared" si="84"/>
        <v>1393.2769863254234</v>
      </c>
      <c r="FI57" s="345">
        <f t="shared" si="84"/>
        <v>373.66983756292564</v>
      </c>
      <c r="FJ57" s="345">
        <f t="shared" si="84"/>
        <v>366.25395353192397</v>
      </c>
      <c r="FK57" s="345">
        <f t="shared" si="84"/>
        <v>739.92379109484966</v>
      </c>
      <c r="FL57" s="345">
        <f t="shared" si="84"/>
        <v>387.88688011415081</v>
      </c>
      <c r="FM57" s="345">
        <f t="shared" si="84"/>
        <v>414.06745385168267</v>
      </c>
      <c r="FN57" s="345">
        <f t="shared" si="84"/>
        <v>801.95433396583326</v>
      </c>
      <c r="FO57" s="595">
        <f t="shared" si="84"/>
        <v>1541.878125060683</v>
      </c>
      <c r="FP57" s="345">
        <f t="shared" si="84"/>
        <v>411.1122593136547</v>
      </c>
      <c r="FQ57" s="345">
        <f t="shared" si="84"/>
        <v>411.23890466360552</v>
      </c>
      <c r="FR57" s="345">
        <f t="shared" si="84"/>
        <v>822.35116397726028</v>
      </c>
      <c r="FS57" s="345">
        <f t="shared" si="84"/>
        <v>432.71131514607521</v>
      </c>
      <c r="FT57" s="345">
        <f>FT48+FT52+FT53+FT54+FT55+FT56</f>
        <v>457.58932080436557</v>
      </c>
      <c r="FU57" s="345">
        <f>FU48+FU52+FU53+FU54+FU55+FU56</f>
        <v>890.30063595044089</v>
      </c>
      <c r="FV57" s="595">
        <f>FV48+FV52+FV53+FV54+FV55+FV56</f>
        <v>1712.6517999277014</v>
      </c>
      <c r="FW57" s="632"/>
    </row>
    <row r="58" spans="1:179" hidden="1" outlineLevel="1" x14ac:dyDescent="0.3">
      <c r="B58" s="253" t="s">
        <v>428</v>
      </c>
      <c r="C58" s="280"/>
      <c r="D58" s="349">
        <f t="shared" ref="D58:AI58" si="88">D57/D17</f>
        <v>0.24179187534780189</v>
      </c>
      <c r="E58" s="349">
        <f t="shared" si="88"/>
        <v>0.20254506892895013</v>
      </c>
      <c r="F58" s="349">
        <f t="shared" si="88"/>
        <v>0.22522400217214228</v>
      </c>
      <c r="G58" s="349">
        <f t="shared" si="88"/>
        <v>0.17755720981527442</v>
      </c>
      <c r="H58" s="349">
        <f t="shared" si="88"/>
        <v>-1.7024665981500515</v>
      </c>
      <c r="I58" s="349">
        <f t="shared" si="88"/>
        <v>-0.77776300039898916</v>
      </c>
      <c r="J58" s="349">
        <f t="shared" si="88"/>
        <v>-0.29217332885455155</v>
      </c>
      <c r="K58" s="349">
        <f t="shared" si="88"/>
        <v>0.16582430806257523</v>
      </c>
      <c r="L58" s="349">
        <f t="shared" si="88"/>
        <v>9.9659698590179868E-2</v>
      </c>
      <c r="M58" s="349">
        <f t="shared" si="88"/>
        <v>0.13290603458701175</v>
      </c>
      <c r="N58" s="349">
        <f t="shared" si="88"/>
        <v>5.4350887074063645E-2</v>
      </c>
      <c r="O58" s="349">
        <f t="shared" si="88"/>
        <v>-0.59794957051814912</v>
      </c>
      <c r="P58" s="349">
        <f t="shared" si="88"/>
        <v>-0.27444134078212301</v>
      </c>
      <c r="Q58" s="349">
        <f t="shared" si="88"/>
        <v>-5.6128070516559776E-2</v>
      </c>
      <c r="R58" s="349">
        <f t="shared" si="88"/>
        <v>0.17672007540056556</v>
      </c>
      <c r="S58" s="349">
        <f t="shared" si="88"/>
        <v>0.1145860035888234</v>
      </c>
      <c r="T58" s="349">
        <f t="shared" si="88"/>
        <v>0.14696132596685083</v>
      </c>
      <c r="U58" s="349">
        <f t="shared" si="88"/>
        <v>7.4985354422964251E-2</v>
      </c>
      <c r="V58" s="349">
        <f t="shared" si="88"/>
        <v>-0.58005752636625119</v>
      </c>
      <c r="W58" s="349">
        <f t="shared" si="88"/>
        <v>-0.12593611493198839</v>
      </c>
      <c r="X58" s="349">
        <f t="shared" si="88"/>
        <v>-2.4918300653594776E-2</v>
      </c>
      <c r="Y58" s="349">
        <f t="shared" si="88"/>
        <v>6.2739726027397219E-2</v>
      </c>
      <c r="Z58" s="349">
        <f t="shared" si="88"/>
        <v>0.56215267622111731</v>
      </c>
      <c r="AA58" s="349">
        <f t="shared" si="88"/>
        <v>0.30428632055453381</v>
      </c>
      <c r="AB58" s="349">
        <f t="shared" si="88"/>
        <v>0.46737421383647793</v>
      </c>
      <c r="AC58" s="349">
        <f t="shared" si="88"/>
        <v>-0.83885209713024289</v>
      </c>
      <c r="AD58" s="349">
        <f t="shared" si="88"/>
        <v>-0.11707215637346645</v>
      </c>
      <c r="AE58" s="349">
        <f t="shared" si="88"/>
        <v>0.13369254083178989</v>
      </c>
      <c r="AF58" s="349">
        <f t="shared" si="88"/>
        <v>-0.19737296923608708</v>
      </c>
      <c r="AG58" s="349">
        <f t="shared" si="88"/>
        <v>-2.6385224274406288E-3</v>
      </c>
      <c r="AH58" s="349">
        <f t="shared" si="88"/>
        <v>-9.7721518987341799E-2</v>
      </c>
      <c r="AI58" s="349">
        <f t="shared" si="88"/>
        <v>9.5364741641337389E-2</v>
      </c>
      <c r="AJ58" s="349">
        <f t="shared" ref="AJ58:BO58" si="89">AJ57/AJ17</f>
        <v>4.2877906976744151E-2</v>
      </c>
      <c r="AK58" s="349">
        <f t="shared" si="89"/>
        <v>6.8536404160475475E-2</v>
      </c>
      <c r="AL58" s="349">
        <f t="shared" si="89"/>
        <v>-1.8569281103545849E-2</v>
      </c>
      <c r="AM58" s="349">
        <f t="shared" si="89"/>
        <v>0.40445859872611467</v>
      </c>
      <c r="AN58" s="349">
        <f t="shared" si="89"/>
        <v>-0.19740077274323845</v>
      </c>
      <c r="AO58" s="349">
        <f t="shared" si="89"/>
        <v>0.1182562218139302</v>
      </c>
      <c r="AP58" s="349">
        <f t="shared" si="89"/>
        <v>-6.0621866166468301E-2</v>
      </c>
      <c r="AQ58" s="349">
        <f t="shared" si="89"/>
        <v>0.18635582177143756</v>
      </c>
      <c r="AR58" s="349">
        <f t="shared" si="89"/>
        <v>6.1482758070046432E-2</v>
      </c>
      <c r="AS58" s="349">
        <f t="shared" si="89"/>
        <v>9.1037612782458713E-2</v>
      </c>
      <c r="AT58" s="349">
        <f t="shared" si="89"/>
        <v>5.3828900993271353E-2</v>
      </c>
      <c r="AU58" s="349">
        <f t="shared" si="89"/>
        <v>0.43189368770764108</v>
      </c>
      <c r="AV58" s="349">
        <f t="shared" si="89"/>
        <v>0.24844527363184074</v>
      </c>
      <c r="AW58" s="349">
        <f t="shared" si="89"/>
        <v>0</v>
      </c>
      <c r="AX58" s="349">
        <f t="shared" si="89"/>
        <v>-1.3746803069053713E-2</v>
      </c>
      <c r="AY58" s="349">
        <f t="shared" si="89"/>
        <v>-7.1990624476812532E-3</v>
      </c>
      <c r="AZ58" s="349">
        <f t="shared" si="89"/>
        <v>0.12535268037081823</v>
      </c>
      <c r="BA58" s="349">
        <f t="shared" si="89"/>
        <v>0.24257571302558079</v>
      </c>
      <c r="BB58" s="349">
        <f t="shared" si="89"/>
        <v>6.8120705109052895E-2</v>
      </c>
      <c r="BC58" s="349">
        <f t="shared" si="89"/>
        <v>0.15604623592175454</v>
      </c>
      <c r="BD58" s="349">
        <f t="shared" si="89"/>
        <v>0.10127765659083827</v>
      </c>
      <c r="BE58" s="349">
        <f t="shared" si="89"/>
        <v>-0.32788374205267934</v>
      </c>
      <c r="BF58" s="349">
        <f t="shared" si="89"/>
        <v>-0.11640049140049141</v>
      </c>
      <c r="BG58" s="349">
        <f t="shared" si="89"/>
        <v>2.2247360482654605E-2</v>
      </c>
      <c r="BH58" s="349">
        <f t="shared" si="89"/>
        <v>0.42143432715551982</v>
      </c>
      <c r="BI58" s="349">
        <f t="shared" si="89"/>
        <v>0.17291507268553943</v>
      </c>
      <c r="BJ58" s="349">
        <f t="shared" si="89"/>
        <v>0.29395604395604397</v>
      </c>
      <c r="BK58" s="349">
        <f t="shared" si="89"/>
        <v>0.26749435665914223</v>
      </c>
      <c r="BL58" s="349">
        <f t="shared" si="89"/>
        <v>0.15109239273493022</v>
      </c>
      <c r="BM58" s="349">
        <f t="shared" si="89"/>
        <v>0.20727223205774195</v>
      </c>
      <c r="BN58" s="349">
        <f t="shared" si="89"/>
        <v>0.25148462000400351</v>
      </c>
      <c r="BO58" s="349">
        <f t="shared" si="89"/>
        <v>0.12200435729847493</v>
      </c>
      <c r="BP58" s="349">
        <f t="shared" ref="BP58:CU58" si="90">BP57/BP17</f>
        <v>0.33060853769300641</v>
      </c>
      <c r="BQ58" s="349">
        <f t="shared" si="90"/>
        <v>0.2296426479203281</v>
      </c>
      <c r="BR58" s="349">
        <f t="shared" si="90"/>
        <v>0.32560535806285423</v>
      </c>
      <c r="BS58" s="349">
        <f t="shared" si="90"/>
        <v>3.0376084860173569E-2</v>
      </c>
      <c r="BT58" s="349">
        <f t="shared" si="90"/>
        <v>0.17310087173100872</v>
      </c>
      <c r="BU58" s="349">
        <f t="shared" si="90"/>
        <v>0.20476909145789315</v>
      </c>
      <c r="BV58" s="349">
        <f t="shared" si="90"/>
        <v>0.19605568445475641</v>
      </c>
      <c r="BW58" s="349">
        <f t="shared" si="90"/>
        <v>0.3582388258839227</v>
      </c>
      <c r="BX58" s="349">
        <f t="shared" si="90"/>
        <v>0.27886908141251276</v>
      </c>
      <c r="BY58" s="349">
        <f t="shared" si="90"/>
        <v>0.12530062530062533</v>
      </c>
      <c r="BZ58" s="349">
        <f t="shared" si="90"/>
        <v>0.12975339940078354</v>
      </c>
      <c r="CA58" s="349">
        <f t="shared" si="90"/>
        <v>0.1275744380369542</v>
      </c>
      <c r="CB58" s="349">
        <f t="shared" si="90"/>
        <v>0.20457697642163669</v>
      </c>
      <c r="CC58" s="349">
        <f t="shared" si="90"/>
        <v>0.24696016771488463</v>
      </c>
      <c r="CD58" s="349">
        <f t="shared" si="90"/>
        <v>0.17831956477936731</v>
      </c>
      <c r="CE58" s="349">
        <f t="shared" si="90"/>
        <v>0.21195931367512588</v>
      </c>
      <c r="CF58" s="349">
        <f t="shared" si="90"/>
        <v>0.23879613356766263</v>
      </c>
      <c r="CG58" s="349">
        <f t="shared" si="90"/>
        <v>0.15372168284789636</v>
      </c>
      <c r="CH58" s="349">
        <f t="shared" si="90"/>
        <v>0.19450294860994105</v>
      </c>
      <c r="CI58" s="349">
        <f t="shared" si="90"/>
        <v>0.20333870716105887</v>
      </c>
      <c r="CJ58" s="349">
        <f t="shared" si="90"/>
        <v>0.13828214813598291</v>
      </c>
      <c r="CK58" s="349">
        <f t="shared" si="90"/>
        <v>0.15143929912390491</v>
      </c>
      <c r="CL58" s="349">
        <f t="shared" si="90"/>
        <v>0.1450204310552039</v>
      </c>
      <c r="CM58" s="349">
        <f t="shared" si="90"/>
        <v>0.23860232945091511</v>
      </c>
      <c r="CN58" s="349">
        <f t="shared" si="90"/>
        <v>-0.15122723673792554</v>
      </c>
      <c r="CO58" s="349">
        <f t="shared" si="90"/>
        <v>3.8864097363083154E-2</v>
      </c>
      <c r="CP58" s="349">
        <f t="shared" si="90"/>
        <v>9.2276062243005719E-2</v>
      </c>
      <c r="CQ58" s="349">
        <f t="shared" si="90"/>
        <v>0.20254914004913999</v>
      </c>
      <c r="CR58" s="349">
        <f t="shared" si="90"/>
        <v>0.15433534977508923</v>
      </c>
      <c r="CS58" s="349">
        <f t="shared" si="90"/>
        <v>0.17856316073771125</v>
      </c>
      <c r="CT58" s="349">
        <f t="shared" si="90"/>
        <v>0.16638225255972697</v>
      </c>
      <c r="CU58" s="349">
        <f t="shared" si="90"/>
        <v>4.1933418693982046E-2</v>
      </c>
      <c r="CV58" s="349">
        <f t="shared" ref="CV58:EA58" si="91">CV57/CV17</f>
        <v>0.10216385860588037</v>
      </c>
      <c r="CW58" s="349">
        <f t="shared" si="91"/>
        <v>0.14166035026129972</v>
      </c>
      <c r="CX58" s="349">
        <f t="shared" si="91"/>
        <v>0.2017971367651539</v>
      </c>
      <c r="CY58" s="349">
        <f t="shared" si="91"/>
        <v>0.23114207815813387</v>
      </c>
      <c r="CZ58" s="349">
        <f t="shared" si="91"/>
        <v>0.21650972053462939</v>
      </c>
      <c r="DA58" s="349">
        <f t="shared" si="91"/>
        <v>0.14301929625425652</v>
      </c>
      <c r="DB58" s="350">
        <f t="shared" si="91"/>
        <v>-4.5744838853408638E-2</v>
      </c>
      <c r="DC58" s="349">
        <f t="shared" si="91"/>
        <v>4.4496124031007764E-2</v>
      </c>
      <c r="DD58" s="659">
        <f t="shared" si="91"/>
        <v>0.1313871413226945</v>
      </c>
      <c r="DE58" s="350">
        <f t="shared" si="91"/>
        <v>7.9808459696727882E-2</v>
      </c>
      <c r="DF58" s="350">
        <f t="shared" si="91"/>
        <v>0.19877883310719124</v>
      </c>
      <c r="DG58" s="349">
        <f t="shared" si="91"/>
        <v>0.15225522552255225</v>
      </c>
      <c r="DH58" s="349">
        <f t="shared" si="91"/>
        <v>0.17844570809639859</v>
      </c>
      <c r="DI58" s="350">
        <f t="shared" si="91"/>
        <v>0.17964294569799155</v>
      </c>
      <c r="DJ58" s="349">
        <f t="shared" si="91"/>
        <v>0.1790706704633705</v>
      </c>
      <c r="DK58" s="659">
        <f t="shared" si="91"/>
        <v>0.16268436071097056</v>
      </c>
      <c r="DL58" s="351">
        <f t="shared" si="91"/>
        <v>0.21695317131001779</v>
      </c>
      <c r="DM58" s="350">
        <f t="shared" si="91"/>
        <v>0.23804251550044286</v>
      </c>
      <c r="DN58" s="349">
        <f t="shared" si="91"/>
        <v>0.22785824698001944</v>
      </c>
      <c r="DO58" s="350">
        <f t="shared" si="91"/>
        <v>0.22466666666666668</v>
      </c>
      <c r="DP58" s="349">
        <f t="shared" si="91"/>
        <v>8.5123966942148771E-2</v>
      </c>
      <c r="DQ58" s="349">
        <f t="shared" si="91"/>
        <v>0.15235546038543904</v>
      </c>
      <c r="DR58" s="683">
        <f t="shared" si="91"/>
        <v>0.18884001438570286</v>
      </c>
      <c r="DS58" s="684">
        <f t="shared" si="91"/>
        <v>0.2210568374787733</v>
      </c>
      <c r="DT58" s="684">
        <f t="shared" si="91"/>
        <v>0.22714514835605451</v>
      </c>
      <c r="DU58" s="684">
        <f t="shared" si="91"/>
        <v>0.22409566218041727</v>
      </c>
      <c r="DV58" s="684">
        <f t="shared" si="91"/>
        <v>0.18924256505576206</v>
      </c>
      <c r="DW58" s="685">
        <f t="shared" si="91"/>
        <v>0.14243679163034001</v>
      </c>
      <c r="DX58" s="685">
        <f t="shared" si="91"/>
        <v>0.16509221772379662</v>
      </c>
      <c r="DY58" s="683">
        <f t="shared" si="91"/>
        <v>0.19631463291943552</v>
      </c>
      <c r="DZ58" s="684">
        <f t="shared" si="91"/>
        <v>0.24478675468930108</v>
      </c>
      <c r="EA58" s="684">
        <f t="shared" si="91"/>
        <v>0.22366840208249897</v>
      </c>
      <c r="EB58" s="684">
        <f t="shared" ref="EB58:FG58" si="92">EB57/EB17</f>
        <v>0.23398699503353637</v>
      </c>
      <c r="EC58" s="684">
        <f t="shared" si="92"/>
        <v>0.23113882641586592</v>
      </c>
      <c r="ED58" s="685">
        <f t="shared" si="92"/>
        <v>8.3880597014925423E-2</v>
      </c>
      <c r="EE58" s="685">
        <f t="shared" si="92"/>
        <v>0.15651472367890282</v>
      </c>
      <c r="EF58" s="683">
        <f t="shared" si="92"/>
        <v>0.19495465284658184</v>
      </c>
      <c r="EG58" s="684">
        <f t="shared" si="92"/>
        <v>0.23792721040427464</v>
      </c>
      <c r="EH58" s="684">
        <f t="shared" si="92"/>
        <v>0.15851373855120729</v>
      </c>
      <c r="EI58" s="684">
        <f t="shared" si="92"/>
        <v>0.19885287038459573</v>
      </c>
      <c r="EJ58" s="684">
        <f t="shared" si="92"/>
        <v>0.21619637050246512</v>
      </c>
      <c r="EK58" s="684">
        <f t="shared" si="92"/>
        <v>6.330416881111682E-2</v>
      </c>
      <c r="EL58" s="685">
        <f t="shared" si="92"/>
        <v>0.13902743142144633</v>
      </c>
      <c r="EM58" s="683">
        <f t="shared" si="92"/>
        <v>0.16915538362346874</v>
      </c>
      <c r="EN58" s="701">
        <f t="shared" ref="EN58:EP58" si="93">EN57/EN17</f>
        <v>0.15401711301255694</v>
      </c>
      <c r="EO58" s="684">
        <f t="shared" si="93"/>
        <v>1.8572976319455193E-2</v>
      </c>
      <c r="EP58" s="684">
        <f t="shared" si="93"/>
        <v>7.8396942622527555E-2</v>
      </c>
      <c r="EQ58" s="714">
        <f t="shared" ref="EQ58" si="94">EQ57/EQ17</f>
        <v>0.19841909985481529</v>
      </c>
      <c r="ER58" s="349">
        <f t="shared" si="92"/>
        <v>0.19888513813041669</v>
      </c>
      <c r="ES58" s="349">
        <f t="shared" si="92"/>
        <v>0.19918760573206998</v>
      </c>
      <c r="ET58" s="581">
        <f t="shared" si="92"/>
        <v>0.14014021246516314</v>
      </c>
      <c r="EU58" s="349">
        <f t="shared" si="92"/>
        <v>0.20712700313665264</v>
      </c>
      <c r="EV58" s="349">
        <f t="shared" si="92"/>
        <v>0.19460684749643592</v>
      </c>
      <c r="EW58" s="349">
        <f t="shared" si="92"/>
        <v>0.20073320240247636</v>
      </c>
      <c r="EX58" s="349">
        <f t="shared" si="92"/>
        <v>0.21177542850487552</v>
      </c>
      <c r="EY58" s="349">
        <f t="shared" si="92"/>
        <v>0.21843007087755506</v>
      </c>
      <c r="EZ58" s="349">
        <f t="shared" si="92"/>
        <v>0.2152584298321866</v>
      </c>
      <c r="FA58" s="581">
        <f t="shared" si="92"/>
        <v>0.20809197510770491</v>
      </c>
      <c r="FB58" s="349">
        <f t="shared" si="92"/>
        <v>0.21570252839537363</v>
      </c>
      <c r="FC58" s="349">
        <f t="shared" si="92"/>
        <v>0.20481535166516024</v>
      </c>
      <c r="FD58" s="349">
        <f t="shared" si="92"/>
        <v>0.21010801575101287</v>
      </c>
      <c r="FE58" s="349">
        <f t="shared" si="92"/>
        <v>0.22799561194773066</v>
      </c>
      <c r="FF58" s="349">
        <f t="shared" si="92"/>
        <v>0.22574737360083341</v>
      </c>
      <c r="FG58" s="349">
        <f t="shared" si="92"/>
        <v>0.22682280097064864</v>
      </c>
      <c r="FH58" s="581">
        <f t="shared" ref="FH58:FV58" si="95">FH57/FH17</f>
        <v>0.21858579027946565</v>
      </c>
      <c r="FI58" s="349">
        <f t="shared" si="95"/>
        <v>0.22669957311209105</v>
      </c>
      <c r="FJ58" s="349">
        <f t="shared" si="95"/>
        <v>0.21116625788011317</v>
      </c>
      <c r="FK58" s="349">
        <f t="shared" si="95"/>
        <v>0.21873516386881289</v>
      </c>
      <c r="FL58" s="349">
        <f t="shared" si="95"/>
        <v>0.23380829662240418</v>
      </c>
      <c r="FM58" s="349">
        <f t="shared" si="95"/>
        <v>0.23034028408636242</v>
      </c>
      <c r="FN58" s="349">
        <f t="shared" si="95"/>
        <v>0.23200474290924111</v>
      </c>
      <c r="FO58" s="581">
        <f t="shared" si="95"/>
        <v>0.2254416340461117</v>
      </c>
      <c r="FP58" s="349">
        <f t="shared" si="95"/>
        <v>0.23311608434302125</v>
      </c>
      <c r="FQ58" s="349">
        <f t="shared" si="95"/>
        <v>0.22016451851987454</v>
      </c>
      <c r="FR58" s="349">
        <f t="shared" si="95"/>
        <v>0.2264542727063478</v>
      </c>
      <c r="FS58" s="349">
        <f t="shared" si="95"/>
        <v>0.24142346272431273</v>
      </c>
      <c r="FT58" s="349">
        <f t="shared" si="95"/>
        <v>0.23645269151008819</v>
      </c>
      <c r="FU58" s="349">
        <f t="shared" si="95"/>
        <v>0.23884280226575832</v>
      </c>
      <c r="FV58" s="581">
        <f t="shared" si="95"/>
        <v>0.23272945823188712</v>
      </c>
    </row>
    <row r="59" spans="1:179" outlineLevel="1" x14ac:dyDescent="0.3">
      <c r="B59" s="273" t="s">
        <v>429</v>
      </c>
      <c r="C59" s="319"/>
      <c r="D59" s="275"/>
      <c r="E59" s="275"/>
      <c r="F59" s="275"/>
      <c r="G59" s="275"/>
      <c r="H59" s="275"/>
      <c r="I59" s="275"/>
      <c r="J59" s="275"/>
      <c r="K59" s="275"/>
      <c r="L59" s="275"/>
      <c r="M59" s="275"/>
      <c r="N59" s="275"/>
      <c r="O59" s="275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5"/>
      <c r="AA59" s="275"/>
      <c r="AB59" s="275"/>
      <c r="AC59" s="275"/>
      <c r="AD59" s="275"/>
      <c r="AE59" s="275"/>
      <c r="AF59" s="275"/>
      <c r="AG59" s="275"/>
      <c r="AH59" s="275"/>
      <c r="AI59" s="275"/>
      <c r="AJ59" s="275"/>
      <c r="AK59" s="275"/>
      <c r="AL59" s="275"/>
      <c r="AM59" s="275"/>
      <c r="AN59" s="275"/>
      <c r="AO59" s="275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352"/>
      <c r="BD59" s="352"/>
      <c r="BE59" s="275"/>
      <c r="BF59" s="275"/>
      <c r="BG59" s="275"/>
      <c r="BH59" s="275"/>
      <c r="BI59" s="275"/>
      <c r="BJ59" s="275"/>
      <c r="BK59" s="275"/>
      <c r="BL59" s="275"/>
      <c r="BM59" s="275"/>
      <c r="BN59" s="275"/>
      <c r="BO59" s="275"/>
      <c r="BP59" s="275"/>
      <c r="BQ59" s="275"/>
      <c r="BR59" s="275"/>
      <c r="BS59" s="277"/>
      <c r="BT59" s="275"/>
      <c r="BU59" s="275"/>
      <c r="BV59" s="275"/>
      <c r="BW59" s="277"/>
      <c r="BX59" s="275"/>
      <c r="BY59" s="275"/>
      <c r="BZ59" s="275"/>
      <c r="CA59" s="275"/>
      <c r="CB59" s="275"/>
      <c r="CC59" s="275"/>
      <c r="CD59" s="275"/>
      <c r="CE59" s="275"/>
      <c r="CF59" s="275"/>
      <c r="CG59" s="275"/>
      <c r="CH59" s="275"/>
      <c r="CI59" s="275"/>
      <c r="CJ59" s="275"/>
      <c r="CK59" s="275"/>
      <c r="CL59" s="275"/>
      <c r="CM59" s="275"/>
      <c r="CN59" s="275"/>
      <c r="CO59" s="275"/>
      <c r="CP59" s="277"/>
      <c r="CQ59" s="275"/>
      <c r="CR59" s="275"/>
      <c r="CS59" s="275"/>
      <c r="CT59" s="275"/>
      <c r="CU59" s="275"/>
      <c r="CV59" s="275"/>
      <c r="CW59" s="275"/>
      <c r="CX59" s="275"/>
      <c r="CY59" s="275"/>
      <c r="CZ59" s="275"/>
      <c r="DA59" s="275"/>
      <c r="DB59" s="275"/>
      <c r="DC59" s="275"/>
      <c r="DD59" s="608"/>
      <c r="DE59" s="275"/>
      <c r="DF59" s="275"/>
      <c r="DG59" s="275"/>
      <c r="DH59" s="275"/>
      <c r="DI59" s="275"/>
      <c r="DJ59" s="275"/>
      <c r="DK59" s="608"/>
      <c r="DL59" s="353"/>
      <c r="DM59" s="275"/>
      <c r="DN59" s="275"/>
      <c r="DO59" s="275"/>
      <c r="DP59" s="275"/>
      <c r="DQ59" s="275"/>
      <c r="DR59" s="590"/>
      <c r="DS59" s="286"/>
      <c r="DT59" s="286"/>
      <c r="DU59" s="286"/>
      <c r="DV59" s="286"/>
      <c r="DW59" s="286"/>
      <c r="DX59" s="286"/>
      <c r="DY59" s="590"/>
      <c r="DZ59" s="286"/>
      <c r="EA59" s="282"/>
      <c r="EB59" s="286"/>
      <c r="EC59" s="286"/>
      <c r="ED59" s="286"/>
      <c r="EE59" s="286"/>
      <c r="EF59" s="590"/>
      <c r="EG59" s="286"/>
      <c r="EH59" s="282"/>
      <c r="EI59" s="286"/>
      <c r="EJ59" s="286"/>
      <c r="EK59" s="286"/>
      <c r="EL59" s="286"/>
      <c r="EM59" s="590"/>
      <c r="EN59" s="548"/>
      <c r="EO59" s="282"/>
      <c r="EP59" s="286"/>
      <c r="EQ59" s="549"/>
      <c r="ER59" s="275"/>
      <c r="ES59" s="275"/>
      <c r="EU59" s="275"/>
      <c r="EV59" s="275"/>
      <c r="EW59" s="275"/>
      <c r="EX59" s="275"/>
      <c r="EY59" s="275"/>
      <c r="EZ59" s="275"/>
      <c r="FB59" s="275"/>
      <c r="FC59" s="275"/>
      <c r="FD59" s="275"/>
      <c r="FE59" s="275"/>
      <c r="FF59" s="275"/>
      <c r="FG59" s="275"/>
      <c r="FI59" s="275"/>
      <c r="FJ59" s="275"/>
      <c r="FK59" s="275"/>
      <c r="FL59" s="275"/>
      <c r="FM59" s="275"/>
      <c r="FN59" s="275"/>
      <c r="FP59" s="275"/>
      <c r="FQ59" s="275"/>
      <c r="FR59" s="275"/>
      <c r="FS59" s="275"/>
      <c r="FT59" s="275"/>
      <c r="FU59" s="275"/>
    </row>
    <row r="60" spans="1:179" outlineLevel="1" x14ac:dyDescent="0.3">
      <c r="B60" s="354" t="s">
        <v>430</v>
      </c>
      <c r="C60" s="280" t="s">
        <v>226</v>
      </c>
      <c r="D60" s="288">
        <v>-1.7</v>
      </c>
      <c r="E60" s="289">
        <v>-2.2999999999999998</v>
      </c>
      <c r="F60" s="281">
        <f>E60+D60</f>
        <v>-4</v>
      </c>
      <c r="G60" s="288">
        <v>-1.1000000000000001</v>
      </c>
      <c r="H60" s="281">
        <f>I60-G60</f>
        <v>-2.1</v>
      </c>
      <c r="I60" s="281">
        <f>J60-F60</f>
        <v>-3.2</v>
      </c>
      <c r="J60" s="289">
        <v>-7.2</v>
      </c>
      <c r="K60" s="289">
        <v>-5.6</v>
      </c>
      <c r="L60" s="289">
        <v>-0.2</v>
      </c>
      <c r="M60" s="281">
        <f>L60+K60</f>
        <v>-5.8</v>
      </c>
      <c r="N60" s="289">
        <v>-1.5</v>
      </c>
      <c r="O60" s="281">
        <f>P60-N60</f>
        <v>-4.7</v>
      </c>
      <c r="P60" s="281">
        <f>Q60-M60</f>
        <v>-6.2</v>
      </c>
      <c r="Q60" s="289">
        <v>-12</v>
      </c>
      <c r="R60" s="289">
        <v>-1.3</v>
      </c>
      <c r="S60" s="289">
        <v>-2.5</v>
      </c>
      <c r="T60" s="281">
        <f>S60+R60</f>
        <v>-3.8</v>
      </c>
      <c r="U60" s="289">
        <v>-2.9</v>
      </c>
      <c r="V60" s="281">
        <f>W60-U60</f>
        <v>-4.4000000000000004</v>
      </c>
      <c r="W60" s="281">
        <f>X60-T60</f>
        <v>-7.3</v>
      </c>
      <c r="X60" s="289">
        <v>-11.1</v>
      </c>
      <c r="Y60" s="289">
        <v>-2.6</v>
      </c>
      <c r="Z60" s="289">
        <v>-2.2999999999999998</v>
      </c>
      <c r="AA60" s="281">
        <f>Z60+Y60</f>
        <v>-4.9000000000000004</v>
      </c>
      <c r="AB60" s="289">
        <v>-2.5</v>
      </c>
      <c r="AC60" s="281">
        <f>AD60-AB60</f>
        <v>-3.7999999999999989</v>
      </c>
      <c r="AD60" s="281">
        <f>AE60-AA60</f>
        <v>-6.2999999999999989</v>
      </c>
      <c r="AE60" s="289">
        <v>-11.2</v>
      </c>
      <c r="AF60" s="289">
        <v>-1.5</v>
      </c>
      <c r="AG60" s="289">
        <v>-1.5</v>
      </c>
      <c r="AH60" s="281">
        <f>AG60+AF60</f>
        <v>-3</v>
      </c>
      <c r="AI60" s="289">
        <v>-1.8</v>
      </c>
      <c r="AJ60" s="281">
        <f>AK60-AI60</f>
        <v>-2.9000000000000004</v>
      </c>
      <c r="AK60" s="281">
        <f>AL60-AH60</f>
        <v>-4.7</v>
      </c>
      <c r="AL60" s="289">
        <v>-7.7</v>
      </c>
      <c r="AM60" s="289">
        <v>-1.8</v>
      </c>
      <c r="AN60" s="289">
        <v>-2.2000000000000002</v>
      </c>
      <c r="AO60" s="281">
        <f>AO146</f>
        <v>-4</v>
      </c>
      <c r="AP60" s="289">
        <v>-2</v>
      </c>
      <c r="AQ60" s="281">
        <f>AR60-AP60</f>
        <v>-3</v>
      </c>
      <c r="AR60" s="281">
        <f>AS60-AO60</f>
        <v>-5</v>
      </c>
      <c r="AS60" s="289">
        <v>-9</v>
      </c>
      <c r="AT60" s="289">
        <v>-1.7</v>
      </c>
      <c r="AU60" s="289">
        <v>-2.1</v>
      </c>
      <c r="AV60" s="281">
        <f>AU60+AT60</f>
        <v>-3.8</v>
      </c>
      <c r="AW60" s="289">
        <v>-2.2999999999999998</v>
      </c>
      <c r="AX60" s="281">
        <f>-11.2--2.3-AV60</f>
        <v>-5.0999999999999988</v>
      </c>
      <c r="AY60" s="281">
        <f>AX60+AW60</f>
        <v>-7.3999999999999986</v>
      </c>
      <c r="AZ60" s="281">
        <f>AY60+AV60</f>
        <v>-11.2</v>
      </c>
      <c r="BA60" s="289">
        <v>-1.3</v>
      </c>
      <c r="BB60" s="289">
        <v>-1.3</v>
      </c>
      <c r="BC60" s="281">
        <f>+BB60+BA60</f>
        <v>-2.6</v>
      </c>
      <c r="BD60" s="289">
        <v>-1.4</v>
      </c>
      <c r="BE60" s="281">
        <f>-5.5-BD60-BC60</f>
        <v>-1.4999999999999996</v>
      </c>
      <c r="BF60" s="281">
        <f>+BE60+BD60</f>
        <v>-2.8999999999999995</v>
      </c>
      <c r="BG60" s="281">
        <f>+BF60+BC60</f>
        <v>-5.5</v>
      </c>
      <c r="BH60" s="289">
        <v>-1.1000000000000001</v>
      </c>
      <c r="BI60" s="281">
        <f>-1-0.2</f>
        <v>-1.2</v>
      </c>
      <c r="BJ60" s="281">
        <f>+BI60+BH60</f>
        <v>-2.2999999999999998</v>
      </c>
      <c r="BK60" s="289">
        <v>-1.1000000000000001</v>
      </c>
      <c r="BL60" s="281">
        <f>BN60-BK60-BJ60</f>
        <v>-1.1000000000000001</v>
      </c>
      <c r="BM60" s="281">
        <f>+BL60+BK60</f>
        <v>-2.2000000000000002</v>
      </c>
      <c r="BN60" s="289">
        <v>-4.5</v>
      </c>
      <c r="BO60" s="289">
        <v>-1.7</v>
      </c>
      <c r="BP60" s="289">
        <f>-1.8-0.1+0.2</f>
        <v>-1.7000000000000002</v>
      </c>
      <c r="BQ60" s="281">
        <f>+BP60+BO60</f>
        <v>-3.4000000000000004</v>
      </c>
      <c r="BR60" s="289">
        <f>-2.1</f>
        <v>-2.1</v>
      </c>
      <c r="BS60" s="289">
        <f>-4.9-0.6+1.1</f>
        <v>-4.4000000000000004</v>
      </c>
      <c r="BT60" s="281">
        <f>BS60+BR60</f>
        <v>-6.5</v>
      </c>
      <c r="BU60" s="281">
        <f>+BT60+BQ60</f>
        <v>-9.9</v>
      </c>
      <c r="BV60" s="289">
        <v>-6.1</v>
      </c>
      <c r="BW60" s="289">
        <f>-6.9-0.4+0.7-0.3</f>
        <v>-6.9</v>
      </c>
      <c r="BX60" s="281">
        <f>+BW60+BV60</f>
        <v>-13</v>
      </c>
      <c r="BY60" s="289">
        <v>-6.9</v>
      </c>
      <c r="BZ60" s="289">
        <f>-6.2</f>
        <v>-6.2</v>
      </c>
      <c r="CA60" s="281">
        <f>+BZ60+BY60</f>
        <v>-13.100000000000001</v>
      </c>
      <c r="CB60" s="281">
        <f>CA60+BX60</f>
        <v>-26.1</v>
      </c>
      <c r="CC60" s="289">
        <v>-6.3</v>
      </c>
      <c r="CD60" s="289">
        <v>-7.3</v>
      </c>
      <c r="CE60" s="281">
        <f>CD60+CC60</f>
        <v>-13.6</v>
      </c>
      <c r="CF60" s="289">
        <v>-7.4</v>
      </c>
      <c r="CG60" s="289">
        <v>-7.5</v>
      </c>
      <c r="CH60" s="281">
        <f>+CG60+CF60</f>
        <v>-14.9</v>
      </c>
      <c r="CI60" s="281">
        <f>CH60+CE60</f>
        <v>-28.5</v>
      </c>
      <c r="CJ60" s="289">
        <v>-6.7</v>
      </c>
      <c r="CK60" s="289">
        <f>CK65-CK61</f>
        <v>-7.7</v>
      </c>
      <c r="CL60" s="281">
        <f>CK60+CJ60</f>
        <v>-14.4</v>
      </c>
      <c r="CM60" s="289">
        <f>-9</f>
        <v>-9</v>
      </c>
      <c r="CN60" s="289">
        <v>-11.2</v>
      </c>
      <c r="CO60" s="281">
        <f>CN60+CM60</f>
        <v>-20.2</v>
      </c>
      <c r="CP60" s="320">
        <f>CO60+CL60</f>
        <v>-34.6</v>
      </c>
      <c r="CQ60" s="340">
        <f>-13.2+1.8</f>
        <v>-11.399999999999999</v>
      </c>
      <c r="CR60" s="340">
        <f>-14.1+0.7</f>
        <v>-13.4</v>
      </c>
      <c r="CS60" s="320">
        <f>CR60+CQ60</f>
        <v>-24.799999999999997</v>
      </c>
      <c r="CT60" s="340">
        <f>-16.1+1.2</f>
        <v>-14.900000000000002</v>
      </c>
      <c r="CU60" s="342">
        <f>-16.2</f>
        <v>-16.2</v>
      </c>
      <c r="CV60" s="320">
        <f>SUM(CT60:CU60)</f>
        <v>-31.1</v>
      </c>
      <c r="CW60" s="320">
        <f>CV60+CS60</f>
        <v>-55.9</v>
      </c>
      <c r="CX60" s="342">
        <f>-16.5+2</f>
        <v>-14.5</v>
      </c>
      <c r="CY60" s="340">
        <f>-17.4+2.4</f>
        <v>-14.999999999999998</v>
      </c>
      <c r="CZ60" s="320">
        <f>SUM(CX60:CY60)</f>
        <v>-29.5</v>
      </c>
      <c r="DA60" s="340">
        <f>+-16.5+2.5</f>
        <v>-14</v>
      </c>
      <c r="DB60" s="340">
        <v>-16.5</v>
      </c>
      <c r="DC60" s="320">
        <f>SUM(DA60:DB60)</f>
        <v>-30.5</v>
      </c>
      <c r="DD60" s="654">
        <f>DC60+CZ60</f>
        <v>-60</v>
      </c>
      <c r="DE60" s="340">
        <f>+-15.1+2.4</f>
        <v>-12.7</v>
      </c>
      <c r="DF60" s="340">
        <f>-15.4+2.5</f>
        <v>-12.9</v>
      </c>
      <c r="DG60" s="320">
        <f>SUM(DE60:DF60)</f>
        <v>-25.6</v>
      </c>
      <c r="DH60" s="340">
        <v>-16.100000000000001</v>
      </c>
      <c r="DI60" s="320">
        <f>+DJ60-DH60</f>
        <v>-6.0999999999999943</v>
      </c>
      <c r="DJ60" s="320">
        <f>+DK60-DG60</f>
        <v>-22.199999999999996</v>
      </c>
      <c r="DK60" s="654">
        <f>+-47.8</f>
        <v>-47.8</v>
      </c>
      <c r="DL60" s="343">
        <v>-10.199999999999999</v>
      </c>
      <c r="DM60" s="340">
        <v>-10.3</v>
      </c>
      <c r="DN60" s="320">
        <f>SUM(DL60:DM60)</f>
        <v>-20.5</v>
      </c>
      <c r="DO60" s="340">
        <v>-11.3</v>
      </c>
      <c r="DP60" s="320">
        <f>+DQ60-DO60</f>
        <v>-10.400000000000002</v>
      </c>
      <c r="DQ60" s="320">
        <f>+DR60-DN60</f>
        <v>-21.700000000000003</v>
      </c>
      <c r="DR60" s="670">
        <v>-42.2</v>
      </c>
      <c r="DS60" s="290">
        <v>-8.8000000000000007</v>
      </c>
      <c r="DT60" s="290">
        <v>-9</v>
      </c>
      <c r="DU60" s="282">
        <f>SUM(DS60:DT60)</f>
        <v>-17.8</v>
      </c>
      <c r="DV60" s="290">
        <v>-11.1</v>
      </c>
      <c r="DW60" s="282">
        <f>+DX60-DV60</f>
        <v>-16.600000000000001</v>
      </c>
      <c r="DX60" s="282">
        <f>+DY60-DU60</f>
        <v>-27.7</v>
      </c>
      <c r="DY60" s="670">
        <v>-45.5</v>
      </c>
      <c r="DZ60" s="290">
        <v>-13.4</v>
      </c>
      <c r="EA60" s="290">
        <v>-12.1</v>
      </c>
      <c r="EB60" s="282">
        <f>SUM(DZ60:EA60)</f>
        <v>-25.5</v>
      </c>
      <c r="EC60" s="290">
        <v>-14.7</v>
      </c>
      <c r="ED60" s="282">
        <f>+EE60-EC60</f>
        <v>-15.7</v>
      </c>
      <c r="EE60" s="282">
        <f>+EF60-EB60</f>
        <v>-30.4</v>
      </c>
      <c r="EF60" s="670">
        <v>-55.9</v>
      </c>
      <c r="EG60" s="290">
        <v>-15.7</v>
      </c>
      <c r="EH60" s="290">
        <v>-15.7</v>
      </c>
      <c r="EI60" s="282">
        <f>SUM(EG60:EH60)</f>
        <v>-31.4</v>
      </c>
      <c r="EJ60" s="290">
        <v>-15.1</v>
      </c>
      <c r="EK60" s="282">
        <f>+EL60-EJ60</f>
        <v>-14.700000000000005</v>
      </c>
      <c r="EL60" s="282">
        <f>+EM60-EI60</f>
        <v>-29.800000000000004</v>
      </c>
      <c r="EM60" s="670">
        <f>-62+0.8</f>
        <v>-61.2</v>
      </c>
      <c r="EN60" s="697">
        <f>-11.8</f>
        <v>-11.8</v>
      </c>
      <c r="EO60" s="290">
        <v>-65.400000000000006</v>
      </c>
      <c r="EP60" s="282">
        <f>SUM(EN60:EO60)</f>
        <v>-77.2</v>
      </c>
      <c r="EQ60" s="710">
        <v>-65.599999999999994</v>
      </c>
      <c r="ER60" s="320">
        <f t="shared" ref="ER60:FV60" si="96">ER147</f>
        <v>-65.676825000000008</v>
      </c>
      <c r="ES60" s="320">
        <f t="shared" si="96"/>
        <v>-131.276825</v>
      </c>
      <c r="ET60" s="583">
        <f t="shared" si="96"/>
        <v>-208.47682500000002</v>
      </c>
      <c r="EU60" s="320">
        <f t="shared" si="96"/>
        <v>-64.306716687969811</v>
      </c>
      <c r="EV60" s="320">
        <f t="shared" si="96"/>
        <v>-60.791895664519103</v>
      </c>
      <c r="EW60" s="320">
        <f t="shared" si="96"/>
        <v>-125.09861235248891</v>
      </c>
      <c r="EX60" s="320">
        <f t="shared" si="96"/>
        <v>-59.588874630304673</v>
      </c>
      <c r="EY60" s="320">
        <f t="shared" si="96"/>
        <v>-57.189077284071153</v>
      </c>
      <c r="EZ60" s="320">
        <f t="shared" si="96"/>
        <v>-116.77795191437582</v>
      </c>
      <c r="FA60" s="583">
        <f t="shared" si="96"/>
        <v>-241.87656426686473</v>
      </c>
      <c r="FB60" s="320">
        <f t="shared" si="96"/>
        <v>-56.24465964523214</v>
      </c>
      <c r="FC60" s="320">
        <f t="shared" si="96"/>
        <v>-52.026220631633429</v>
      </c>
      <c r="FD60" s="320">
        <f t="shared" si="96"/>
        <v>-108.27088027686557</v>
      </c>
      <c r="FE60" s="320">
        <f t="shared" si="96"/>
        <v>-50.277073995868378</v>
      </c>
      <c r="FF60" s="320">
        <f t="shared" si="96"/>
        <v>-47.033176226497154</v>
      </c>
      <c r="FG60" s="320">
        <f t="shared" si="96"/>
        <v>-97.310250222365539</v>
      </c>
      <c r="FH60" s="583">
        <f t="shared" si="96"/>
        <v>-205.58113049923111</v>
      </c>
      <c r="FI60" s="320">
        <f t="shared" si="96"/>
        <v>-45.508691382552001</v>
      </c>
      <c r="FJ60" s="320">
        <f t="shared" si="96"/>
        <v>-40.365461582555987</v>
      </c>
      <c r="FK60" s="320">
        <f t="shared" si="96"/>
        <v>-85.874152965107982</v>
      </c>
      <c r="FL60" s="320">
        <f t="shared" si="96"/>
        <v>-38.07912611521639</v>
      </c>
      <c r="FM60" s="320">
        <f t="shared" si="96"/>
        <v>-34.216075335307551</v>
      </c>
      <c r="FN60" s="320">
        <f t="shared" si="96"/>
        <v>-72.295201450523933</v>
      </c>
      <c r="FO60" s="583">
        <f t="shared" si="96"/>
        <v>-158.16935441563191</v>
      </c>
      <c r="FP60" s="320">
        <f t="shared" si="96"/>
        <v>-32.198602252348948</v>
      </c>
      <c r="FQ60" s="320">
        <f t="shared" si="96"/>
        <v>-26.373505070338091</v>
      </c>
      <c r="FR60" s="320">
        <f t="shared" si="96"/>
        <v>-58.572107322687039</v>
      </c>
      <c r="FS60" s="320">
        <f t="shared" si="96"/>
        <v>-23.528180864392667</v>
      </c>
      <c r="FT60" s="320">
        <f t="shared" si="96"/>
        <v>-18.981362672124241</v>
      </c>
      <c r="FU60" s="320">
        <f t="shared" si="96"/>
        <v>-42.509543536516908</v>
      </c>
      <c r="FV60" s="583">
        <f t="shared" si="96"/>
        <v>-101.08165085920395</v>
      </c>
    </row>
    <row r="61" spans="1:179" outlineLevel="1" x14ac:dyDescent="0.3">
      <c r="B61" s="354" t="s">
        <v>431</v>
      </c>
      <c r="C61" s="280" t="s">
        <v>226</v>
      </c>
      <c r="D61" s="281">
        <f t="shared" ref="D61:AR61" si="97">D19</f>
        <v>1</v>
      </c>
      <c r="E61" s="281">
        <f t="shared" si="97"/>
        <v>1.3</v>
      </c>
      <c r="F61" s="281">
        <f t="shared" si="97"/>
        <v>2.2999999999999998</v>
      </c>
      <c r="G61" s="281">
        <f t="shared" si="97"/>
        <v>1.9</v>
      </c>
      <c r="H61" s="281">
        <f t="shared" si="97"/>
        <v>2.8000000000000003</v>
      </c>
      <c r="I61" s="281">
        <f t="shared" si="97"/>
        <v>4.7</v>
      </c>
      <c r="J61" s="281">
        <f t="shared" si="97"/>
        <v>7</v>
      </c>
      <c r="K61" s="281">
        <f t="shared" si="97"/>
        <v>3.6</v>
      </c>
      <c r="L61" s="281">
        <f t="shared" si="97"/>
        <v>1.2</v>
      </c>
      <c r="M61" s="281">
        <f t="shared" si="97"/>
        <v>4.8</v>
      </c>
      <c r="N61" s="281">
        <f t="shared" si="97"/>
        <v>0.2</v>
      </c>
      <c r="O61" s="281">
        <f t="shared" si="97"/>
        <v>0.50000000000000022</v>
      </c>
      <c r="P61" s="281">
        <f t="shared" si="97"/>
        <v>0.70000000000000018</v>
      </c>
      <c r="Q61" s="281">
        <f t="shared" si="97"/>
        <v>5.5</v>
      </c>
      <c r="R61" s="281">
        <f t="shared" si="97"/>
        <v>1.8</v>
      </c>
      <c r="S61" s="281">
        <f t="shared" si="97"/>
        <v>4.5</v>
      </c>
      <c r="T61" s="281">
        <f t="shared" si="97"/>
        <v>6.3</v>
      </c>
      <c r="U61" s="281">
        <f t="shared" si="97"/>
        <v>3.7</v>
      </c>
      <c r="V61" s="281">
        <f t="shared" si="97"/>
        <v>2.1999999999999993</v>
      </c>
      <c r="W61" s="281">
        <f t="shared" si="97"/>
        <v>5.8999999999999995</v>
      </c>
      <c r="X61" s="281">
        <f t="shared" si="97"/>
        <v>12.2</v>
      </c>
      <c r="Y61" s="281">
        <f t="shared" si="97"/>
        <v>1.5</v>
      </c>
      <c r="Z61" s="281">
        <f t="shared" si="97"/>
        <v>2.6</v>
      </c>
      <c r="AA61" s="281">
        <f t="shared" si="97"/>
        <v>4.0999999999999996</v>
      </c>
      <c r="AB61" s="281">
        <f t="shared" si="97"/>
        <v>1.4</v>
      </c>
      <c r="AC61" s="281">
        <f t="shared" si="97"/>
        <v>2.6999999999999997</v>
      </c>
      <c r="AD61" s="281">
        <f t="shared" si="97"/>
        <v>4.0999999999999996</v>
      </c>
      <c r="AE61" s="281">
        <f t="shared" si="97"/>
        <v>8.1999999999999993</v>
      </c>
      <c r="AF61" s="281">
        <f t="shared" si="97"/>
        <v>0.8</v>
      </c>
      <c r="AG61" s="281">
        <f t="shared" si="97"/>
        <v>1.1000000000000001</v>
      </c>
      <c r="AH61" s="281">
        <f t="shared" si="97"/>
        <v>1.9000000000000001</v>
      </c>
      <c r="AI61" s="281">
        <f t="shared" si="97"/>
        <v>1</v>
      </c>
      <c r="AJ61" s="281">
        <f t="shared" si="97"/>
        <v>0.8</v>
      </c>
      <c r="AK61" s="281">
        <f t="shared" si="97"/>
        <v>1.8</v>
      </c>
      <c r="AL61" s="281">
        <f t="shared" si="97"/>
        <v>3.7</v>
      </c>
      <c r="AM61" s="281">
        <f t="shared" si="97"/>
        <v>0.7</v>
      </c>
      <c r="AN61" s="281">
        <f t="shared" si="97"/>
        <v>1.3</v>
      </c>
      <c r="AO61" s="281">
        <f t="shared" si="97"/>
        <v>2</v>
      </c>
      <c r="AP61" s="281">
        <f t="shared" si="97"/>
        <v>0.7</v>
      </c>
      <c r="AQ61" s="281">
        <f t="shared" si="97"/>
        <v>1.8999999999999997</v>
      </c>
      <c r="AR61" s="281">
        <f t="shared" si="97"/>
        <v>2.5999999999999996</v>
      </c>
      <c r="AS61" s="281">
        <f t="shared" ref="AS61:AS69" si="98">AR61+AO61</f>
        <v>4.5999999999999996</v>
      </c>
      <c r="AT61" s="281">
        <f>AT19</f>
        <v>0.7</v>
      </c>
      <c r="AU61" s="281">
        <f>AU19</f>
        <v>0.9</v>
      </c>
      <c r="AV61" s="281">
        <f>AV19</f>
        <v>1.6</v>
      </c>
      <c r="AW61" s="281">
        <f>+AW19</f>
        <v>0.8</v>
      </c>
      <c r="AX61" s="281">
        <f>+AX19</f>
        <v>1.3999999999999997</v>
      </c>
      <c r="AY61" s="281">
        <f>AY19</f>
        <v>2.1999999999999997</v>
      </c>
      <c r="AZ61" s="281">
        <f>AZ19</f>
        <v>3.8</v>
      </c>
      <c r="BA61" s="281">
        <f>BA19</f>
        <v>1.5</v>
      </c>
      <c r="BB61" s="281">
        <f>BB19</f>
        <v>1.3</v>
      </c>
      <c r="BC61" s="281">
        <f>+BB61+BA61</f>
        <v>2.8</v>
      </c>
      <c r="BD61" s="281">
        <f>+BD19</f>
        <v>3.5</v>
      </c>
      <c r="BE61" s="281">
        <f>7.9-BD61-BC61</f>
        <v>1.6000000000000005</v>
      </c>
      <c r="BF61" s="281">
        <f>+BE61+BD61</f>
        <v>5.1000000000000005</v>
      </c>
      <c r="BG61" s="281">
        <f>+BF61+BC61</f>
        <v>7.9</v>
      </c>
      <c r="BH61" s="281">
        <f>BH19</f>
        <v>1.2</v>
      </c>
      <c r="BI61" s="281">
        <f>BI19</f>
        <v>0.8</v>
      </c>
      <c r="BJ61" s="281">
        <f>+BI61+BH61</f>
        <v>2</v>
      </c>
      <c r="BK61" s="281">
        <f>BK19</f>
        <v>0.7</v>
      </c>
      <c r="BL61" s="281">
        <f>BL19</f>
        <v>0.70000000000000018</v>
      </c>
      <c r="BM61" s="281">
        <f>+BL61+BK61</f>
        <v>1.4000000000000001</v>
      </c>
      <c r="BN61" s="289">
        <v>3.4</v>
      </c>
      <c r="BO61" s="281">
        <f>BO19</f>
        <v>0.6</v>
      </c>
      <c r="BP61" s="281">
        <f>BP19</f>
        <v>0.8</v>
      </c>
      <c r="BQ61" s="281">
        <f>BQ19</f>
        <v>1.4</v>
      </c>
      <c r="BR61" s="281">
        <f>BR19</f>
        <v>0.1</v>
      </c>
      <c r="BS61" s="281">
        <f>BS19</f>
        <v>0</v>
      </c>
      <c r="BT61" s="281">
        <f t="shared" ref="BT61:BT69" si="99">BS61+BR61</f>
        <v>0.1</v>
      </c>
      <c r="BU61" s="281">
        <f>+BT61+BQ61</f>
        <v>1.5</v>
      </c>
      <c r="BV61" s="281">
        <f>BV19</f>
        <v>0.2</v>
      </c>
      <c r="BW61" s="281">
        <f>BW19</f>
        <v>0.3</v>
      </c>
      <c r="BX61" s="281">
        <f>BW61+BV61</f>
        <v>0.5</v>
      </c>
      <c r="BY61" s="281">
        <f>BY19</f>
        <v>0.2</v>
      </c>
      <c r="BZ61" s="281">
        <f>BZ19</f>
        <v>0.1</v>
      </c>
      <c r="CA61" s="281">
        <f>+BZ61+BY61</f>
        <v>0.30000000000000004</v>
      </c>
      <c r="CB61" s="281">
        <f>CA61+BX61</f>
        <v>0.8</v>
      </c>
      <c r="CC61" s="281">
        <f>CC19</f>
        <v>0.2</v>
      </c>
      <c r="CD61" s="281">
        <f>CD19</f>
        <v>0.3</v>
      </c>
      <c r="CE61" s="281">
        <f>CD61+CC61</f>
        <v>0.5</v>
      </c>
      <c r="CF61" s="281">
        <f>CF19</f>
        <v>0.2</v>
      </c>
      <c r="CG61" s="281">
        <f>CG19</f>
        <v>0.2</v>
      </c>
      <c r="CH61" s="281">
        <f>+CG61+CF61</f>
        <v>0.4</v>
      </c>
      <c r="CI61" s="281">
        <f>CI19</f>
        <v>0.9</v>
      </c>
      <c r="CJ61" s="281">
        <f>CJ19</f>
        <v>0.2</v>
      </c>
      <c r="CK61" s="289">
        <v>0.3</v>
      </c>
      <c r="CL61" s="281">
        <f>CK61+CJ61</f>
        <v>0.5</v>
      </c>
      <c r="CM61" s="281">
        <f t="shared" ref="CM61:CU61" si="100">CM19</f>
        <v>0.7</v>
      </c>
      <c r="CN61" s="281">
        <f t="shared" si="100"/>
        <v>0.7</v>
      </c>
      <c r="CO61" s="281">
        <f t="shared" si="100"/>
        <v>1.4</v>
      </c>
      <c r="CP61" s="320">
        <f t="shared" si="100"/>
        <v>1.9</v>
      </c>
      <c r="CQ61" s="320">
        <f t="shared" si="100"/>
        <v>0.8</v>
      </c>
      <c r="CR61" s="320">
        <f t="shared" si="100"/>
        <v>0.9</v>
      </c>
      <c r="CS61" s="320">
        <f t="shared" si="100"/>
        <v>1.7000000000000002</v>
      </c>
      <c r="CT61" s="320">
        <f t="shared" si="100"/>
        <v>1.2</v>
      </c>
      <c r="CU61" s="320">
        <f t="shared" si="100"/>
        <v>0.7</v>
      </c>
      <c r="CV61" s="320">
        <f>SUM(CT61:CU61)</f>
        <v>1.9</v>
      </c>
      <c r="CW61" s="320">
        <f>CV61+CS61</f>
        <v>3.6</v>
      </c>
      <c r="CX61" s="320">
        <f>CX19</f>
        <v>0.8</v>
      </c>
      <c r="CY61" s="320">
        <f>CY19</f>
        <v>0.8</v>
      </c>
      <c r="CZ61" s="320">
        <f>SUM(CX61:CY61)</f>
        <v>1.6</v>
      </c>
      <c r="DA61" s="320">
        <f>DA19</f>
        <v>0.5</v>
      </c>
      <c r="DB61" s="320">
        <f>DB19</f>
        <v>0.1</v>
      </c>
      <c r="DC61" s="320">
        <f>SUM(DA61:DB61)</f>
        <v>0.6</v>
      </c>
      <c r="DD61" s="660">
        <f>DC61+CZ61</f>
        <v>2.2000000000000002</v>
      </c>
      <c r="DE61" s="320">
        <f>DE19</f>
        <v>0</v>
      </c>
      <c r="DF61" s="320">
        <f>DF19</f>
        <v>0.2</v>
      </c>
      <c r="DG61" s="320">
        <f>SUM(DE61:DF61)</f>
        <v>0.2</v>
      </c>
      <c r="DH61" s="320">
        <f>DH19</f>
        <v>0</v>
      </c>
      <c r="DI61" s="320">
        <f>+DJ61-DH61</f>
        <v>-0.1</v>
      </c>
      <c r="DJ61" s="320">
        <f>+DK61-DG61</f>
        <v>-0.1</v>
      </c>
      <c r="DK61" s="660">
        <f>0.1</f>
        <v>0.1</v>
      </c>
      <c r="DL61" s="344">
        <v>-0.2</v>
      </c>
      <c r="DM61" s="320">
        <f>DM19</f>
        <v>0.30000000000000004</v>
      </c>
      <c r="DN61" s="320">
        <f>SUM(DL61:DM61)</f>
        <v>0.10000000000000003</v>
      </c>
      <c r="DO61" s="320">
        <f>DO19</f>
        <v>0</v>
      </c>
      <c r="DP61" s="320">
        <f>+DQ61-DO61</f>
        <v>0</v>
      </c>
      <c r="DQ61" s="320">
        <f>+DR61-DN61</f>
        <v>0</v>
      </c>
      <c r="DR61" s="686">
        <v>0.1</v>
      </c>
      <c r="DS61" s="290">
        <v>-0.2</v>
      </c>
      <c r="DT61" s="282">
        <f>DT19</f>
        <v>1.2000000000000002</v>
      </c>
      <c r="DU61" s="282">
        <f>SUM(DS61:DT61)</f>
        <v>1.0000000000000002</v>
      </c>
      <c r="DV61" s="282">
        <f>DV19</f>
        <v>0</v>
      </c>
      <c r="DW61" s="282">
        <f>+DX61-DV61</f>
        <v>1.0999999999999999</v>
      </c>
      <c r="DX61" s="282">
        <f>+DY61-DU61</f>
        <v>1.0999999999999999</v>
      </c>
      <c r="DY61" s="686">
        <v>2.1</v>
      </c>
      <c r="DZ61" s="282">
        <f>DZ19</f>
        <v>0</v>
      </c>
      <c r="EA61" s="282">
        <f>EA19</f>
        <v>0</v>
      </c>
      <c r="EB61" s="282">
        <f>SUM(DZ61:EA61)</f>
        <v>0</v>
      </c>
      <c r="EC61" s="282">
        <f>EC19</f>
        <v>0</v>
      </c>
      <c r="ED61" s="282">
        <f>+EE61-EC61</f>
        <v>12.1</v>
      </c>
      <c r="EE61" s="282">
        <f>+EF61-EB61</f>
        <v>12.1</v>
      </c>
      <c r="EF61" s="686">
        <f>EF19</f>
        <v>12.1</v>
      </c>
      <c r="EG61" s="282">
        <f>EG19</f>
        <v>4.8</v>
      </c>
      <c r="EH61" s="282">
        <f>EH19</f>
        <v>4.4000000000000004</v>
      </c>
      <c r="EI61" s="282">
        <f>SUM(EG61:EH61)</f>
        <v>9.1999999999999993</v>
      </c>
      <c r="EJ61" s="282">
        <f>EJ19</f>
        <v>4.7</v>
      </c>
      <c r="EK61" s="282">
        <f>+EL61-EJ61</f>
        <v>5.9000000000000012</v>
      </c>
      <c r="EL61" s="282">
        <f>+EM61-EI61</f>
        <v>10.600000000000001</v>
      </c>
      <c r="EM61" s="686">
        <f t="shared" ref="EM61:FV61" si="101">EM19</f>
        <v>19.8</v>
      </c>
      <c r="EN61" s="540">
        <f>EN19</f>
        <v>4.2</v>
      </c>
      <c r="EO61" s="282">
        <f>EO19</f>
        <v>0</v>
      </c>
      <c r="EP61" s="282">
        <f>SUM(EN61:EO61)</f>
        <v>4.2</v>
      </c>
      <c r="EQ61" s="547">
        <f>EQ19</f>
        <v>0</v>
      </c>
      <c r="ER61" s="320">
        <f t="shared" si="101"/>
        <v>0</v>
      </c>
      <c r="ES61" s="320">
        <f t="shared" si="101"/>
        <v>0</v>
      </c>
      <c r="ET61" s="583">
        <f t="shared" si="101"/>
        <v>4.2</v>
      </c>
      <c r="EU61" s="320">
        <f t="shared" si="101"/>
        <v>1.5350669613834353</v>
      </c>
      <c r="EV61" s="320">
        <f t="shared" si="101"/>
        <v>1.5350669613834353</v>
      </c>
      <c r="EW61" s="320">
        <f t="shared" si="101"/>
        <v>3.0701339227668707</v>
      </c>
      <c r="EX61" s="320">
        <f t="shared" si="101"/>
        <v>1.5350669613834353</v>
      </c>
      <c r="EY61" s="320">
        <f t="shared" si="101"/>
        <v>1.5350669613834353</v>
      </c>
      <c r="EZ61" s="320">
        <f t="shared" si="101"/>
        <v>3.0701339227668707</v>
      </c>
      <c r="FA61" s="583">
        <f t="shared" si="101"/>
        <v>6.1402678455337414</v>
      </c>
      <c r="FB61" s="320">
        <f t="shared" si="101"/>
        <v>1.5350669613834353</v>
      </c>
      <c r="FC61" s="320">
        <f t="shared" si="101"/>
        <v>1.5350669613834353</v>
      </c>
      <c r="FD61" s="320">
        <f t="shared" si="101"/>
        <v>3.0701339227668707</v>
      </c>
      <c r="FE61" s="320">
        <f t="shared" si="101"/>
        <v>1.5350669613834353</v>
      </c>
      <c r="FF61" s="320">
        <f t="shared" si="101"/>
        <v>1.5350669613834353</v>
      </c>
      <c r="FG61" s="320">
        <f t="shared" si="101"/>
        <v>3.0701339227668707</v>
      </c>
      <c r="FH61" s="583">
        <f t="shared" si="101"/>
        <v>6.1402678455337414</v>
      </c>
      <c r="FI61" s="320">
        <f t="shared" si="101"/>
        <v>1.5350669613834353</v>
      </c>
      <c r="FJ61" s="320">
        <f t="shared" si="101"/>
        <v>1.5350669613834353</v>
      </c>
      <c r="FK61" s="320">
        <f t="shared" si="101"/>
        <v>3.0701339227668707</v>
      </c>
      <c r="FL61" s="320">
        <f t="shared" si="101"/>
        <v>1.5350669613834353</v>
      </c>
      <c r="FM61" s="320">
        <f t="shared" si="101"/>
        <v>1.5350669613834353</v>
      </c>
      <c r="FN61" s="320">
        <f t="shared" si="101"/>
        <v>3.0701339227668707</v>
      </c>
      <c r="FO61" s="583">
        <f t="shared" si="101"/>
        <v>6.1402678455337414</v>
      </c>
      <c r="FP61" s="320">
        <f t="shared" si="101"/>
        <v>1.5350669613834353</v>
      </c>
      <c r="FQ61" s="320">
        <f t="shared" si="101"/>
        <v>1.5350669613834353</v>
      </c>
      <c r="FR61" s="320">
        <f t="shared" si="101"/>
        <v>3.0701339227668707</v>
      </c>
      <c r="FS61" s="320">
        <f t="shared" si="101"/>
        <v>1.5350669613834353</v>
      </c>
      <c r="FT61" s="320">
        <f t="shared" si="101"/>
        <v>1.5350669613834353</v>
      </c>
      <c r="FU61" s="320">
        <f t="shared" si="101"/>
        <v>3.0701339227668707</v>
      </c>
      <c r="FV61" s="583">
        <f t="shared" si="101"/>
        <v>6.1402678455337414</v>
      </c>
    </row>
    <row r="62" spans="1:179" outlineLevel="1" x14ac:dyDescent="0.3">
      <c r="B62" s="564" t="s">
        <v>676</v>
      </c>
      <c r="C62" s="280" t="s">
        <v>226</v>
      </c>
      <c r="D62" s="281"/>
      <c r="E62" s="281"/>
      <c r="F62" s="281"/>
      <c r="G62" s="281"/>
      <c r="H62" s="281"/>
      <c r="I62" s="281"/>
      <c r="J62" s="281"/>
      <c r="K62" s="281"/>
      <c r="L62" s="281"/>
      <c r="M62" s="281"/>
      <c r="N62" s="281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  <c r="AF62" s="281"/>
      <c r="AG62" s="281"/>
      <c r="AH62" s="281"/>
      <c r="AI62" s="281"/>
      <c r="AJ62" s="281"/>
      <c r="AK62" s="281"/>
      <c r="AL62" s="281"/>
      <c r="AM62" s="281"/>
      <c r="AN62" s="281"/>
      <c r="AO62" s="281"/>
      <c r="AP62" s="281"/>
      <c r="AQ62" s="281"/>
      <c r="AR62" s="281"/>
      <c r="AS62" s="281"/>
      <c r="AT62" s="281"/>
      <c r="AU62" s="281"/>
      <c r="AV62" s="281"/>
      <c r="AW62" s="281"/>
      <c r="AX62" s="281"/>
      <c r="AY62" s="281"/>
      <c r="AZ62" s="281"/>
      <c r="BA62" s="281"/>
      <c r="BB62" s="281"/>
      <c r="BC62" s="281"/>
      <c r="BD62" s="281"/>
      <c r="BE62" s="281"/>
      <c r="BF62" s="281"/>
      <c r="BG62" s="281"/>
      <c r="BH62" s="281"/>
      <c r="BI62" s="281"/>
      <c r="BJ62" s="281"/>
      <c r="BK62" s="281"/>
      <c r="BL62" s="281"/>
      <c r="BM62" s="281"/>
      <c r="BN62" s="289"/>
      <c r="BO62" s="281"/>
      <c r="BP62" s="281"/>
      <c r="BQ62" s="281"/>
      <c r="BR62" s="281"/>
      <c r="BS62" s="281"/>
      <c r="BT62" s="281"/>
      <c r="BU62" s="281"/>
      <c r="BV62" s="281"/>
      <c r="BW62" s="281"/>
      <c r="BX62" s="281"/>
      <c r="BY62" s="281"/>
      <c r="BZ62" s="281"/>
      <c r="CA62" s="281"/>
      <c r="CB62" s="281"/>
      <c r="CC62" s="281"/>
      <c r="CD62" s="281"/>
      <c r="CE62" s="281"/>
      <c r="CF62" s="281"/>
      <c r="CG62" s="281"/>
      <c r="CH62" s="281"/>
      <c r="CI62" s="281"/>
      <c r="CJ62" s="281"/>
      <c r="CK62" s="289"/>
      <c r="CL62" s="281"/>
      <c r="CM62" s="281"/>
      <c r="CN62" s="281"/>
      <c r="CO62" s="281"/>
      <c r="CP62" s="320"/>
      <c r="CQ62" s="320"/>
      <c r="CR62" s="320"/>
      <c r="CS62" s="320"/>
      <c r="CT62" s="320"/>
      <c r="CU62" s="320"/>
      <c r="CV62" s="320"/>
      <c r="CW62" s="320"/>
      <c r="CX62" s="320"/>
      <c r="CY62" s="320"/>
      <c r="CZ62" s="320"/>
      <c r="DA62" s="320"/>
      <c r="DB62" s="320"/>
      <c r="DC62" s="320"/>
      <c r="DD62" s="654"/>
      <c r="DE62" s="320"/>
      <c r="DF62" s="320"/>
      <c r="DG62" s="320"/>
      <c r="DH62" s="320"/>
      <c r="DI62" s="320"/>
      <c r="DJ62" s="320"/>
      <c r="DK62" s="654"/>
      <c r="DL62" s="344"/>
      <c r="DM62" s="320"/>
      <c r="DN62" s="320"/>
      <c r="DO62" s="320"/>
      <c r="DP62" s="320"/>
      <c r="DQ62" s="320"/>
      <c r="DR62" s="670"/>
      <c r="DS62" s="290"/>
      <c r="DT62" s="282"/>
      <c r="DU62" s="282"/>
      <c r="DV62" s="282"/>
      <c r="DW62" s="282"/>
      <c r="DX62" s="282"/>
      <c r="DY62" s="670"/>
      <c r="DZ62" s="282"/>
      <c r="EA62" s="282"/>
      <c r="EB62" s="282"/>
      <c r="EC62" s="282"/>
      <c r="ED62" s="282"/>
      <c r="EE62" s="282"/>
      <c r="EF62" s="670">
        <v>-19.5</v>
      </c>
      <c r="EG62" s="290">
        <v>-6.2</v>
      </c>
      <c r="EH62" s="290">
        <v>-6.6</v>
      </c>
      <c r="EI62" s="282">
        <f>EG62+EH62</f>
        <v>-12.8</v>
      </c>
      <c r="EJ62" s="290">
        <v>-3.9</v>
      </c>
      <c r="EK62" s="282"/>
      <c r="EL62" s="282"/>
      <c r="EM62" s="670">
        <v>-21</v>
      </c>
      <c r="EN62" s="697">
        <f>-2.1</f>
        <v>-2.1</v>
      </c>
      <c r="EO62" s="290">
        <v>0</v>
      </c>
      <c r="EP62" s="282">
        <f>EN62+EO62</f>
        <v>-2.1</v>
      </c>
      <c r="EQ62" s="710">
        <v>0.7</v>
      </c>
      <c r="ER62" s="320">
        <f>EQ62</f>
        <v>0.7</v>
      </c>
      <c r="ES62" s="320">
        <f>EQ62+ER62</f>
        <v>1.4</v>
      </c>
      <c r="ET62" s="583">
        <f>EP62+ES62</f>
        <v>-0.70000000000000018</v>
      </c>
      <c r="EU62" s="320">
        <v>-2</v>
      </c>
      <c r="EV62" s="320">
        <f>EU62</f>
        <v>-2</v>
      </c>
      <c r="EW62" s="320">
        <f>EU62+EV62</f>
        <v>-4</v>
      </c>
      <c r="EX62" s="320">
        <f>EV62</f>
        <v>-2</v>
      </c>
      <c r="EY62" s="320">
        <f>EX62</f>
        <v>-2</v>
      </c>
      <c r="EZ62" s="320">
        <f>EX62+EY62</f>
        <v>-4</v>
      </c>
      <c r="FA62" s="583">
        <f>EW62+EZ62</f>
        <v>-8</v>
      </c>
      <c r="FB62" s="320">
        <f>EY62</f>
        <v>-2</v>
      </c>
      <c r="FC62" s="320">
        <f>FB62</f>
        <v>-2</v>
      </c>
      <c r="FD62" s="320">
        <f>FB62+FC62</f>
        <v>-4</v>
      </c>
      <c r="FE62" s="320">
        <f>FC62</f>
        <v>-2</v>
      </c>
      <c r="FF62" s="320">
        <f>FE62</f>
        <v>-2</v>
      </c>
      <c r="FG62" s="320">
        <f>FE62+FF62</f>
        <v>-4</v>
      </c>
      <c r="FH62" s="583">
        <f>FD62+FG62</f>
        <v>-8</v>
      </c>
      <c r="FI62" s="320">
        <f>FF62</f>
        <v>-2</v>
      </c>
      <c r="FJ62" s="320">
        <f>FI62</f>
        <v>-2</v>
      </c>
      <c r="FK62" s="320">
        <f>FI62+FJ62</f>
        <v>-4</v>
      </c>
      <c r="FL62" s="320">
        <f>FJ62</f>
        <v>-2</v>
      </c>
      <c r="FM62" s="320">
        <f>FL62</f>
        <v>-2</v>
      </c>
      <c r="FN62" s="320">
        <f>FL62+FM62</f>
        <v>-4</v>
      </c>
      <c r="FO62" s="583">
        <f>FK62+FN62</f>
        <v>-8</v>
      </c>
      <c r="FP62" s="320">
        <f>FM62</f>
        <v>-2</v>
      </c>
      <c r="FQ62" s="320">
        <f>FP62</f>
        <v>-2</v>
      </c>
      <c r="FR62" s="320">
        <f>FP62+FQ62</f>
        <v>-4</v>
      </c>
      <c r="FS62" s="320">
        <f>FQ62</f>
        <v>-2</v>
      </c>
      <c r="FT62" s="320">
        <f>FS62</f>
        <v>-2</v>
      </c>
      <c r="FU62" s="320">
        <f>FS62+FT62</f>
        <v>-4</v>
      </c>
      <c r="FV62" s="583">
        <f>FR62+FU62</f>
        <v>-8</v>
      </c>
    </row>
    <row r="63" spans="1:179" outlineLevel="1" x14ac:dyDescent="0.3">
      <c r="B63" s="564" t="s">
        <v>638</v>
      </c>
      <c r="C63" s="280" t="s">
        <v>226</v>
      </c>
      <c r="D63" s="281"/>
      <c r="E63" s="281"/>
      <c r="F63" s="281"/>
      <c r="G63" s="281"/>
      <c r="H63" s="281"/>
      <c r="I63" s="281"/>
      <c r="J63" s="281"/>
      <c r="K63" s="281"/>
      <c r="L63" s="281"/>
      <c r="M63" s="281"/>
      <c r="N63" s="281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  <c r="AF63" s="281"/>
      <c r="AG63" s="281"/>
      <c r="AH63" s="281"/>
      <c r="AI63" s="281"/>
      <c r="AJ63" s="281"/>
      <c r="AK63" s="281"/>
      <c r="AL63" s="281"/>
      <c r="AM63" s="281"/>
      <c r="AN63" s="281"/>
      <c r="AO63" s="281"/>
      <c r="AP63" s="281"/>
      <c r="AQ63" s="281"/>
      <c r="AR63" s="281"/>
      <c r="AS63" s="281"/>
      <c r="AT63" s="281"/>
      <c r="AU63" s="281"/>
      <c r="AV63" s="281"/>
      <c r="AW63" s="281"/>
      <c r="AX63" s="281"/>
      <c r="AY63" s="281"/>
      <c r="AZ63" s="281"/>
      <c r="BA63" s="281"/>
      <c r="BB63" s="281"/>
      <c r="BC63" s="281"/>
      <c r="BD63" s="281"/>
      <c r="BE63" s="281"/>
      <c r="BF63" s="281"/>
      <c r="BG63" s="281"/>
      <c r="BH63" s="281"/>
      <c r="BI63" s="281"/>
      <c r="BJ63" s="281"/>
      <c r="BK63" s="281"/>
      <c r="BL63" s="281"/>
      <c r="BM63" s="281"/>
      <c r="BN63" s="289"/>
      <c r="BO63" s="281"/>
      <c r="BP63" s="281"/>
      <c r="BQ63" s="281"/>
      <c r="BR63" s="281"/>
      <c r="BS63" s="281"/>
      <c r="BT63" s="281"/>
      <c r="BU63" s="281"/>
      <c r="BV63" s="281"/>
      <c r="BW63" s="281"/>
      <c r="BX63" s="281"/>
      <c r="BY63" s="281"/>
      <c r="BZ63" s="281"/>
      <c r="CA63" s="281"/>
      <c r="CB63" s="281"/>
      <c r="CC63" s="281"/>
      <c r="CD63" s="281"/>
      <c r="CE63" s="281"/>
      <c r="CF63" s="281"/>
      <c r="CG63" s="281"/>
      <c r="CH63" s="281"/>
      <c r="CI63" s="281"/>
      <c r="CJ63" s="281"/>
      <c r="CK63" s="289"/>
      <c r="CL63" s="281"/>
      <c r="CM63" s="281"/>
      <c r="CN63" s="281"/>
      <c r="CO63" s="281"/>
      <c r="CP63" s="320"/>
      <c r="CQ63" s="320"/>
      <c r="CR63" s="320"/>
      <c r="CS63" s="320"/>
      <c r="CT63" s="320"/>
      <c r="CU63" s="320"/>
      <c r="CV63" s="320"/>
      <c r="CW63" s="320"/>
      <c r="CX63" s="320"/>
      <c r="CY63" s="320"/>
      <c r="CZ63" s="320"/>
      <c r="DA63" s="320"/>
      <c r="DB63" s="320"/>
      <c r="DC63" s="320"/>
      <c r="DD63" s="654"/>
      <c r="DE63" s="320"/>
      <c r="DF63" s="320"/>
      <c r="DG63" s="320"/>
      <c r="DH63" s="320"/>
      <c r="DI63" s="320"/>
      <c r="DJ63" s="320"/>
      <c r="DK63" s="654"/>
      <c r="DL63" s="344"/>
      <c r="DM63" s="320"/>
      <c r="DN63" s="320"/>
      <c r="DO63" s="320"/>
      <c r="DP63" s="320"/>
      <c r="DQ63" s="320"/>
      <c r="DR63" s="670"/>
      <c r="DS63" s="290"/>
      <c r="DT63" s="282"/>
      <c r="DU63" s="282"/>
      <c r="DV63" s="282"/>
      <c r="DW63" s="282"/>
      <c r="DX63" s="282"/>
      <c r="DY63" s="670"/>
      <c r="DZ63" s="282"/>
      <c r="EA63" s="282"/>
      <c r="EB63" s="282"/>
      <c r="EC63" s="282"/>
      <c r="ED63" s="282"/>
      <c r="EE63" s="282"/>
      <c r="EF63" s="670">
        <v>-9</v>
      </c>
      <c r="EG63" s="290">
        <v>-3</v>
      </c>
      <c r="EH63" s="290">
        <v>-2.8</v>
      </c>
      <c r="EI63" s="282">
        <f>EG63+EH63</f>
        <v>-5.8</v>
      </c>
      <c r="EJ63" s="290">
        <v>-2.7</v>
      </c>
      <c r="EK63" s="282"/>
      <c r="EL63" s="282"/>
      <c r="EM63" s="670">
        <v>-10.9</v>
      </c>
      <c r="EN63" s="697"/>
      <c r="EO63" s="290">
        <v>0</v>
      </c>
      <c r="EP63" s="282">
        <f>EN63+EO63</f>
        <v>0</v>
      </c>
      <c r="EQ63" s="710">
        <v>0</v>
      </c>
      <c r="ER63" s="320">
        <f>-(ER174*ER155)/6</f>
        <v>0</v>
      </c>
      <c r="ES63" s="320">
        <f>EQ63+ER63</f>
        <v>0</v>
      </c>
      <c r="ET63" s="583">
        <f>EP63+ES63</f>
        <v>0</v>
      </c>
      <c r="EU63" s="320">
        <f>-(EU174*EU155)/4</f>
        <v>-0.59524119100247042</v>
      </c>
      <c r="EV63" s="320">
        <f>-(EV174*EV155)/4</f>
        <v>-0.59524119100247042</v>
      </c>
      <c r="EW63" s="320">
        <f>EU63+EV63</f>
        <v>-1.1904823820049408</v>
      </c>
      <c r="EX63" s="320">
        <f>-(EX174*EX155)/4</f>
        <v>-0.59524119100247042</v>
      </c>
      <c r="EY63" s="320">
        <f>-(EY174*EY155)/4</f>
        <v>-0.59524119100247042</v>
      </c>
      <c r="EZ63" s="320">
        <f>EX63+EY63</f>
        <v>-1.1904823820049408</v>
      </c>
      <c r="FA63" s="583">
        <f>EW63+EZ63</f>
        <v>-2.3809647640098817</v>
      </c>
      <c r="FB63" s="320">
        <f>-(FB174*FB155)/4</f>
        <v>-0.59524119100247042</v>
      </c>
      <c r="FC63" s="320">
        <f>-(FC174*FC155)/4</f>
        <v>-0.59524119100247042</v>
      </c>
      <c r="FD63" s="320">
        <f>FB63+FC63</f>
        <v>-1.1904823820049408</v>
      </c>
      <c r="FE63" s="320">
        <f>-(FE174*FE155)/4</f>
        <v>-0.59524119100247042</v>
      </c>
      <c r="FF63" s="320">
        <f>-(FF174*FF155)/4</f>
        <v>-0.59524119100247042</v>
      </c>
      <c r="FG63" s="320">
        <f>FE63+FF63</f>
        <v>-1.1904823820049408</v>
      </c>
      <c r="FH63" s="583">
        <f>FD63+FG63</f>
        <v>-2.3809647640098817</v>
      </c>
      <c r="FI63" s="320">
        <f>-(FI174*FI155)/4</f>
        <v>-0.59524119100247042</v>
      </c>
      <c r="FJ63" s="320">
        <f>-(FJ174*FJ155)/4</f>
        <v>-0.59524119100247042</v>
      </c>
      <c r="FK63" s="320">
        <f>FI63+FJ63</f>
        <v>-1.1904823820049408</v>
      </c>
      <c r="FL63" s="320">
        <f>-(FL174*FL155)/4</f>
        <v>-0.59524119100247042</v>
      </c>
      <c r="FM63" s="320">
        <f>-(FM174*FM155)/4</f>
        <v>-0.59524119100247042</v>
      </c>
      <c r="FN63" s="320">
        <f>FL63+FM63</f>
        <v>-1.1904823820049408</v>
      </c>
      <c r="FO63" s="583">
        <f>FK63+FN63</f>
        <v>-2.3809647640098817</v>
      </c>
      <c r="FP63" s="320">
        <f>-(FP174*FP155)/4</f>
        <v>-0.59524119100247042</v>
      </c>
      <c r="FQ63" s="320">
        <f>-(FQ174*FQ155)/4</f>
        <v>-0.59524119100247042</v>
      </c>
      <c r="FR63" s="320">
        <f>FP63+FQ63</f>
        <v>-1.1904823820049408</v>
      </c>
      <c r="FS63" s="320">
        <f>-(FS174*FS155)/4</f>
        <v>-0.59524119100247042</v>
      </c>
      <c r="FT63" s="320">
        <f>-(FT174*FT155)/4</f>
        <v>-0.59524119100247042</v>
      </c>
      <c r="FU63" s="320">
        <f>FS63+FT63</f>
        <v>-1.1904823820049408</v>
      </c>
      <c r="FV63" s="583">
        <f>FR63+FU63</f>
        <v>-2.3809647640098817</v>
      </c>
    </row>
    <row r="64" spans="1:179" outlineLevel="1" x14ac:dyDescent="0.3">
      <c r="B64" s="354" t="s">
        <v>432</v>
      </c>
      <c r="C64" s="280" t="s">
        <v>226</v>
      </c>
      <c r="E64" s="281"/>
      <c r="H64" s="281"/>
      <c r="I64" s="281"/>
      <c r="J64" s="281"/>
      <c r="K64" s="281"/>
      <c r="L64" s="281"/>
      <c r="M64" s="281"/>
      <c r="N64" s="281"/>
      <c r="O64" s="281"/>
      <c r="P64" s="281"/>
      <c r="Q64" s="281"/>
      <c r="R64" s="289">
        <v>1.6</v>
      </c>
      <c r="S64" s="289">
        <v>2.6</v>
      </c>
      <c r="T64" s="281">
        <f>S64+R64</f>
        <v>4.2</v>
      </c>
      <c r="U64" s="289">
        <v>2.8</v>
      </c>
      <c r="V64" s="289">
        <v>2.4</v>
      </c>
      <c r="W64" s="281">
        <f>V64+U64</f>
        <v>5.1999999999999993</v>
      </c>
      <c r="X64" s="281">
        <f>W64+T64</f>
        <v>9.3999999999999986</v>
      </c>
      <c r="Y64" s="289">
        <v>0.9</v>
      </c>
      <c r="Z64" s="289">
        <v>2.2999999999999998</v>
      </c>
      <c r="AA64" s="281">
        <f>Y64+Z64</f>
        <v>3.1999999999999997</v>
      </c>
      <c r="AB64" s="289">
        <v>1.6</v>
      </c>
      <c r="AC64" s="289">
        <v>1.6</v>
      </c>
      <c r="AD64" s="281">
        <f>AC64+AB64</f>
        <v>3.2</v>
      </c>
      <c r="AE64" s="281">
        <f>AD64+AA64</f>
        <v>6.4</v>
      </c>
      <c r="AF64" s="326">
        <f>0.7</f>
        <v>0.7</v>
      </c>
      <c r="AG64" s="289">
        <v>1</v>
      </c>
      <c r="AH64" s="281">
        <f>AG64+AF64</f>
        <v>1.7</v>
      </c>
      <c r="AI64" s="289">
        <v>0.9</v>
      </c>
      <c r="AJ64" s="326">
        <f>0.7</f>
        <v>0.7</v>
      </c>
      <c r="AK64" s="281">
        <f>AJ64+AI64</f>
        <v>1.6</v>
      </c>
      <c r="AL64" s="281">
        <f>AK64+AH64</f>
        <v>3.3</v>
      </c>
      <c r="AM64" s="289">
        <v>0.6</v>
      </c>
      <c r="AN64" s="289">
        <v>1.1000000000000001</v>
      </c>
      <c r="AO64" s="281">
        <f>AN64+AM64</f>
        <v>1.7000000000000002</v>
      </c>
      <c r="AP64" s="289">
        <v>0.7</v>
      </c>
      <c r="AQ64" s="289">
        <v>1.9</v>
      </c>
      <c r="AR64" s="281">
        <f>AQ64+AP64</f>
        <v>2.5999999999999996</v>
      </c>
      <c r="AS64" s="281">
        <f>AR64+AO64</f>
        <v>4.3</v>
      </c>
      <c r="AT64" s="289">
        <v>0.5</v>
      </c>
      <c r="AU64" s="289">
        <v>0.9</v>
      </c>
      <c r="AV64" s="281">
        <f>AU64+AT64</f>
        <v>1.4</v>
      </c>
      <c r="AW64" s="289">
        <v>0.8</v>
      </c>
      <c r="AX64" s="289">
        <v>1.1000000000000001</v>
      </c>
      <c r="AY64" s="281">
        <f>+AX64+AW64</f>
        <v>1.9000000000000001</v>
      </c>
      <c r="AZ64" s="281">
        <f>AY64+AV64</f>
        <v>3.3</v>
      </c>
      <c r="BA64" s="289">
        <v>1.1000000000000001</v>
      </c>
      <c r="BB64" s="289">
        <v>1.1000000000000001</v>
      </c>
      <c r="BC64" s="281">
        <f>BB64+BA64</f>
        <v>2.2000000000000002</v>
      </c>
      <c r="BD64" s="289">
        <v>3.4</v>
      </c>
      <c r="BE64" s="289">
        <v>1.4</v>
      </c>
      <c r="BF64" s="281">
        <f>BE64+BD64</f>
        <v>4.8</v>
      </c>
      <c r="BG64" s="281">
        <f>BF64+BC64</f>
        <v>7</v>
      </c>
      <c r="BH64" s="289">
        <v>1.1000000000000001</v>
      </c>
      <c r="BI64" s="289">
        <v>0.7</v>
      </c>
      <c r="BJ64" s="281">
        <f>BI64+BH64</f>
        <v>1.8</v>
      </c>
      <c r="BK64" s="289">
        <v>0.6</v>
      </c>
      <c r="BL64" s="289">
        <v>0.5</v>
      </c>
      <c r="BM64" s="281">
        <f>BL64+BK64</f>
        <v>1.1000000000000001</v>
      </c>
      <c r="BN64" s="281">
        <f t="shared" ref="BN64:BN69" si="102">BM64+BJ64</f>
        <v>2.9000000000000004</v>
      </c>
      <c r="BO64" s="289">
        <v>-0.2</v>
      </c>
      <c r="BP64" s="289">
        <v>0.7</v>
      </c>
      <c r="BQ64" s="281">
        <f>BP64+BO64</f>
        <v>0.49999999999999994</v>
      </c>
      <c r="BR64" s="289">
        <v>0.5</v>
      </c>
      <c r="BS64" s="289">
        <v>0.4</v>
      </c>
      <c r="BT64" s="281">
        <f>BS64+BR64</f>
        <v>0.9</v>
      </c>
      <c r="BU64" s="281">
        <f>BT64+BQ64</f>
        <v>1.4</v>
      </c>
      <c r="BV64" s="289">
        <f>0.1</f>
        <v>0.1</v>
      </c>
      <c r="BW64" s="289">
        <v>-0.1</v>
      </c>
      <c r="BX64" s="281">
        <f>BW64+BV64</f>
        <v>0</v>
      </c>
      <c r="BY64" s="289">
        <v>-0.1</v>
      </c>
      <c r="BZ64" s="289">
        <v>-0.2</v>
      </c>
      <c r="CA64" s="281">
        <f>+BZ64+BY64</f>
        <v>-0.30000000000000004</v>
      </c>
      <c r="CB64" s="281">
        <f>CA64+BX64</f>
        <v>-0.30000000000000004</v>
      </c>
      <c r="CC64" s="289">
        <v>-0.7</v>
      </c>
      <c r="CD64" s="289">
        <v>0.1</v>
      </c>
      <c r="CE64" s="281">
        <f>CD64+CC64</f>
        <v>-0.6</v>
      </c>
      <c r="CF64" s="289">
        <v>-0.2</v>
      </c>
      <c r="CG64" s="289">
        <v>0.4</v>
      </c>
      <c r="CH64" s="281">
        <f>+CG64+CF64</f>
        <v>0.2</v>
      </c>
      <c r="CI64" s="281">
        <f>CH64+CE64</f>
        <v>-0.39999999999999997</v>
      </c>
      <c r="CJ64" s="289">
        <f>0.1</f>
        <v>0.1</v>
      </c>
      <c r="CK64" s="289"/>
      <c r="CL64" s="281">
        <f>CK64+CJ64</f>
        <v>0.1</v>
      </c>
      <c r="CM64" s="289">
        <v>0.3</v>
      </c>
      <c r="CN64" s="289">
        <f>-1.7</f>
        <v>-1.7</v>
      </c>
      <c r="CO64" s="281">
        <f>CN64+CM64</f>
        <v>-1.4</v>
      </c>
      <c r="CP64" s="320">
        <f>CO64+CL64</f>
        <v>-1.2999999999999998</v>
      </c>
      <c r="CQ64" s="340">
        <v>0.3</v>
      </c>
      <c r="CR64" s="340">
        <v>0.5</v>
      </c>
      <c r="CS64" s="320">
        <f>CR64+CQ64</f>
        <v>0.8</v>
      </c>
      <c r="CT64" s="340">
        <v>0.7</v>
      </c>
      <c r="CU64" s="342">
        <v>-1.7</v>
      </c>
      <c r="CV64" s="320">
        <f>SUM(CT64:CU64)</f>
        <v>-1</v>
      </c>
      <c r="CW64" s="320">
        <f>CV64+CS64</f>
        <v>-0.19999999999999996</v>
      </c>
      <c r="CX64" s="342">
        <v>0.2</v>
      </c>
      <c r="CY64" s="340">
        <v>0</v>
      </c>
      <c r="CZ64" s="320">
        <f>SUM(CX64:CY64)</f>
        <v>0.2</v>
      </c>
      <c r="DA64" s="340">
        <v>0.3</v>
      </c>
      <c r="DB64" s="340">
        <f>+-2.6-0.5</f>
        <v>-3.1</v>
      </c>
      <c r="DC64" s="320">
        <f>SUM(DA64:DB64)</f>
        <v>-2.8000000000000003</v>
      </c>
      <c r="DD64" s="661">
        <f>DC64+CZ64</f>
        <v>-2.6</v>
      </c>
      <c r="DE64" s="340">
        <v>-0.1</v>
      </c>
      <c r="DF64" s="340">
        <v>0.1</v>
      </c>
      <c r="DG64" s="320">
        <f>SUM(DE64:DF64)</f>
        <v>0</v>
      </c>
      <c r="DH64" s="340">
        <f>-2.4+0.1</f>
        <v>-2.2999999999999998</v>
      </c>
      <c r="DI64" s="320">
        <f>+DJ64-DH64</f>
        <v>15.399999999999999</v>
      </c>
      <c r="DJ64" s="320">
        <f>+DK64-DG64</f>
        <v>13.1</v>
      </c>
      <c r="DK64" s="661">
        <v>13.1</v>
      </c>
      <c r="DL64" s="343"/>
      <c r="DM64" s="340">
        <v>0.1</v>
      </c>
      <c r="DN64" s="320">
        <f>SUM(DL64:DM64)</f>
        <v>0.1</v>
      </c>
      <c r="DO64" s="340">
        <f>+-0.5-0.2</f>
        <v>-0.7</v>
      </c>
      <c r="DP64" s="320">
        <f>+DQ64-DO64</f>
        <v>-1.3</v>
      </c>
      <c r="DQ64" s="320">
        <f>+DR64-DN64</f>
        <v>-2</v>
      </c>
      <c r="DR64" s="687">
        <v>-1.9</v>
      </c>
      <c r="DS64" s="290"/>
      <c r="DT64" s="290">
        <v>1.1000000000000001</v>
      </c>
      <c r="DU64" s="282">
        <f>SUM(DS64:DT64)</f>
        <v>1.1000000000000001</v>
      </c>
      <c r="DV64" s="290">
        <f>-2+-0.6+-1.5</f>
        <v>-4.0999999999999996</v>
      </c>
      <c r="DW64" s="282">
        <f>+DX64-DV64</f>
        <v>-5.5</v>
      </c>
      <c r="DX64" s="282">
        <f>+DY64-DU64</f>
        <v>-9.6</v>
      </c>
      <c r="DY64" s="687">
        <v>-8.5</v>
      </c>
      <c r="DZ64" s="290">
        <f>-3.8+-1.5+-2.3</f>
        <v>-7.6</v>
      </c>
      <c r="EA64" s="290">
        <f>-4.2+-1.2+-2.2</f>
        <v>-7.6000000000000005</v>
      </c>
      <c r="EB64" s="282">
        <f>SUM(DZ64:EA64)</f>
        <v>-15.2</v>
      </c>
      <c r="EC64" s="290">
        <f>-5.3-4.1-2.2</f>
        <v>-11.599999999999998</v>
      </c>
      <c r="ED64" s="282">
        <f>+EE64-EC64</f>
        <v>-1.7000000000000028</v>
      </c>
      <c r="EE64" s="282">
        <f>+EF64-EB64</f>
        <v>-13.3</v>
      </c>
      <c r="EF64" s="687">
        <f>EF62+EF63</f>
        <v>-28.5</v>
      </c>
      <c r="EG64" s="282">
        <f>EG62+EG63</f>
        <v>-9.1999999999999993</v>
      </c>
      <c r="EH64" s="282">
        <f>EH62+EH63</f>
        <v>-9.3999999999999986</v>
      </c>
      <c r="EI64" s="282">
        <f>SUM(EG64:EH64)</f>
        <v>-18.599999999999998</v>
      </c>
      <c r="EJ64" s="282">
        <f>EJ62+EJ63</f>
        <v>-6.6</v>
      </c>
      <c r="EK64" s="282">
        <f>+EL64-EJ64</f>
        <v>-6.7000000000000011</v>
      </c>
      <c r="EL64" s="282">
        <f>+EM64-EI64</f>
        <v>-13.3</v>
      </c>
      <c r="EM64" s="687">
        <f>EM62+EM63</f>
        <v>-31.9</v>
      </c>
      <c r="EN64" s="540">
        <f>EN62+EN63</f>
        <v>-2.1</v>
      </c>
      <c r="EO64" s="282">
        <f>EO62+EO63</f>
        <v>0</v>
      </c>
      <c r="EP64" s="282">
        <f>SUM(EN64:EO64)</f>
        <v>-2.1</v>
      </c>
      <c r="EQ64" s="547">
        <f>EQ62+EQ63</f>
        <v>0.7</v>
      </c>
      <c r="ER64" s="540">
        <f>ER62+ER63</f>
        <v>0.7</v>
      </c>
      <c r="ES64" s="320">
        <f>ER64+EQ64</f>
        <v>1.4</v>
      </c>
      <c r="ET64" s="583">
        <f>ES64+EP64</f>
        <v>-0.70000000000000018</v>
      </c>
      <c r="EU64" s="540">
        <f>EU62+EU63</f>
        <v>-2.5952411910024704</v>
      </c>
      <c r="EV64" s="540">
        <f>EV62+EV63</f>
        <v>-2.5952411910024704</v>
      </c>
      <c r="EW64" s="320">
        <f>EV64+EU64</f>
        <v>-5.1904823820049408</v>
      </c>
      <c r="EX64" s="540">
        <f>EX62+EX63</f>
        <v>-2.5952411910024704</v>
      </c>
      <c r="EY64" s="540">
        <f>EY62+EY63</f>
        <v>-2.5952411910024704</v>
      </c>
      <c r="EZ64" s="320">
        <f>EY64+EX64</f>
        <v>-5.1904823820049408</v>
      </c>
      <c r="FA64" s="583">
        <f>EZ64+EW64</f>
        <v>-10.380964764009882</v>
      </c>
      <c r="FB64" s="540">
        <f>FB62+FB63</f>
        <v>-2.5952411910024704</v>
      </c>
      <c r="FC64" s="540">
        <f>FC62+FC63</f>
        <v>-2.5952411910024704</v>
      </c>
      <c r="FD64" s="320">
        <f>FC64+FB64</f>
        <v>-5.1904823820049408</v>
      </c>
      <c r="FE64" s="540">
        <f>FE62+FE63</f>
        <v>-2.5952411910024704</v>
      </c>
      <c r="FF64" s="540">
        <f>FF62+FF63</f>
        <v>-2.5952411910024704</v>
      </c>
      <c r="FG64" s="320">
        <f>FF64+FE64</f>
        <v>-5.1904823820049408</v>
      </c>
      <c r="FH64" s="583">
        <f>FG64+FD64</f>
        <v>-10.380964764009882</v>
      </c>
      <c r="FI64" s="540">
        <f>FI62+FI63</f>
        <v>-2.5952411910024704</v>
      </c>
      <c r="FJ64" s="540">
        <f>FJ62+FJ63</f>
        <v>-2.5952411910024704</v>
      </c>
      <c r="FK64" s="320">
        <f>FJ64+FI64</f>
        <v>-5.1904823820049408</v>
      </c>
      <c r="FL64" s="540">
        <f>FL62+FL63</f>
        <v>-2.5952411910024704</v>
      </c>
      <c r="FM64" s="540">
        <f>FM62+FM63</f>
        <v>-2.5952411910024704</v>
      </c>
      <c r="FN64" s="320">
        <f>FM64+FL64</f>
        <v>-5.1904823820049408</v>
      </c>
      <c r="FO64" s="583">
        <f>FN64+FK64</f>
        <v>-10.380964764009882</v>
      </c>
      <c r="FP64" s="540">
        <f>FP62+FP63</f>
        <v>-2.5952411910024704</v>
      </c>
      <c r="FQ64" s="540">
        <f>FQ62+FQ63</f>
        <v>-2.5952411910024704</v>
      </c>
      <c r="FR64" s="320">
        <f>FQ64+FP64</f>
        <v>-5.1904823820049408</v>
      </c>
      <c r="FS64" s="540">
        <f>FS62+FS63</f>
        <v>-2.5952411910024704</v>
      </c>
      <c r="FT64" s="540">
        <f>FT62+FT63</f>
        <v>-2.5952411910024704</v>
      </c>
      <c r="FU64" s="320">
        <f>FT64+FS64</f>
        <v>-5.1904823820049408</v>
      </c>
      <c r="FV64" s="583">
        <f>FU64+FR64</f>
        <v>-10.380964764009882</v>
      </c>
    </row>
    <row r="65" spans="1:280" s="331" customFormat="1" outlineLevel="1" x14ac:dyDescent="0.3">
      <c r="A65" s="355"/>
      <c r="B65" s="356" t="s">
        <v>433</v>
      </c>
      <c r="C65" s="357" t="s">
        <v>226</v>
      </c>
      <c r="D65" s="358">
        <f t="shared" ref="D65:AQ65" si="103">D60+D61-D64</f>
        <v>-0.7</v>
      </c>
      <c r="E65" s="358">
        <f t="shared" si="103"/>
        <v>-0.99999999999999978</v>
      </c>
      <c r="F65" s="358">
        <f t="shared" si="103"/>
        <v>-1.7000000000000002</v>
      </c>
      <c r="G65" s="358">
        <f t="shared" si="103"/>
        <v>0.79999999999999982</v>
      </c>
      <c r="H65" s="358">
        <f t="shared" si="103"/>
        <v>0.70000000000000018</v>
      </c>
      <c r="I65" s="358">
        <f t="shared" si="103"/>
        <v>1.5</v>
      </c>
      <c r="J65" s="359">
        <f t="shared" si="103"/>
        <v>-0.20000000000000018</v>
      </c>
      <c r="K65" s="359">
        <f t="shared" si="103"/>
        <v>-1.9999999999999996</v>
      </c>
      <c r="L65" s="359">
        <f t="shared" si="103"/>
        <v>1</v>
      </c>
      <c r="M65" s="359">
        <f t="shared" si="103"/>
        <v>-1</v>
      </c>
      <c r="N65" s="359">
        <f t="shared" si="103"/>
        <v>-1.3</v>
      </c>
      <c r="O65" s="359">
        <f t="shared" si="103"/>
        <v>-4.2</v>
      </c>
      <c r="P65" s="359">
        <f t="shared" si="103"/>
        <v>-5.5</v>
      </c>
      <c r="Q65" s="359">
        <f t="shared" si="103"/>
        <v>-6.5</v>
      </c>
      <c r="R65" s="359">
        <f t="shared" si="103"/>
        <v>-1.1000000000000001</v>
      </c>
      <c r="S65" s="359">
        <f t="shared" si="103"/>
        <v>-0.60000000000000009</v>
      </c>
      <c r="T65" s="359">
        <f t="shared" si="103"/>
        <v>-1.7000000000000002</v>
      </c>
      <c r="U65" s="359">
        <f t="shared" si="103"/>
        <v>-1.9999999999999996</v>
      </c>
      <c r="V65" s="359">
        <f t="shared" si="103"/>
        <v>-4.6000000000000014</v>
      </c>
      <c r="W65" s="359">
        <f t="shared" si="103"/>
        <v>-6.6</v>
      </c>
      <c r="X65" s="359">
        <f t="shared" si="103"/>
        <v>-8.2999999999999989</v>
      </c>
      <c r="Y65" s="359">
        <f t="shared" si="103"/>
        <v>-2</v>
      </c>
      <c r="Z65" s="359">
        <f t="shared" si="103"/>
        <v>-1.9999999999999996</v>
      </c>
      <c r="AA65" s="359">
        <f t="shared" si="103"/>
        <v>-4</v>
      </c>
      <c r="AB65" s="359">
        <f t="shared" si="103"/>
        <v>-2.7</v>
      </c>
      <c r="AC65" s="359">
        <f t="shared" si="103"/>
        <v>-2.6999999999999993</v>
      </c>
      <c r="AD65" s="359">
        <f t="shared" si="103"/>
        <v>-5.3999999999999995</v>
      </c>
      <c r="AE65" s="359">
        <f t="shared" si="103"/>
        <v>-9.4</v>
      </c>
      <c r="AF65" s="359">
        <f t="shared" si="103"/>
        <v>-1.4</v>
      </c>
      <c r="AG65" s="359">
        <f t="shared" si="103"/>
        <v>-1.4</v>
      </c>
      <c r="AH65" s="359">
        <f t="shared" si="103"/>
        <v>-2.8</v>
      </c>
      <c r="AI65" s="359">
        <f t="shared" si="103"/>
        <v>-1.7000000000000002</v>
      </c>
      <c r="AJ65" s="359">
        <f t="shared" si="103"/>
        <v>-2.8000000000000007</v>
      </c>
      <c r="AK65" s="359">
        <f t="shared" si="103"/>
        <v>-4.5</v>
      </c>
      <c r="AL65" s="359">
        <f t="shared" si="103"/>
        <v>-7.3</v>
      </c>
      <c r="AM65" s="359">
        <f t="shared" si="103"/>
        <v>-1.7000000000000002</v>
      </c>
      <c r="AN65" s="359">
        <f t="shared" si="103"/>
        <v>-2</v>
      </c>
      <c r="AO65" s="359">
        <f t="shared" si="103"/>
        <v>-3.7</v>
      </c>
      <c r="AP65" s="359">
        <f t="shared" si="103"/>
        <v>-2</v>
      </c>
      <c r="AQ65" s="359">
        <f t="shared" si="103"/>
        <v>-3</v>
      </c>
      <c r="AR65" s="360">
        <f t="shared" ref="AR65:AR70" si="104">AQ65+AP65</f>
        <v>-5</v>
      </c>
      <c r="AS65" s="360">
        <f t="shared" si="98"/>
        <v>-8.6999999999999993</v>
      </c>
      <c r="AT65" s="359">
        <f t="shared" ref="AT65:BI65" si="105">AT60+AT61-AT64</f>
        <v>-1.5</v>
      </c>
      <c r="AU65" s="359">
        <f t="shared" si="105"/>
        <v>-2.1</v>
      </c>
      <c r="AV65" s="359">
        <f t="shared" si="105"/>
        <v>-3.5999999999999996</v>
      </c>
      <c r="AW65" s="359">
        <f t="shared" si="105"/>
        <v>-2.2999999999999998</v>
      </c>
      <c r="AX65" s="359">
        <f t="shared" si="105"/>
        <v>-4.7999999999999989</v>
      </c>
      <c r="AY65" s="359">
        <f t="shared" si="105"/>
        <v>-7.1</v>
      </c>
      <c r="AZ65" s="359">
        <f t="shared" si="105"/>
        <v>-10.7</v>
      </c>
      <c r="BA65" s="359">
        <f t="shared" si="105"/>
        <v>-0.90000000000000013</v>
      </c>
      <c r="BB65" s="359">
        <f t="shared" si="105"/>
        <v>-1.1000000000000001</v>
      </c>
      <c r="BC65" s="359">
        <f t="shared" si="105"/>
        <v>-2.0000000000000004</v>
      </c>
      <c r="BD65" s="359">
        <f t="shared" si="105"/>
        <v>-1.2999999999999998</v>
      </c>
      <c r="BE65" s="359">
        <f t="shared" si="105"/>
        <v>-1.2999999999999989</v>
      </c>
      <c r="BF65" s="359">
        <f t="shared" si="105"/>
        <v>-2.5999999999999988</v>
      </c>
      <c r="BG65" s="359">
        <f t="shared" si="105"/>
        <v>-4.5999999999999996</v>
      </c>
      <c r="BH65" s="359">
        <f t="shared" si="105"/>
        <v>-1.0000000000000002</v>
      </c>
      <c r="BI65" s="359">
        <f t="shared" si="105"/>
        <v>-1.0999999999999999</v>
      </c>
      <c r="BJ65" s="359">
        <f>+BI65+BH65</f>
        <v>-2.1</v>
      </c>
      <c r="BK65" s="359">
        <f>BK60+BK61-BK64</f>
        <v>-1</v>
      </c>
      <c r="BL65" s="361">
        <v>-0.9</v>
      </c>
      <c r="BM65" s="359">
        <f>+BL65+BK65</f>
        <v>-1.9</v>
      </c>
      <c r="BN65" s="360">
        <f t="shared" si="102"/>
        <v>-4</v>
      </c>
      <c r="BO65" s="359">
        <f>BO60+BO61-BO64</f>
        <v>-0.90000000000000013</v>
      </c>
      <c r="BP65" s="359">
        <f>BP60+BP61-BP64</f>
        <v>-1.6</v>
      </c>
      <c r="BQ65" s="359">
        <f>BQ60+BQ61-BQ64</f>
        <v>-2.5000000000000004</v>
      </c>
      <c r="BR65" s="359">
        <f>BR60+BR61-BR64</f>
        <v>-2.5</v>
      </c>
      <c r="BS65" s="359">
        <f>BS60+BS61-BS64</f>
        <v>-4.8000000000000007</v>
      </c>
      <c r="BT65" s="360">
        <f t="shared" si="99"/>
        <v>-7.3000000000000007</v>
      </c>
      <c r="BU65" s="359">
        <f t="shared" ref="BU65:CJ65" si="106">BU60+BU61-BU64</f>
        <v>-9.8000000000000007</v>
      </c>
      <c r="BV65" s="359">
        <f t="shared" si="106"/>
        <v>-5.9999999999999991</v>
      </c>
      <c r="BW65" s="359">
        <f t="shared" si="106"/>
        <v>-6.5000000000000009</v>
      </c>
      <c r="BX65" s="359">
        <f t="shared" si="106"/>
        <v>-12.5</v>
      </c>
      <c r="BY65" s="359">
        <f t="shared" si="106"/>
        <v>-6.6000000000000005</v>
      </c>
      <c r="BZ65" s="359">
        <f t="shared" si="106"/>
        <v>-5.9</v>
      </c>
      <c r="CA65" s="359">
        <f t="shared" si="106"/>
        <v>-12.5</v>
      </c>
      <c r="CB65" s="359">
        <f t="shared" si="106"/>
        <v>-25</v>
      </c>
      <c r="CC65" s="359">
        <f t="shared" si="106"/>
        <v>-5.3999999999999995</v>
      </c>
      <c r="CD65" s="359">
        <f t="shared" si="106"/>
        <v>-7.1</v>
      </c>
      <c r="CE65" s="359">
        <f t="shared" si="106"/>
        <v>-12.5</v>
      </c>
      <c r="CF65" s="359">
        <f t="shared" si="106"/>
        <v>-7</v>
      </c>
      <c r="CG65" s="359">
        <f t="shared" si="106"/>
        <v>-7.7</v>
      </c>
      <c r="CH65" s="359">
        <f t="shared" si="106"/>
        <v>-14.7</v>
      </c>
      <c r="CI65" s="359">
        <f t="shared" si="106"/>
        <v>-27.200000000000003</v>
      </c>
      <c r="CJ65" s="359">
        <f t="shared" si="106"/>
        <v>-6.6</v>
      </c>
      <c r="CK65" s="359">
        <f>-7.4</f>
        <v>-7.4</v>
      </c>
      <c r="CL65" s="359">
        <f t="shared" ref="CL65:DQ65" si="107">CL60+CL61-CL64</f>
        <v>-14</v>
      </c>
      <c r="CM65" s="359">
        <f t="shared" si="107"/>
        <v>-8.6000000000000014</v>
      </c>
      <c r="CN65" s="359">
        <f t="shared" si="107"/>
        <v>-8.8000000000000007</v>
      </c>
      <c r="CO65" s="359">
        <f t="shared" si="107"/>
        <v>-17.400000000000002</v>
      </c>
      <c r="CP65" s="362">
        <f t="shared" si="107"/>
        <v>-31.400000000000002</v>
      </c>
      <c r="CQ65" s="362">
        <f t="shared" si="107"/>
        <v>-10.899999999999999</v>
      </c>
      <c r="CR65" s="362">
        <f t="shared" si="107"/>
        <v>-13</v>
      </c>
      <c r="CS65" s="362">
        <f t="shared" si="107"/>
        <v>-23.9</v>
      </c>
      <c r="CT65" s="362">
        <f t="shared" si="107"/>
        <v>-14.400000000000002</v>
      </c>
      <c r="CU65" s="362">
        <f t="shared" si="107"/>
        <v>-13.8</v>
      </c>
      <c r="CV65" s="362">
        <f t="shared" si="107"/>
        <v>-28.200000000000003</v>
      </c>
      <c r="CW65" s="362">
        <f t="shared" si="107"/>
        <v>-52.099999999999994</v>
      </c>
      <c r="CX65" s="362">
        <f t="shared" si="107"/>
        <v>-13.899999999999999</v>
      </c>
      <c r="CY65" s="362">
        <f t="shared" si="107"/>
        <v>-14.199999999999998</v>
      </c>
      <c r="CZ65" s="362">
        <f t="shared" si="107"/>
        <v>-28.099999999999998</v>
      </c>
      <c r="DA65" s="362">
        <f t="shared" si="107"/>
        <v>-13.8</v>
      </c>
      <c r="DB65" s="362">
        <f t="shared" si="107"/>
        <v>-13.299999999999999</v>
      </c>
      <c r="DC65" s="362">
        <f t="shared" si="107"/>
        <v>-27.099999999999998</v>
      </c>
      <c r="DD65" s="662">
        <f t="shared" si="107"/>
        <v>-55.199999999999996</v>
      </c>
      <c r="DE65" s="362">
        <f t="shared" si="107"/>
        <v>-12.6</v>
      </c>
      <c r="DF65" s="362">
        <f t="shared" si="107"/>
        <v>-12.8</v>
      </c>
      <c r="DG65" s="362">
        <f t="shared" si="107"/>
        <v>-25.400000000000002</v>
      </c>
      <c r="DH65" s="362">
        <f t="shared" si="107"/>
        <v>-13.8</v>
      </c>
      <c r="DI65" s="362">
        <f t="shared" si="107"/>
        <v>-21.599999999999994</v>
      </c>
      <c r="DJ65" s="362">
        <f t="shared" si="107"/>
        <v>-35.4</v>
      </c>
      <c r="DK65" s="662">
        <f t="shared" si="107"/>
        <v>-60.8</v>
      </c>
      <c r="DL65" s="363">
        <f t="shared" si="107"/>
        <v>-10.399999999999999</v>
      </c>
      <c r="DM65" s="362">
        <f t="shared" si="107"/>
        <v>-10.1</v>
      </c>
      <c r="DN65" s="359">
        <f t="shared" si="107"/>
        <v>-20.5</v>
      </c>
      <c r="DO65" s="359">
        <f t="shared" si="107"/>
        <v>-10.600000000000001</v>
      </c>
      <c r="DP65" s="359">
        <f t="shared" si="107"/>
        <v>-9.1000000000000014</v>
      </c>
      <c r="DQ65" s="359">
        <f t="shared" si="107"/>
        <v>-19.700000000000003</v>
      </c>
      <c r="DR65" s="688">
        <f t="shared" ref="DR65:EW65" si="108">DR60+DR61-DR64</f>
        <v>-40.200000000000003</v>
      </c>
      <c r="DS65" s="689">
        <f t="shared" si="108"/>
        <v>-9</v>
      </c>
      <c r="DT65" s="689">
        <f t="shared" si="108"/>
        <v>-8.9</v>
      </c>
      <c r="DU65" s="689">
        <f t="shared" si="108"/>
        <v>-17.900000000000002</v>
      </c>
      <c r="DV65" s="690">
        <f t="shared" si="108"/>
        <v>-7</v>
      </c>
      <c r="DW65" s="689">
        <f t="shared" si="108"/>
        <v>-10.000000000000002</v>
      </c>
      <c r="DX65" s="689">
        <f t="shared" si="108"/>
        <v>-17</v>
      </c>
      <c r="DY65" s="688">
        <f t="shared" si="108"/>
        <v>-34.9</v>
      </c>
      <c r="DZ65" s="689">
        <f t="shared" si="108"/>
        <v>-5.8000000000000007</v>
      </c>
      <c r="EA65" s="689">
        <f>EA60+EA61-EA64</f>
        <v>-4.4999999999999991</v>
      </c>
      <c r="EB65" s="689">
        <f t="shared" si="108"/>
        <v>-10.3</v>
      </c>
      <c r="EC65" s="689">
        <f t="shared" si="108"/>
        <v>-3.1000000000000014</v>
      </c>
      <c r="ED65" s="689">
        <f t="shared" si="108"/>
        <v>-1.8999999999999968</v>
      </c>
      <c r="EE65" s="689">
        <f t="shared" si="108"/>
        <v>-4.9999999999999964</v>
      </c>
      <c r="EF65" s="688">
        <f t="shared" si="108"/>
        <v>-15.299999999999997</v>
      </c>
      <c r="EG65" s="689">
        <f t="shared" si="108"/>
        <v>-1.6999999999999993</v>
      </c>
      <c r="EH65" s="689">
        <f t="shared" ref="EH65:EL65" si="109">EH60+EH61-EH64</f>
        <v>-1.9000000000000004</v>
      </c>
      <c r="EI65" s="689">
        <f t="shared" si="109"/>
        <v>-3.6000000000000014</v>
      </c>
      <c r="EJ65" s="721">
        <f t="shared" si="109"/>
        <v>-3.7999999999999989</v>
      </c>
      <c r="EK65" s="689">
        <f t="shared" si="109"/>
        <v>-2.1000000000000032</v>
      </c>
      <c r="EL65" s="689">
        <f t="shared" si="109"/>
        <v>-5.9000000000000021</v>
      </c>
      <c r="EM65" s="688">
        <f>EM60+EM61-EM64</f>
        <v>-9.5000000000000071</v>
      </c>
      <c r="EN65" s="550">
        <f>EN60+EN61-EN64</f>
        <v>-5.5</v>
      </c>
      <c r="EO65" s="721">
        <f>EO60+EO61-EO64</f>
        <v>-65.400000000000006</v>
      </c>
      <c r="EP65" s="689">
        <f t="shared" ref="EP65" si="110">EP60+EP61-EP64</f>
        <v>-70.900000000000006</v>
      </c>
      <c r="EQ65" s="723">
        <v>-65.599999999999994</v>
      </c>
      <c r="ER65" s="362">
        <f t="shared" si="108"/>
        <v>-66.376825000000011</v>
      </c>
      <c r="ES65" s="362">
        <f t="shared" si="108"/>
        <v>-132.67682500000001</v>
      </c>
      <c r="ET65" s="596">
        <f>ET60+ET61-ET64</f>
        <v>-203.57682500000004</v>
      </c>
      <c r="EU65" s="362">
        <f t="shared" si="108"/>
        <v>-60.176408535583903</v>
      </c>
      <c r="EV65" s="362">
        <f t="shared" si="108"/>
        <v>-56.661587512133195</v>
      </c>
      <c r="EW65" s="362">
        <f t="shared" si="108"/>
        <v>-116.8379960477171</v>
      </c>
      <c r="EX65" s="362">
        <f t="shared" ref="EX65:FV65" si="111">EX60+EX61-EX64</f>
        <v>-55.458566477918765</v>
      </c>
      <c r="EY65" s="362">
        <f t="shared" si="111"/>
        <v>-53.058769131685246</v>
      </c>
      <c r="EZ65" s="362">
        <f t="shared" si="111"/>
        <v>-108.517335609604</v>
      </c>
      <c r="FA65" s="596">
        <f>FA60+FA61-FA64</f>
        <v>-225.3553316573211</v>
      </c>
      <c r="FB65" s="362">
        <f t="shared" si="111"/>
        <v>-52.114351492846232</v>
      </c>
      <c r="FC65" s="362">
        <f t="shared" si="111"/>
        <v>-47.895912479247521</v>
      </c>
      <c r="FD65" s="362">
        <f t="shared" si="111"/>
        <v>-100.01026397209375</v>
      </c>
      <c r="FE65" s="362">
        <f t="shared" si="111"/>
        <v>-46.14676584348247</v>
      </c>
      <c r="FF65" s="362">
        <f t="shared" si="111"/>
        <v>-42.902868074111247</v>
      </c>
      <c r="FG65" s="362">
        <f t="shared" si="111"/>
        <v>-89.049633917593724</v>
      </c>
      <c r="FH65" s="596">
        <f t="shared" si="111"/>
        <v>-189.05989788968748</v>
      </c>
      <c r="FI65" s="362">
        <f t="shared" si="111"/>
        <v>-41.378383230166094</v>
      </c>
      <c r="FJ65" s="362">
        <f t="shared" si="111"/>
        <v>-36.23515343017008</v>
      </c>
      <c r="FK65" s="362">
        <f t="shared" si="111"/>
        <v>-77.613536660336166</v>
      </c>
      <c r="FL65" s="362">
        <f t="shared" si="111"/>
        <v>-33.948817962830482</v>
      </c>
      <c r="FM65" s="362">
        <f t="shared" si="111"/>
        <v>-30.085767182921643</v>
      </c>
      <c r="FN65" s="362">
        <f t="shared" si="111"/>
        <v>-64.034585145752118</v>
      </c>
      <c r="FO65" s="596">
        <f t="shared" si="111"/>
        <v>-141.64812180608828</v>
      </c>
      <c r="FP65" s="362">
        <f t="shared" si="111"/>
        <v>-28.06829409996304</v>
      </c>
      <c r="FQ65" s="362">
        <f t="shared" si="111"/>
        <v>-22.243196917952183</v>
      </c>
      <c r="FR65" s="362">
        <f t="shared" si="111"/>
        <v>-50.31149101791523</v>
      </c>
      <c r="FS65" s="362">
        <f t="shared" si="111"/>
        <v>-19.397872712006759</v>
      </c>
      <c r="FT65" s="362">
        <f t="shared" si="111"/>
        <v>-14.851054519738335</v>
      </c>
      <c r="FU65" s="362">
        <f t="shared" si="111"/>
        <v>-34.2489272317451</v>
      </c>
      <c r="FV65" s="596">
        <f t="shared" si="111"/>
        <v>-84.56041824966033</v>
      </c>
      <c r="FW65" s="638"/>
      <c r="FX65" s="638"/>
      <c r="FY65" s="638"/>
      <c r="FZ65" s="638"/>
      <c r="GA65" s="638"/>
      <c r="GB65"/>
      <c r="GC65"/>
      <c r="GD65"/>
      <c r="GE65"/>
      <c r="GF65"/>
      <c r="GG65"/>
      <c r="GH65" s="637"/>
      <c r="GI65" s="637"/>
      <c r="GJ65" s="637"/>
      <c r="GK65" s="637"/>
      <c r="GL65" s="637"/>
      <c r="GM65" s="637"/>
      <c r="GN65" s="637"/>
      <c r="GO65" s="637"/>
      <c r="GP65" s="637"/>
      <c r="GQ65" s="637"/>
      <c r="GR65" s="637"/>
      <c r="GS65" s="637"/>
      <c r="GT65" s="637"/>
      <c r="GU65" s="637"/>
      <c r="GV65" s="637"/>
      <c r="GW65" s="637"/>
      <c r="GX65" s="637"/>
      <c r="GY65" s="637"/>
      <c r="GZ65" s="637"/>
      <c r="HA65" s="637"/>
      <c r="HB65" s="637"/>
      <c r="HC65" s="637"/>
      <c r="HD65" s="637"/>
      <c r="HE65" s="637"/>
      <c r="HF65" s="637"/>
      <c r="HG65" s="637"/>
      <c r="HH65" s="637"/>
      <c r="HI65" s="637"/>
      <c r="HJ65" s="637"/>
      <c r="HK65" s="637"/>
      <c r="HL65" s="637"/>
      <c r="HM65" s="637"/>
      <c r="HN65" s="637"/>
      <c r="HO65" s="637"/>
      <c r="HP65" s="637"/>
      <c r="HQ65" s="637"/>
      <c r="HR65" s="637"/>
      <c r="HS65" s="637"/>
      <c r="HT65" s="637"/>
      <c r="HU65" s="637"/>
      <c r="HV65" s="637"/>
      <c r="HW65" s="637"/>
      <c r="HX65" s="637"/>
      <c r="HY65" s="637"/>
      <c r="HZ65" s="637"/>
      <c r="IA65" s="637"/>
      <c r="IB65" s="637"/>
      <c r="IC65" s="637"/>
      <c r="ID65" s="637"/>
      <c r="IE65" s="637"/>
      <c r="IF65" s="637"/>
      <c r="IG65" s="637"/>
      <c r="IH65" s="637"/>
      <c r="II65" s="637"/>
      <c r="IJ65" s="637"/>
      <c r="IK65" s="637"/>
      <c r="IL65" s="637"/>
      <c r="IM65" s="637"/>
      <c r="IN65" s="637"/>
      <c r="IO65" s="637"/>
      <c r="IP65" s="637"/>
      <c r="IQ65" s="637"/>
      <c r="IR65" s="637"/>
      <c r="IS65" s="637"/>
      <c r="IT65" s="637"/>
      <c r="IU65" s="637"/>
      <c r="IV65" s="637"/>
      <c r="IW65" s="637"/>
      <c r="IX65" s="637"/>
      <c r="IY65" s="637"/>
      <c r="IZ65" s="637"/>
      <c r="JA65" s="637"/>
      <c r="JB65" s="637"/>
      <c r="JC65" s="637"/>
      <c r="JD65" s="637"/>
      <c r="JE65" s="637"/>
      <c r="JF65" s="637"/>
      <c r="JG65" s="637"/>
      <c r="JH65" s="637"/>
      <c r="JI65" s="637"/>
      <c r="JJ65" s="637"/>
      <c r="JK65" s="637"/>
      <c r="JL65" s="637"/>
      <c r="JM65" s="637"/>
      <c r="JN65" s="637"/>
      <c r="JO65" s="637"/>
      <c r="JP65" s="637"/>
      <c r="JQ65" s="637"/>
      <c r="JR65" s="637"/>
      <c r="JS65" s="637"/>
      <c r="JT65" s="637"/>
    </row>
    <row r="66" spans="1:280" s="247" customFormat="1" outlineLevel="1" x14ac:dyDescent="0.3">
      <c r="B66" s="354" t="s">
        <v>434</v>
      </c>
      <c r="C66" s="280" t="s">
        <v>226</v>
      </c>
      <c r="D66" s="305"/>
      <c r="E66" s="364">
        <v>-0.6</v>
      </c>
      <c r="F66" s="305"/>
      <c r="G66" s="305"/>
      <c r="H66" s="364">
        <v>-0.7</v>
      </c>
      <c r="I66" s="305"/>
      <c r="J66" s="305"/>
      <c r="K66" s="305">
        <f>0.9+0.4</f>
        <v>1.3</v>
      </c>
      <c r="L66" s="305"/>
      <c r="M66" s="305">
        <f>L66+K66</f>
        <v>1.3</v>
      </c>
      <c r="N66" s="305"/>
      <c r="O66" s="305"/>
      <c r="P66" s="305"/>
      <c r="Q66" s="305">
        <f>P66+M66</f>
        <v>1.3</v>
      </c>
      <c r="R66" s="305"/>
      <c r="S66" s="305"/>
      <c r="T66" s="305"/>
      <c r="U66" s="305"/>
      <c r="V66" s="305"/>
      <c r="W66" s="305"/>
      <c r="X66" s="305"/>
      <c r="Y66" s="305"/>
      <c r="Z66" s="305"/>
      <c r="AA66" s="305"/>
      <c r="AB66" s="305"/>
      <c r="AC66" s="305">
        <f>-14.8+14.8</f>
        <v>0</v>
      </c>
      <c r="AD66" s="305"/>
      <c r="AE66" s="305"/>
      <c r="AF66" s="365">
        <f>4.8-0.4</f>
        <v>4.3999999999999995</v>
      </c>
      <c r="AG66" s="365">
        <f>-1-1.9</f>
        <v>-2.9</v>
      </c>
      <c r="AH66" s="305">
        <f>AG66+AF66</f>
        <v>1.4999999999999996</v>
      </c>
      <c r="AI66" s="365">
        <f>2.2-2.4</f>
        <v>-0.19999999999999973</v>
      </c>
      <c r="AJ66" s="365">
        <f>0.3-2</f>
        <v>-1.7</v>
      </c>
      <c r="AK66" s="305">
        <f>AJ66+AI66</f>
        <v>-1.8999999999999997</v>
      </c>
      <c r="AL66" s="305">
        <f>AK66+AH66</f>
        <v>-0.40000000000000013</v>
      </c>
      <c r="AM66" s="364">
        <v>-4.4000000000000004</v>
      </c>
      <c r="AN66" s="364">
        <v>-2.9</v>
      </c>
      <c r="AO66" s="305">
        <f>AN66+AM66</f>
        <v>-7.3000000000000007</v>
      </c>
      <c r="AP66" s="364">
        <v>2.7</v>
      </c>
      <c r="AQ66" s="364">
        <v>0.9</v>
      </c>
      <c r="AR66" s="281">
        <f t="shared" si="104"/>
        <v>3.6</v>
      </c>
      <c r="AS66" s="281">
        <f t="shared" si="98"/>
        <v>-3.7000000000000006</v>
      </c>
      <c r="AT66" s="364">
        <v>-1.5</v>
      </c>
      <c r="AU66" s="364">
        <v>-0.5</v>
      </c>
      <c r="AV66" s="305">
        <f>+AU66+AT66</f>
        <v>-2</v>
      </c>
      <c r="AW66" s="305">
        <f>1.5</f>
        <v>1.5</v>
      </c>
      <c r="AX66" s="364">
        <v>3.5</v>
      </c>
      <c r="AY66" s="305">
        <f>+AX66+AW66</f>
        <v>5</v>
      </c>
      <c r="AZ66" s="305">
        <f>+AY66+AV66</f>
        <v>3</v>
      </c>
      <c r="BA66" s="364">
        <v>0.4</v>
      </c>
      <c r="BB66" s="364">
        <v>0.3</v>
      </c>
      <c r="BC66" s="305">
        <f>+BB66+BA66</f>
        <v>0.7</v>
      </c>
      <c r="BD66" s="364">
        <v>0.5</v>
      </c>
      <c r="BE66" s="364">
        <v>0.6</v>
      </c>
      <c r="BF66" s="305">
        <f>+BE66+BD66</f>
        <v>1.1000000000000001</v>
      </c>
      <c r="BG66" s="305">
        <f>+BF66+BC66</f>
        <v>1.8</v>
      </c>
      <c r="BH66" s="364">
        <v>0.1</v>
      </c>
      <c r="BI66" s="364">
        <v>0.1</v>
      </c>
      <c r="BJ66" s="305">
        <f>+BI66+BH66</f>
        <v>0.2</v>
      </c>
      <c r="BK66" s="364">
        <v>1.2</v>
      </c>
      <c r="BL66" s="364">
        <v>1.2</v>
      </c>
      <c r="BM66" s="305">
        <f>+BL66+BK66</f>
        <v>2.4</v>
      </c>
      <c r="BN66" s="281">
        <f t="shared" si="102"/>
        <v>2.6</v>
      </c>
      <c r="BO66" s="364">
        <v>-3.7</v>
      </c>
      <c r="BP66" s="364">
        <v>0</v>
      </c>
      <c r="BQ66" s="305">
        <f>+BP66+BO66</f>
        <v>-3.7</v>
      </c>
      <c r="BR66" s="305">
        <f>-0.2+0.5</f>
        <v>0.3</v>
      </c>
      <c r="BS66" s="364">
        <v>-0.6</v>
      </c>
      <c r="BT66" s="281">
        <f t="shared" si="99"/>
        <v>-0.3</v>
      </c>
      <c r="BU66" s="305">
        <f>+BT66+BQ66</f>
        <v>-4</v>
      </c>
      <c r="BV66" s="364">
        <v>2.7</v>
      </c>
      <c r="BW66" s="289">
        <v>-0.6</v>
      </c>
      <c r="BX66" s="305">
        <f>+BW66+BV66</f>
        <v>2.1</v>
      </c>
      <c r="BY66" s="289">
        <v>1.9</v>
      </c>
      <c r="BZ66" s="289">
        <v>-1.9</v>
      </c>
      <c r="CA66" s="305"/>
      <c r="CB66" s="305"/>
      <c r="CC66" s="289">
        <v>-0.7</v>
      </c>
      <c r="CD66" s="289">
        <v>0.5</v>
      </c>
      <c r="CE66" s="281">
        <f>CD66+CC66</f>
        <v>-0.19999999999999996</v>
      </c>
      <c r="CF66" s="289">
        <v>1.4</v>
      </c>
      <c r="CG66" s="289">
        <v>1.3</v>
      </c>
      <c r="CH66" s="281">
        <f>CG66+CF66</f>
        <v>2.7</v>
      </c>
      <c r="CI66" s="281">
        <f>CH66+CE66</f>
        <v>2.5</v>
      </c>
      <c r="CJ66" s="289">
        <v>-0.4</v>
      </c>
      <c r="CK66" s="289">
        <v>0</v>
      </c>
      <c r="CL66" s="281">
        <f>CK66+CJ66</f>
        <v>-0.4</v>
      </c>
      <c r="CM66" s="289">
        <v>0.6</v>
      </c>
      <c r="CN66" s="289">
        <v>0.5</v>
      </c>
      <c r="CO66" s="281">
        <f>CN66+CM66</f>
        <v>1.1000000000000001</v>
      </c>
      <c r="CP66" s="320">
        <f>CO66+CL66</f>
        <v>0.70000000000000007</v>
      </c>
      <c r="CQ66" s="340">
        <v>0.2</v>
      </c>
      <c r="CR66" s="340">
        <v>0.1</v>
      </c>
      <c r="CS66" s="320">
        <f>CR66+CQ66</f>
        <v>0.30000000000000004</v>
      </c>
      <c r="CT66" s="366">
        <v>-0.2</v>
      </c>
      <c r="CU66" s="342">
        <v>0</v>
      </c>
      <c r="CV66" s="320">
        <f>SUM(CT66:CU66)</f>
        <v>-0.2</v>
      </c>
      <c r="CW66" s="320">
        <f>CV66+CS66</f>
        <v>0.10000000000000003</v>
      </c>
      <c r="CX66" s="342">
        <v>-0.2</v>
      </c>
      <c r="CY66" s="340">
        <v>-0.3</v>
      </c>
      <c r="CZ66" s="320">
        <f>SUM(CX66:CY66)</f>
        <v>-0.5</v>
      </c>
      <c r="DA66" s="366">
        <v>0</v>
      </c>
      <c r="DB66" s="340">
        <v>0</v>
      </c>
      <c r="DC66" s="320">
        <f>SUM(DA66:DB66)</f>
        <v>0</v>
      </c>
      <c r="DD66" s="654">
        <f>DC66+CZ66</f>
        <v>-0.5</v>
      </c>
      <c r="DE66" s="340">
        <v>0.1</v>
      </c>
      <c r="DF66" s="340">
        <v>-0.2</v>
      </c>
      <c r="DG66" s="320">
        <f>SUM(DE66:DF66)</f>
        <v>-0.1</v>
      </c>
      <c r="DH66" s="340">
        <v>0.1</v>
      </c>
      <c r="DI66" s="320">
        <f>+DJ66-DH66</f>
        <v>-0.5</v>
      </c>
      <c r="DJ66" s="320">
        <f>+DK66-DG66</f>
        <v>-0.4</v>
      </c>
      <c r="DK66" s="654">
        <v>-0.5</v>
      </c>
      <c r="DL66" s="343">
        <v>0</v>
      </c>
      <c r="DM66" s="340">
        <v>0.2</v>
      </c>
      <c r="DN66" s="281">
        <f>SUM(DL66:DM66)</f>
        <v>0.2</v>
      </c>
      <c r="DO66" s="289">
        <v>0</v>
      </c>
      <c r="DP66" s="289">
        <v>-0.1</v>
      </c>
      <c r="DQ66" s="281">
        <f>+DR66-DN66</f>
        <v>-0.4</v>
      </c>
      <c r="DR66" s="670">
        <v>-0.2</v>
      </c>
      <c r="DS66" s="290">
        <v>-0.2</v>
      </c>
      <c r="DT66" s="290">
        <v>-0.8</v>
      </c>
      <c r="DU66" s="282">
        <f>SUM(DS66:DT66)</f>
        <v>-1</v>
      </c>
      <c r="DV66" s="290">
        <v>0</v>
      </c>
      <c r="DW66" s="290">
        <v>0.9</v>
      </c>
      <c r="DX66" s="282">
        <f>+DY66-DU66</f>
        <v>13.8</v>
      </c>
      <c r="DY66" s="670">
        <v>12.8</v>
      </c>
      <c r="DZ66" s="290">
        <f>0.3+-2.3</f>
        <v>-1.9999999999999998</v>
      </c>
      <c r="EA66" s="290">
        <f>1.9+-2.2</f>
        <v>-0.30000000000000027</v>
      </c>
      <c r="EB66" s="282">
        <f>SUM(DZ66:EA66)</f>
        <v>-2.2999999999999998</v>
      </c>
      <c r="EC66" s="290">
        <f>0.6+-2.2</f>
        <v>-1.6</v>
      </c>
      <c r="ED66" s="691">
        <f>EE66-EC66</f>
        <v>-2.4</v>
      </c>
      <c r="EE66" s="282">
        <f>+EF66-EB66</f>
        <v>-4</v>
      </c>
      <c r="EF66" s="670">
        <f>2.7+-9</f>
        <v>-6.3</v>
      </c>
      <c r="EG66" s="290">
        <f>0.6+-3+0.2</f>
        <v>-2.1999999999999997</v>
      </c>
      <c r="EH66" s="290">
        <v>-2.8</v>
      </c>
      <c r="EI66" s="282">
        <f>SUM(EG66:EH66)</f>
        <v>-5</v>
      </c>
      <c r="EJ66" s="317">
        <v>-2.7</v>
      </c>
      <c r="EK66" s="691">
        <f>EL66-EJ66</f>
        <v>-3.3999999999999995</v>
      </c>
      <c r="EL66" s="282">
        <f>+EM66-EI66</f>
        <v>-6.1</v>
      </c>
      <c r="EM66" s="670">
        <f>-0.2+-10.9</f>
        <v>-11.1</v>
      </c>
      <c r="EN66" s="697">
        <v>0.5</v>
      </c>
      <c r="EO66" s="290">
        <v>-2.4</v>
      </c>
      <c r="EP66" s="282">
        <f>SUM(EN66:EO66)</f>
        <v>-1.9</v>
      </c>
      <c r="EQ66" s="710">
        <v>-2.4</v>
      </c>
      <c r="ER66" s="367"/>
      <c r="ES66" s="367">
        <f>EQ66+ER66</f>
        <v>-2.4</v>
      </c>
      <c r="ET66" s="584">
        <f>EP66+ES66</f>
        <v>-4.3</v>
      </c>
      <c r="EU66" s="367">
        <v>2</v>
      </c>
      <c r="EV66" s="367">
        <f>EU66</f>
        <v>2</v>
      </c>
      <c r="EW66" s="367">
        <f>EU66+EV66</f>
        <v>4</v>
      </c>
      <c r="EX66" s="367">
        <f>EV66</f>
        <v>2</v>
      </c>
      <c r="EY66" s="367">
        <f>EX66</f>
        <v>2</v>
      </c>
      <c r="EZ66" s="367">
        <f>EX66+EY66</f>
        <v>4</v>
      </c>
      <c r="FA66" s="584">
        <f>EW66+EZ66</f>
        <v>8</v>
      </c>
      <c r="FB66" s="367">
        <f>EY66</f>
        <v>2</v>
      </c>
      <c r="FC66" s="367">
        <f>FB66</f>
        <v>2</v>
      </c>
      <c r="FD66" s="367">
        <f>FB66+FC66</f>
        <v>4</v>
      </c>
      <c r="FE66" s="367">
        <f>FC66</f>
        <v>2</v>
      </c>
      <c r="FF66" s="367">
        <f>FE66</f>
        <v>2</v>
      </c>
      <c r="FG66" s="367">
        <f>FE66+FF66</f>
        <v>4</v>
      </c>
      <c r="FH66" s="584">
        <f>FD66+FG66</f>
        <v>8</v>
      </c>
      <c r="FI66" s="367">
        <f>FF66</f>
        <v>2</v>
      </c>
      <c r="FJ66" s="367">
        <f>FI66</f>
        <v>2</v>
      </c>
      <c r="FK66" s="367">
        <f>FI66+FJ66</f>
        <v>4</v>
      </c>
      <c r="FL66" s="367">
        <f>FJ66</f>
        <v>2</v>
      </c>
      <c r="FM66" s="367">
        <f>FL66</f>
        <v>2</v>
      </c>
      <c r="FN66" s="367">
        <f>FL66+FM66</f>
        <v>4</v>
      </c>
      <c r="FO66" s="584">
        <f>FK66+FN66</f>
        <v>8</v>
      </c>
      <c r="FP66" s="367">
        <f>FM66</f>
        <v>2</v>
      </c>
      <c r="FQ66" s="367">
        <f>FP66</f>
        <v>2</v>
      </c>
      <c r="FR66" s="367">
        <f>FP66+FQ66</f>
        <v>4</v>
      </c>
      <c r="FS66" s="367">
        <f>FQ66</f>
        <v>2</v>
      </c>
      <c r="FT66" s="367">
        <f>FS66</f>
        <v>2</v>
      </c>
      <c r="FU66" s="367">
        <f>FS66+FT66</f>
        <v>4</v>
      </c>
      <c r="FV66" s="584">
        <f>FR66+FU66</f>
        <v>8</v>
      </c>
      <c r="FW66" s="532"/>
      <c r="FX66" s="532"/>
      <c r="FY66" s="532"/>
      <c r="FZ66" s="532"/>
      <c r="GA66" s="532"/>
      <c r="GB66"/>
      <c r="GC66"/>
      <c r="GD66"/>
      <c r="GE66"/>
      <c r="GF66"/>
      <c r="GG66"/>
      <c r="GH66" s="532"/>
      <c r="GI66" s="532"/>
      <c r="GJ66" s="532"/>
      <c r="GK66" s="532"/>
      <c r="GL66" s="532"/>
      <c r="GM66" s="532"/>
      <c r="GN66" s="532"/>
      <c r="GO66" s="532"/>
      <c r="GP66" s="532"/>
      <c r="GQ66" s="532"/>
      <c r="GR66" s="532"/>
      <c r="GS66" s="532"/>
      <c r="GT66" s="532"/>
      <c r="GU66" s="532"/>
      <c r="GV66" s="532"/>
      <c r="GW66" s="532"/>
      <c r="GX66" s="532"/>
      <c r="GY66" s="532"/>
      <c r="GZ66" s="532"/>
      <c r="HA66" s="532"/>
      <c r="HB66" s="532"/>
      <c r="HC66" s="532"/>
      <c r="HD66" s="532"/>
      <c r="HE66" s="532"/>
      <c r="HF66" s="532"/>
      <c r="HG66" s="532"/>
      <c r="HH66" s="532"/>
      <c r="HI66" s="532"/>
      <c r="HJ66" s="532"/>
      <c r="HK66" s="532"/>
      <c r="HL66" s="532"/>
      <c r="HM66" s="532"/>
      <c r="HN66" s="532"/>
      <c r="HO66" s="532"/>
      <c r="HP66" s="532"/>
      <c r="HQ66" s="532"/>
      <c r="HR66" s="532"/>
      <c r="HS66" s="532"/>
      <c r="HT66" s="532"/>
      <c r="HU66" s="532"/>
      <c r="HV66" s="532"/>
      <c r="HW66" s="532"/>
      <c r="HX66" s="532"/>
      <c r="HY66" s="532"/>
      <c r="HZ66" s="532"/>
      <c r="IA66" s="532"/>
      <c r="IB66" s="532"/>
      <c r="IC66" s="532"/>
      <c r="ID66" s="532"/>
      <c r="IE66" s="532"/>
      <c r="IF66" s="532"/>
      <c r="IG66" s="532"/>
      <c r="IH66" s="532"/>
      <c r="II66" s="532"/>
      <c r="IJ66" s="532"/>
      <c r="IK66" s="532"/>
      <c r="IL66" s="532"/>
      <c r="IM66" s="532"/>
      <c r="IN66" s="532"/>
      <c r="IO66" s="532"/>
      <c r="IP66" s="532"/>
      <c r="IQ66" s="532"/>
      <c r="IR66" s="532"/>
      <c r="IS66" s="532"/>
      <c r="IT66" s="532"/>
      <c r="IU66" s="532"/>
      <c r="IV66" s="532"/>
      <c r="IW66" s="532"/>
      <c r="IX66" s="532"/>
      <c r="IY66" s="532"/>
      <c r="IZ66" s="532"/>
      <c r="JA66" s="532"/>
      <c r="JB66" s="532"/>
      <c r="JC66" s="532"/>
      <c r="JD66" s="532"/>
      <c r="JE66" s="532"/>
      <c r="JF66" s="532"/>
      <c r="JG66" s="532"/>
      <c r="JH66" s="532"/>
      <c r="JI66" s="532"/>
      <c r="JJ66" s="532"/>
      <c r="JK66" s="532"/>
      <c r="JL66" s="532"/>
      <c r="JM66" s="532"/>
      <c r="JN66" s="532"/>
      <c r="JO66" s="532"/>
      <c r="JP66" s="532"/>
      <c r="JQ66" s="532"/>
      <c r="JR66" s="532"/>
      <c r="JS66" s="532"/>
      <c r="JT66" s="532"/>
    </row>
    <row r="67" spans="1:280" outlineLevel="1" x14ac:dyDescent="0.3">
      <c r="B67" s="368" t="s">
        <v>435</v>
      </c>
      <c r="C67" s="280" t="s">
        <v>226</v>
      </c>
      <c r="D67" s="295">
        <f t="shared" ref="D67:AN67" si="112">D48+D66+D65</f>
        <v>91.399999999999991</v>
      </c>
      <c r="E67" s="295">
        <f t="shared" si="112"/>
        <v>79.5</v>
      </c>
      <c r="F67" s="295">
        <f t="shared" si="112"/>
        <v>174.10000000000002</v>
      </c>
      <c r="G67" s="295">
        <f t="shared" si="112"/>
        <v>70.000000000000014</v>
      </c>
      <c r="H67" s="295">
        <f t="shared" si="112"/>
        <v>69.099999999999994</v>
      </c>
      <c r="I67" s="295">
        <f t="shared" si="112"/>
        <v>139.80000000000001</v>
      </c>
      <c r="J67" s="295">
        <f t="shared" si="112"/>
        <v>280.50000000000006</v>
      </c>
      <c r="K67" s="295">
        <f t="shared" si="112"/>
        <v>95.399999999999991</v>
      </c>
      <c r="L67" s="295">
        <f t="shared" si="112"/>
        <v>89.2</v>
      </c>
      <c r="M67" s="295">
        <f t="shared" si="112"/>
        <v>184.60000000000002</v>
      </c>
      <c r="N67" s="295">
        <f t="shared" si="112"/>
        <v>62.8</v>
      </c>
      <c r="O67" s="295">
        <f t="shared" si="112"/>
        <v>66.3</v>
      </c>
      <c r="P67" s="295">
        <f t="shared" si="112"/>
        <v>129.1</v>
      </c>
      <c r="Q67" s="295">
        <f t="shared" si="112"/>
        <v>313.69999999999993</v>
      </c>
      <c r="R67" s="295">
        <f t="shared" si="112"/>
        <v>106.30000000000001</v>
      </c>
      <c r="S67" s="295">
        <f t="shared" si="112"/>
        <v>76.000000000000014</v>
      </c>
      <c r="T67" s="295">
        <f t="shared" si="112"/>
        <v>182.3</v>
      </c>
      <c r="U67" s="295">
        <f t="shared" si="112"/>
        <v>56.899999999999991</v>
      </c>
      <c r="V67" s="295">
        <f t="shared" si="112"/>
        <v>39.700000000000003</v>
      </c>
      <c r="W67" s="295">
        <f t="shared" si="112"/>
        <v>96.600000000000023</v>
      </c>
      <c r="X67" s="295">
        <f t="shared" si="112"/>
        <v>278.89999999999998</v>
      </c>
      <c r="Y67" s="295">
        <f t="shared" si="112"/>
        <v>63.499999999999986</v>
      </c>
      <c r="Z67" s="295">
        <f t="shared" si="112"/>
        <v>54.7</v>
      </c>
      <c r="AA67" s="295">
        <f t="shared" si="112"/>
        <v>118.19999999999999</v>
      </c>
      <c r="AB67" s="295">
        <f t="shared" si="112"/>
        <v>28.899999999999995</v>
      </c>
      <c r="AC67" s="295">
        <f t="shared" si="112"/>
        <v>14.399999999999999</v>
      </c>
      <c r="AD67" s="295">
        <f t="shared" si="112"/>
        <v>43.29999999999999</v>
      </c>
      <c r="AE67" s="295">
        <f t="shared" si="112"/>
        <v>161.5</v>
      </c>
      <c r="AF67" s="295">
        <f t="shared" si="112"/>
        <v>66.8</v>
      </c>
      <c r="AG67" s="295">
        <f t="shared" si="112"/>
        <v>58.500000000000007</v>
      </c>
      <c r="AH67" s="295">
        <f t="shared" si="112"/>
        <v>125.29999999999997</v>
      </c>
      <c r="AI67" s="295">
        <f t="shared" si="112"/>
        <v>41.9</v>
      </c>
      <c r="AJ67" s="295">
        <f t="shared" si="112"/>
        <v>33.799999999999983</v>
      </c>
      <c r="AK67" s="295">
        <f t="shared" si="112"/>
        <v>75.699999999999989</v>
      </c>
      <c r="AL67" s="295">
        <f t="shared" si="112"/>
        <v>200.99999999999997</v>
      </c>
      <c r="AM67" s="295">
        <f t="shared" si="112"/>
        <v>58.800000000000004</v>
      </c>
      <c r="AN67" s="295">
        <f t="shared" si="112"/>
        <v>37.199999999999996</v>
      </c>
      <c r="AO67" s="295">
        <f>AN67+AM67</f>
        <v>96</v>
      </c>
      <c r="AP67" s="295">
        <f>AP48+AP66+AP65</f>
        <v>30.9</v>
      </c>
      <c r="AQ67" s="295">
        <f>AQ48+AQ66+AQ65</f>
        <v>44.699999999999996</v>
      </c>
      <c r="AR67" s="295">
        <f t="shared" si="104"/>
        <v>75.599999999999994</v>
      </c>
      <c r="AS67" s="295">
        <f t="shared" si="98"/>
        <v>171.6</v>
      </c>
      <c r="AT67" s="295">
        <f t="shared" ref="AT67:BM67" si="113">AT48+AT66+AT65</f>
        <v>53.800000000000011</v>
      </c>
      <c r="AU67" s="295">
        <f t="shared" si="113"/>
        <v>55.8</v>
      </c>
      <c r="AV67" s="295">
        <f t="shared" si="113"/>
        <v>109.60000000000001</v>
      </c>
      <c r="AW67" s="295">
        <f t="shared" si="113"/>
        <v>37</v>
      </c>
      <c r="AX67" s="295">
        <f t="shared" si="113"/>
        <v>40.6</v>
      </c>
      <c r="AY67" s="295">
        <f t="shared" si="113"/>
        <v>77.599999999999994</v>
      </c>
      <c r="AZ67" s="295">
        <f t="shared" si="113"/>
        <v>187.20000000000005</v>
      </c>
      <c r="BA67" s="295">
        <f t="shared" si="113"/>
        <v>57.199999999999996</v>
      </c>
      <c r="BB67" s="295">
        <f t="shared" si="113"/>
        <v>50.8</v>
      </c>
      <c r="BC67" s="295">
        <f t="shared" si="113"/>
        <v>107.99999999999999</v>
      </c>
      <c r="BD67" s="295">
        <f t="shared" si="113"/>
        <v>33.900000000000006</v>
      </c>
      <c r="BE67" s="295">
        <f t="shared" si="113"/>
        <v>36.300000000000004</v>
      </c>
      <c r="BF67" s="295">
        <f t="shared" si="113"/>
        <v>70.199999999999989</v>
      </c>
      <c r="BG67" s="295">
        <f t="shared" si="113"/>
        <v>178.20000000000002</v>
      </c>
      <c r="BH67" s="295">
        <f t="shared" si="113"/>
        <v>66.600000000000009</v>
      </c>
      <c r="BI67" s="295">
        <f t="shared" si="113"/>
        <v>71.7</v>
      </c>
      <c r="BJ67" s="295">
        <f t="shared" si="113"/>
        <v>138.30000000000001</v>
      </c>
      <c r="BK67" s="295">
        <f t="shared" si="113"/>
        <v>55.400000000000006</v>
      </c>
      <c r="BL67" s="295">
        <f t="shared" si="113"/>
        <v>57.7</v>
      </c>
      <c r="BM67" s="295">
        <f t="shared" si="113"/>
        <v>113.09999999999998</v>
      </c>
      <c r="BN67" s="369">
        <f t="shared" si="102"/>
        <v>251.39999999999998</v>
      </c>
      <c r="BO67" s="369">
        <f>BO48+BO66+BO65</f>
        <v>66.599999999999994</v>
      </c>
      <c r="BP67" s="369">
        <f>BP48+BP66+BP65</f>
        <v>83.500000000000014</v>
      </c>
      <c r="BQ67" s="369">
        <f>BQ48+BQ66+BQ65</f>
        <v>150.10000000000002</v>
      </c>
      <c r="BR67" s="369">
        <f>BR48+BR66+BR65</f>
        <v>64.7</v>
      </c>
      <c r="BS67" s="369">
        <f>BS48+BS66+BS65</f>
        <v>75.400000000000006</v>
      </c>
      <c r="BT67" s="369">
        <f t="shared" si="99"/>
        <v>140.10000000000002</v>
      </c>
      <c r="BU67" s="369">
        <f t="shared" ref="BU67:CZ67" si="114">BU48+BU66+BU65</f>
        <v>290.2</v>
      </c>
      <c r="BV67" s="369">
        <f t="shared" si="114"/>
        <v>86.2</v>
      </c>
      <c r="BW67" s="369">
        <f t="shared" si="114"/>
        <v>88.300000000000026</v>
      </c>
      <c r="BX67" s="369">
        <f t="shared" si="114"/>
        <v>174.50000000000003</v>
      </c>
      <c r="BY67" s="369">
        <f t="shared" si="114"/>
        <v>77.300000000000011</v>
      </c>
      <c r="BZ67" s="369">
        <f t="shared" si="114"/>
        <v>75.899999999999977</v>
      </c>
      <c r="CA67" s="369">
        <f t="shared" si="114"/>
        <v>153.19999999999999</v>
      </c>
      <c r="CB67" s="369">
        <f t="shared" si="114"/>
        <v>325.60000000000008</v>
      </c>
      <c r="CC67" s="369">
        <f t="shared" si="114"/>
        <v>91.499999999999986</v>
      </c>
      <c r="CD67" s="369">
        <f t="shared" si="114"/>
        <v>99.500000000000014</v>
      </c>
      <c r="CE67" s="369">
        <f t="shared" si="114"/>
        <v>191.00000000000003</v>
      </c>
      <c r="CF67" s="369">
        <f t="shared" si="114"/>
        <v>67.90000000000002</v>
      </c>
      <c r="CG67" s="369">
        <f t="shared" si="114"/>
        <v>70.699999999999974</v>
      </c>
      <c r="CH67" s="369">
        <f t="shared" si="114"/>
        <v>138.6</v>
      </c>
      <c r="CI67" s="369">
        <f t="shared" si="114"/>
        <v>329.6</v>
      </c>
      <c r="CJ67" s="369">
        <f t="shared" si="114"/>
        <v>81.5</v>
      </c>
      <c r="CK67" s="369">
        <f t="shared" si="114"/>
        <v>96.4</v>
      </c>
      <c r="CL67" s="369">
        <f t="shared" si="114"/>
        <v>177.89999999999998</v>
      </c>
      <c r="CM67" s="369">
        <f t="shared" si="114"/>
        <v>88.899999999999977</v>
      </c>
      <c r="CN67" s="369">
        <f t="shared" si="114"/>
        <v>95.000000000000028</v>
      </c>
      <c r="CO67" s="369">
        <f t="shared" si="114"/>
        <v>183.89999999999998</v>
      </c>
      <c r="CP67" s="370">
        <f t="shared" si="114"/>
        <v>361.79999999999995</v>
      </c>
      <c r="CQ67" s="370">
        <f t="shared" si="114"/>
        <v>96.4</v>
      </c>
      <c r="CR67" s="370">
        <f t="shared" si="114"/>
        <v>94.000000000000014</v>
      </c>
      <c r="CS67" s="369">
        <f t="shared" si="114"/>
        <v>190.4</v>
      </c>
      <c r="CT67" s="370">
        <f t="shared" si="114"/>
        <v>75.999999999999986</v>
      </c>
      <c r="CU67" s="370">
        <f t="shared" si="114"/>
        <v>86.199999999999989</v>
      </c>
      <c r="CV67" s="370">
        <f t="shared" si="114"/>
        <v>162.19999999999999</v>
      </c>
      <c r="CW67" s="370">
        <f t="shared" si="114"/>
        <v>352.6</v>
      </c>
      <c r="CX67" s="370">
        <f t="shared" si="114"/>
        <v>110.30000000000004</v>
      </c>
      <c r="CY67" s="370">
        <f t="shared" si="114"/>
        <v>119.69999999999997</v>
      </c>
      <c r="CZ67" s="370">
        <f t="shared" si="114"/>
        <v>229.99999999999997</v>
      </c>
      <c r="DA67" s="370">
        <f t="shared" ref="DA67:EF67" si="115">DA48+DA66+DA65</f>
        <v>93.4</v>
      </c>
      <c r="DB67" s="370">
        <f t="shared" si="115"/>
        <v>107.69999999999997</v>
      </c>
      <c r="DC67" s="370">
        <f t="shared" si="115"/>
        <v>201.10000000000002</v>
      </c>
      <c r="DD67" s="663">
        <f t="shared" si="115"/>
        <v>431.1</v>
      </c>
      <c r="DE67" s="369">
        <f t="shared" si="115"/>
        <v>112.40000000000002</v>
      </c>
      <c r="DF67" s="370">
        <f t="shared" si="115"/>
        <v>150.1</v>
      </c>
      <c r="DG67" s="370">
        <f t="shared" si="115"/>
        <v>262.5</v>
      </c>
      <c r="DH67" s="370">
        <f t="shared" si="115"/>
        <v>154.19999999999999</v>
      </c>
      <c r="DI67" s="370">
        <f t="shared" si="115"/>
        <v>151</v>
      </c>
      <c r="DJ67" s="370">
        <f t="shared" si="115"/>
        <v>305.20000000000005</v>
      </c>
      <c r="DK67" s="663">
        <f t="shared" si="115"/>
        <v>567.70000000000016</v>
      </c>
      <c r="DL67" s="371">
        <f t="shared" si="115"/>
        <v>170.10000000000002</v>
      </c>
      <c r="DM67" s="370">
        <f t="shared" si="115"/>
        <v>195.79999999999998</v>
      </c>
      <c r="DN67" s="370">
        <f t="shared" si="115"/>
        <v>365.90000000000003</v>
      </c>
      <c r="DO67" s="369">
        <f t="shared" si="115"/>
        <v>193.50000000000003</v>
      </c>
      <c r="DP67" s="370">
        <f t="shared" si="115"/>
        <v>216.10000000000002</v>
      </c>
      <c r="DQ67" s="370">
        <f t="shared" si="115"/>
        <v>409.30000000000007</v>
      </c>
      <c r="DR67" s="613">
        <f t="shared" si="115"/>
        <v>775.19999999999993</v>
      </c>
      <c r="DS67" s="487">
        <f t="shared" si="115"/>
        <v>199.20000000000002</v>
      </c>
      <c r="DT67" s="487">
        <f t="shared" si="115"/>
        <v>208.8</v>
      </c>
      <c r="DU67" s="487">
        <f t="shared" si="115"/>
        <v>408.00000000000006</v>
      </c>
      <c r="DV67" s="306">
        <f t="shared" si="115"/>
        <v>158.39999999999998</v>
      </c>
      <c r="DW67" s="487">
        <f t="shared" si="115"/>
        <v>178.4</v>
      </c>
      <c r="DX67" s="487">
        <f t="shared" si="115"/>
        <v>349.69999999999993</v>
      </c>
      <c r="DY67" s="613">
        <f t="shared" si="115"/>
        <v>757.69999999999993</v>
      </c>
      <c r="DZ67" s="487">
        <f t="shared" si="115"/>
        <v>226.10000000000002</v>
      </c>
      <c r="EA67" s="487">
        <f t="shared" si="115"/>
        <v>235.19999999999993</v>
      </c>
      <c r="EB67" s="487">
        <f t="shared" si="115"/>
        <v>461.2999999999999</v>
      </c>
      <c r="EC67" s="487">
        <f t="shared" si="115"/>
        <v>229.40000000000003</v>
      </c>
      <c r="ED67" s="487">
        <f t="shared" si="115"/>
        <v>228.50000000000006</v>
      </c>
      <c r="EE67" s="487">
        <f t="shared" si="115"/>
        <v>457.90000000000003</v>
      </c>
      <c r="EF67" s="613">
        <f t="shared" si="115"/>
        <v>919.20000000000016</v>
      </c>
      <c r="EG67" s="487">
        <f t="shared" ref="EG67:FL67" si="116">EG48+EG66+EG65</f>
        <v>231.5</v>
      </c>
      <c r="EH67" s="487">
        <f>EH48+EH66+EH65</f>
        <v>206.29999999999993</v>
      </c>
      <c r="EI67" s="487">
        <f t="shared" si="116"/>
        <v>437.80000000000007</v>
      </c>
      <c r="EJ67" s="487">
        <f t="shared" si="116"/>
        <v>200.5</v>
      </c>
      <c r="EK67" s="487">
        <f t="shared" si="116"/>
        <v>204.29999999999998</v>
      </c>
      <c r="EL67" s="487">
        <f t="shared" si="116"/>
        <v>404.79999999999995</v>
      </c>
      <c r="EM67" s="613">
        <f t="shared" si="116"/>
        <v>842.6</v>
      </c>
      <c r="EN67" s="493">
        <f>EN48+EN66+EN65</f>
        <v>164</v>
      </c>
      <c r="EO67" s="487">
        <f>EO48+EO66+EO65</f>
        <v>184</v>
      </c>
      <c r="EP67" s="487">
        <f t="shared" ref="EP67" si="117">EP48+EP66+EP65</f>
        <v>337.20000000000005</v>
      </c>
      <c r="EQ67" s="715">
        <f>EQ48+EQ66+EQ65</f>
        <v>171.9</v>
      </c>
      <c r="ER67" s="370">
        <f t="shared" si="116"/>
        <v>215.12393795311476</v>
      </c>
      <c r="ES67" s="370">
        <f t="shared" si="116"/>
        <v>401.79133795311475</v>
      </c>
      <c r="ET67" s="586">
        <f>ET48+ET66+ET65</f>
        <v>723.52393795311468</v>
      </c>
      <c r="EU67" s="370">
        <f t="shared" si="116"/>
        <v>231.35263275594491</v>
      </c>
      <c r="EV67" s="370">
        <f t="shared" si="116"/>
        <v>229.24173362865017</v>
      </c>
      <c r="EW67" s="370">
        <f t="shared" si="116"/>
        <v>460.59436638459511</v>
      </c>
      <c r="EX67" s="370">
        <f t="shared" si="116"/>
        <v>242.61449279141456</v>
      </c>
      <c r="EY67" s="370">
        <f t="shared" si="116"/>
        <v>284.29667351810269</v>
      </c>
      <c r="EZ67" s="370">
        <f t="shared" si="116"/>
        <v>526.91116630951728</v>
      </c>
      <c r="FA67" s="586">
        <f t="shared" si="116"/>
        <v>987.50553269411262</v>
      </c>
      <c r="FB67" s="370">
        <f t="shared" si="116"/>
        <v>279.26673735229014</v>
      </c>
      <c r="FC67" s="370">
        <f t="shared" si="116"/>
        <v>284.6972440735272</v>
      </c>
      <c r="FD67" s="370">
        <f t="shared" si="116"/>
        <v>563.96398142581734</v>
      </c>
      <c r="FE67" s="370">
        <f t="shared" si="116"/>
        <v>308.43660203808366</v>
      </c>
      <c r="FF67" s="370">
        <f t="shared" si="116"/>
        <v>339.81650497183512</v>
      </c>
      <c r="FG67" s="370">
        <f t="shared" si="116"/>
        <v>648.25310700991884</v>
      </c>
      <c r="FH67" s="586">
        <f t="shared" si="116"/>
        <v>1212.2170884357361</v>
      </c>
      <c r="FI67" s="370">
        <f t="shared" si="116"/>
        <v>334.29145433275954</v>
      </c>
      <c r="FJ67" s="370">
        <f t="shared" si="116"/>
        <v>332.01880010175387</v>
      </c>
      <c r="FK67" s="370">
        <f t="shared" si="116"/>
        <v>666.31025443451347</v>
      </c>
      <c r="FL67" s="370">
        <f t="shared" si="116"/>
        <v>355.93806215132031</v>
      </c>
      <c r="FM67" s="370">
        <f t="shared" ref="FM67:FV67" si="118">FM48+FM66+FM65</f>
        <v>385.98168666876103</v>
      </c>
      <c r="FN67" s="370">
        <f t="shared" si="118"/>
        <v>741.91974882008117</v>
      </c>
      <c r="FO67" s="586">
        <f t="shared" si="118"/>
        <v>1408.2300032545947</v>
      </c>
      <c r="FP67" s="370">
        <f t="shared" si="118"/>
        <v>385.04396521369165</v>
      </c>
      <c r="FQ67" s="370">
        <f t="shared" si="118"/>
        <v>390.99570774565336</v>
      </c>
      <c r="FR67" s="370">
        <f t="shared" si="118"/>
        <v>776.03967295934501</v>
      </c>
      <c r="FS67" s="370">
        <f t="shared" si="118"/>
        <v>415.31344243406846</v>
      </c>
      <c r="FT67" s="370">
        <f t="shared" si="118"/>
        <v>444.73826628462723</v>
      </c>
      <c r="FU67" s="370">
        <f t="shared" si="118"/>
        <v>860.05170871869575</v>
      </c>
      <c r="FV67" s="586">
        <f t="shared" si="118"/>
        <v>1636.091381678041</v>
      </c>
    </row>
    <row r="68" spans="1:280" outlineLevel="1" x14ac:dyDescent="0.3">
      <c r="B68" s="354" t="s">
        <v>436</v>
      </c>
      <c r="C68" s="280" t="s">
        <v>226</v>
      </c>
      <c r="D68" s="288">
        <v>-32.299999999999997</v>
      </c>
      <c r="E68" s="288">
        <v>-27.8</v>
      </c>
      <c r="F68" s="250">
        <f>SUM(D68:E68)</f>
        <v>-60.099999999999994</v>
      </c>
      <c r="G68" s="288">
        <v>-24.5</v>
      </c>
      <c r="H68" s="288">
        <v>11</v>
      </c>
      <c r="I68" s="250">
        <f>SUM(G68:H68)</f>
        <v>-13.5</v>
      </c>
      <c r="J68" s="289">
        <v>-92.3</v>
      </c>
      <c r="K68" s="289">
        <v>-32.299999999999997</v>
      </c>
      <c r="L68" s="289">
        <v>-20.9</v>
      </c>
      <c r="M68" s="281">
        <f>SUM(K68:L68)</f>
        <v>-53.199999999999996</v>
      </c>
      <c r="N68" s="289">
        <v>-26</v>
      </c>
      <c r="O68" s="289">
        <v>-14.9</v>
      </c>
      <c r="P68" s="281">
        <f>SUM(N68:O68)</f>
        <v>-40.9</v>
      </c>
      <c r="Q68" s="281">
        <f>P68+M68</f>
        <v>-94.1</v>
      </c>
      <c r="R68" s="289">
        <v>-36.4</v>
      </c>
      <c r="S68" s="289">
        <v>-27.6</v>
      </c>
      <c r="T68" s="281">
        <f>SUM(R68:S68)</f>
        <v>-64</v>
      </c>
      <c r="U68" s="326">
        <f>-8.9-0.4</f>
        <v>-9.3000000000000007</v>
      </c>
      <c r="V68" s="289">
        <v>36.799999999999997</v>
      </c>
      <c r="W68" s="281">
        <f>SUM(U68:V68)</f>
        <v>27.499999999999996</v>
      </c>
      <c r="X68" s="281">
        <f>W68+T68</f>
        <v>-36.5</v>
      </c>
      <c r="Y68" s="289">
        <v>-20.399999999999999</v>
      </c>
      <c r="Z68" s="289">
        <v>-39</v>
      </c>
      <c r="AA68" s="281">
        <f>SUM(Y68:Z68)</f>
        <v>-59.4</v>
      </c>
      <c r="AB68" s="289">
        <v>-6.8</v>
      </c>
      <c r="AC68" s="289">
        <v>46.7</v>
      </c>
      <c r="AD68" s="281">
        <f>SUM(AB68:AC68)</f>
        <v>39.900000000000006</v>
      </c>
      <c r="AE68" s="281">
        <f>AD68+AA68</f>
        <v>-19.499999999999993</v>
      </c>
      <c r="AF68" s="289">
        <v>-24.9</v>
      </c>
      <c r="AG68" s="289">
        <v>-17.399999999999999</v>
      </c>
      <c r="AH68" s="281">
        <f>SUM(AF68:AG68)</f>
        <v>-42.3</v>
      </c>
      <c r="AI68" s="289">
        <v>-11.6</v>
      </c>
      <c r="AJ68" s="289">
        <v>-12.3</v>
      </c>
      <c r="AK68" s="281">
        <f>SUM(AI68:AJ68)</f>
        <v>-23.9</v>
      </c>
      <c r="AL68" s="281">
        <f>AK68+AH68</f>
        <v>-66.199999999999989</v>
      </c>
      <c r="AM68" s="372">
        <v>-16.600000000000001</v>
      </c>
      <c r="AN68" s="372">
        <v>-363.7</v>
      </c>
      <c r="AO68" s="373">
        <f>SUM(AM68:AN68)</f>
        <v>-380.3</v>
      </c>
      <c r="AP68" s="372">
        <v>-10.9</v>
      </c>
      <c r="AQ68" s="372">
        <v>-52.4</v>
      </c>
      <c r="AR68" s="281">
        <f t="shared" si="104"/>
        <v>-63.3</v>
      </c>
      <c r="AS68" s="281">
        <f t="shared" si="98"/>
        <v>-443.6</v>
      </c>
      <c r="AT68" s="372">
        <v>-14</v>
      </c>
      <c r="AU68" s="372">
        <v>-14.5</v>
      </c>
      <c r="AV68" s="373">
        <f>+AU68+AT68</f>
        <v>-28.5</v>
      </c>
      <c r="AW68" s="372">
        <v>-6.6</v>
      </c>
      <c r="AX68" s="372">
        <v>488.3</v>
      </c>
      <c r="AY68" s="373">
        <f>+AX68+AW68</f>
        <v>481.7</v>
      </c>
      <c r="AZ68" s="373">
        <f>+AY68+AV68</f>
        <v>453.2</v>
      </c>
      <c r="BA68" s="372">
        <v>-14.6</v>
      </c>
      <c r="BB68" s="372">
        <v>-8.1</v>
      </c>
      <c r="BC68" s="373">
        <f>+BB68+BA68</f>
        <v>-22.7</v>
      </c>
      <c r="BD68" s="372">
        <v>-3.6</v>
      </c>
      <c r="BE68" s="372">
        <v>38.1</v>
      </c>
      <c r="BF68" s="373">
        <f>+BE68+BD68</f>
        <v>34.5</v>
      </c>
      <c r="BG68" s="373">
        <f>+BF68+BC68</f>
        <v>11.8</v>
      </c>
      <c r="BH68" s="372">
        <v>-14.9</v>
      </c>
      <c r="BI68" s="372">
        <v>-15.6</v>
      </c>
      <c r="BJ68" s="373">
        <f>+BI68+BH68</f>
        <v>-30.5</v>
      </c>
      <c r="BK68" s="372">
        <v>-3.4</v>
      </c>
      <c r="BL68" s="372">
        <v>78.8</v>
      </c>
      <c r="BM68" s="373">
        <f>+BL68+BK68</f>
        <v>75.399999999999991</v>
      </c>
      <c r="BN68" s="281">
        <f t="shared" si="102"/>
        <v>44.899999999999991</v>
      </c>
      <c r="BO68" s="372">
        <v>-16.7</v>
      </c>
      <c r="BP68" s="372">
        <v>-17.5</v>
      </c>
      <c r="BQ68" s="373">
        <f>+BP68+BO68</f>
        <v>-34.200000000000003</v>
      </c>
      <c r="BR68" s="372">
        <v>-17.2</v>
      </c>
      <c r="BS68" s="372">
        <v>20.100000000000001</v>
      </c>
      <c r="BT68" s="373">
        <f t="shared" si="99"/>
        <v>2.9000000000000021</v>
      </c>
      <c r="BU68" s="373">
        <f>+BT68+BQ68</f>
        <v>-31.3</v>
      </c>
      <c r="BV68" s="372">
        <f>-21.3</f>
        <v>-21.3</v>
      </c>
      <c r="BW68" s="372">
        <v>-23.7</v>
      </c>
      <c r="BX68" s="373">
        <f>+BW68+BV68</f>
        <v>-45</v>
      </c>
      <c r="BY68" s="372">
        <v>-21.9</v>
      </c>
      <c r="BZ68" s="372">
        <v>-19.2</v>
      </c>
      <c r="CA68" s="373">
        <f>+BZ68+BY68</f>
        <v>-41.099999999999994</v>
      </c>
      <c r="CB68" s="373">
        <f>+CA68+BX68</f>
        <v>-86.1</v>
      </c>
      <c r="CC68" s="372">
        <v>-23.9</v>
      </c>
      <c r="CD68" s="372">
        <v>-25</v>
      </c>
      <c r="CE68" s="281">
        <f>CD68+CC68</f>
        <v>-48.9</v>
      </c>
      <c r="CF68" s="372">
        <v>-15</v>
      </c>
      <c r="CG68" s="372">
        <v>-26.6</v>
      </c>
      <c r="CH68" s="373">
        <f>+CG68+CF68</f>
        <v>-41.6</v>
      </c>
      <c r="CI68" s="373">
        <f>+CH68+CE68</f>
        <v>-90.5</v>
      </c>
      <c r="CJ68" s="372">
        <f>-19.7</f>
        <v>-19.7</v>
      </c>
      <c r="CK68" s="372">
        <f>-22.8</f>
        <v>-22.8</v>
      </c>
      <c r="CL68" s="281">
        <f>CK68+CJ68</f>
        <v>-42.5</v>
      </c>
      <c r="CM68" s="372">
        <f>-30.2</f>
        <v>-30.2</v>
      </c>
      <c r="CN68" s="372">
        <v>45.6</v>
      </c>
      <c r="CO68" s="373">
        <f>SUM(CM68:CN68)</f>
        <v>15.400000000000002</v>
      </c>
      <c r="CP68" s="374">
        <f>SUM(CL68,CO68)</f>
        <v>-27.099999999999998</v>
      </c>
      <c r="CQ68" s="375">
        <f>-30.9</f>
        <v>-30.9</v>
      </c>
      <c r="CR68" s="375">
        <v>-17.600000000000001</v>
      </c>
      <c r="CS68" s="320">
        <f>CR68+CQ68</f>
        <v>-48.5</v>
      </c>
      <c r="CT68" s="375">
        <v>-14.7</v>
      </c>
      <c r="CU68" s="375">
        <v>-8.6</v>
      </c>
      <c r="CV68" s="320">
        <f>SUM(CT68:CU68)</f>
        <v>-23.299999999999997</v>
      </c>
      <c r="CW68" s="320">
        <f>CV68+CS68</f>
        <v>-71.8</v>
      </c>
      <c r="CX68" s="342">
        <v>-32.1</v>
      </c>
      <c r="CY68" s="375">
        <v>-35.4</v>
      </c>
      <c r="CZ68" s="320">
        <f>SUM(CX68:CY68)</f>
        <v>-67.5</v>
      </c>
      <c r="DA68" s="375">
        <v>-29.4</v>
      </c>
      <c r="DB68" s="375">
        <v>50.4</v>
      </c>
      <c r="DC68" s="320">
        <f>SUM(DA68:DB68)</f>
        <v>21</v>
      </c>
      <c r="DD68" s="664">
        <f>DC68+CZ68</f>
        <v>-46.5</v>
      </c>
      <c r="DE68" s="375">
        <v>-28</v>
      </c>
      <c r="DF68" s="375">
        <f>-46.8</f>
        <v>-46.8</v>
      </c>
      <c r="DG68" s="320">
        <f>SUM(DE68:DF68)</f>
        <v>-74.8</v>
      </c>
      <c r="DH68" s="375">
        <v>-49.6</v>
      </c>
      <c r="DI68" s="320">
        <f>+DJ68-DH68</f>
        <v>-24.79999999999999</v>
      </c>
      <c r="DJ68" s="320">
        <f>+DK68-DG68</f>
        <v>-74.399999999999991</v>
      </c>
      <c r="DK68" s="664">
        <v>-149.19999999999999</v>
      </c>
      <c r="DL68" s="376">
        <v>-51.3</v>
      </c>
      <c r="DM68" s="375">
        <f>-40.6-14.3</f>
        <v>-54.900000000000006</v>
      </c>
      <c r="DN68" s="320">
        <f>SUM(DL68:DM68)</f>
        <v>-106.2</v>
      </c>
      <c r="DO68" s="375">
        <v>-56.2</v>
      </c>
      <c r="DP68" s="320">
        <f>+DQ68-DO68</f>
        <v>-21.599999999999994</v>
      </c>
      <c r="DQ68" s="320">
        <f>+DR68-DN68</f>
        <v>-77.8</v>
      </c>
      <c r="DR68" s="676">
        <v>-184</v>
      </c>
      <c r="DS68" s="497">
        <v>-49.2</v>
      </c>
      <c r="DT68" s="497">
        <f>-46.2-17.3</f>
        <v>-63.5</v>
      </c>
      <c r="DU68" s="282">
        <f>SUM(DS68:DT68)</f>
        <v>-112.7</v>
      </c>
      <c r="DV68" s="497">
        <v>-55.9</v>
      </c>
      <c r="DW68" s="282">
        <f>+DX68-DV68</f>
        <v>-42.9</v>
      </c>
      <c r="DX68" s="282">
        <f>+DY68-DU68</f>
        <v>-98.8</v>
      </c>
      <c r="DY68" s="676">
        <v>-211.5</v>
      </c>
      <c r="DZ68" s="497">
        <v>-70.599999999999994</v>
      </c>
      <c r="EA68" s="497">
        <f>-56.3-12.8</f>
        <v>-69.099999999999994</v>
      </c>
      <c r="EB68" s="282">
        <f>SUM(DZ68:EA68)</f>
        <v>-139.69999999999999</v>
      </c>
      <c r="EC68" s="497">
        <f>-49.5-29</f>
        <v>-78.5</v>
      </c>
      <c r="ED68" s="282">
        <f>+EE68-EC68</f>
        <v>-26.400000000000006</v>
      </c>
      <c r="EE68" s="282">
        <f>+EF68-EB68</f>
        <v>-104.9</v>
      </c>
      <c r="EF68" s="676">
        <v>-244.6</v>
      </c>
      <c r="EG68" s="497">
        <v>-78.599999999999994</v>
      </c>
      <c r="EH68" s="497">
        <f>-49.3-17.7</f>
        <v>-67</v>
      </c>
      <c r="EI68" s="282">
        <f>SUM(EG68:EH68)</f>
        <v>-145.6</v>
      </c>
      <c r="EJ68" s="497">
        <f>-46.9-13.7</f>
        <v>-60.599999999999994</v>
      </c>
      <c r="EK68" s="282">
        <f>+EL68-EJ68</f>
        <v>-15.200000000000017</v>
      </c>
      <c r="EL68" s="282">
        <f>+EM68-EI68</f>
        <v>-75.800000000000011</v>
      </c>
      <c r="EM68" s="676">
        <v>-221.4</v>
      </c>
      <c r="EN68" s="702">
        <v>-27.1</v>
      </c>
      <c r="EO68" s="497">
        <v>-15.8</v>
      </c>
      <c r="EP68" s="282">
        <f>SUM(EN68:EO68)</f>
        <v>-42.900000000000006</v>
      </c>
      <c r="EQ68" s="716">
        <f>-29.7-12.2</f>
        <v>-41.9</v>
      </c>
      <c r="ER68" s="374">
        <f t="shared" ref="ER68:FV68" si="119">ER97</f>
        <v>-40.924124999121226</v>
      </c>
      <c r="ES68" s="374">
        <f t="shared" si="119"/>
        <v>-70.624124999121221</v>
      </c>
      <c r="ET68" s="597">
        <f t="shared" si="119"/>
        <v>-137.72412499912122</v>
      </c>
      <c r="EU68" s="374">
        <f t="shared" si="119"/>
        <v>-50.956301296634209</v>
      </c>
      <c r="EV68" s="374">
        <f t="shared" si="119"/>
        <v>-50.491043362614292</v>
      </c>
      <c r="EW68" s="374">
        <f t="shared" si="119"/>
        <v>-101.4473446592485</v>
      </c>
      <c r="EX68" s="374">
        <f t="shared" si="119"/>
        <v>-53.436345040988549</v>
      </c>
      <c r="EY68" s="374">
        <f t="shared" si="119"/>
        <v>-62.606271446536866</v>
      </c>
      <c r="EZ68" s="374">
        <f t="shared" si="119"/>
        <v>-116.04261648752541</v>
      </c>
      <c r="FA68" s="597">
        <f t="shared" si="119"/>
        <v>-217.48996114677391</v>
      </c>
      <c r="FB68" s="374">
        <f t="shared" si="119"/>
        <v>-58.703047547391151</v>
      </c>
      <c r="FC68" s="374">
        <f t="shared" si="119"/>
        <v>-59.842677692449662</v>
      </c>
      <c r="FD68" s="374">
        <f t="shared" si="119"/>
        <v>-118.54572523984081</v>
      </c>
      <c r="FE68" s="374">
        <f t="shared" si="119"/>
        <v>-64.83246505440475</v>
      </c>
      <c r="FF68" s="374">
        <f t="shared" si="119"/>
        <v>-71.420421155877861</v>
      </c>
      <c r="FG68" s="374">
        <f t="shared" si="119"/>
        <v>-136.25288621028261</v>
      </c>
      <c r="FH68" s="597">
        <f t="shared" si="119"/>
        <v>-254.79861145012342</v>
      </c>
      <c r="FI68" s="374">
        <f t="shared" si="119"/>
        <v>-70.259912635075807</v>
      </c>
      <c r="FJ68" s="374">
        <f t="shared" si="119"/>
        <v>-69.780868927699842</v>
      </c>
      <c r="FK68" s="374">
        <f t="shared" si="119"/>
        <v>-140.04078156277563</v>
      </c>
      <c r="FL68" s="374">
        <f t="shared" si="119"/>
        <v>-74.808432887242901</v>
      </c>
      <c r="FM68" s="374">
        <f t="shared" si="119"/>
        <v>-81.115645031633107</v>
      </c>
      <c r="FN68" s="374">
        <f t="shared" si="119"/>
        <v>-155.92407791887601</v>
      </c>
      <c r="FO68" s="597">
        <f t="shared" si="119"/>
        <v>-295.96485948165162</v>
      </c>
      <c r="FP68" s="374">
        <f t="shared" si="119"/>
        <v>-80.91878072769633</v>
      </c>
      <c r="FQ68" s="374">
        <f t="shared" si="119"/>
        <v>-82.16724788320235</v>
      </c>
      <c r="FR68" s="374">
        <f t="shared" si="119"/>
        <v>-163.08602861089867</v>
      </c>
      <c r="FS68" s="374">
        <f t="shared" si="119"/>
        <v>-87.278243892692686</v>
      </c>
      <c r="FT68" s="374">
        <f t="shared" si="119"/>
        <v>-93.455291850717089</v>
      </c>
      <c r="FU68" s="374">
        <f t="shared" si="119"/>
        <v>-180.73353574340979</v>
      </c>
      <c r="FV68" s="597">
        <f t="shared" si="119"/>
        <v>-343.81956435430845</v>
      </c>
    </row>
    <row r="69" spans="1:280" outlineLevel="1" x14ac:dyDescent="0.3">
      <c r="B69" s="354" t="s">
        <v>437</v>
      </c>
      <c r="C69" s="280" t="s">
        <v>226</v>
      </c>
      <c r="D69" s="289">
        <f>-D68-30.3-(5.2-4.9)</f>
        <v>1.6999999999999966</v>
      </c>
      <c r="E69" s="289">
        <f>4.7-4.4</f>
        <v>0.29999999999999982</v>
      </c>
      <c r="F69" s="281">
        <f>E69+D69</f>
        <v>1.9999999999999964</v>
      </c>
      <c r="G69" s="289">
        <f>-(4.4+G54)</f>
        <v>0.39999999999999947</v>
      </c>
      <c r="H69" s="288">
        <f>H55+8+(2.7-2.2)-20.7</f>
        <v>-25.6</v>
      </c>
      <c r="J69" s="326"/>
      <c r="K69" s="289">
        <v>-0.4</v>
      </c>
      <c r="L69" s="326"/>
      <c r="M69" s="281">
        <f>L69+K69</f>
        <v>-0.4</v>
      </c>
      <c r="N69" s="326"/>
      <c r="O69" s="326"/>
      <c r="P69" s="281">
        <f>O69+N69</f>
        <v>0</v>
      </c>
      <c r="Q69" s="281">
        <f>P69+M69</f>
        <v>-0.4</v>
      </c>
      <c r="R69" s="289">
        <v>0.4</v>
      </c>
      <c r="S69" s="289">
        <v>0.8</v>
      </c>
      <c r="T69" s="281">
        <f>S69+R69</f>
        <v>1.2000000000000002</v>
      </c>
      <c r="U69" s="326">
        <f>2.6-12.4</f>
        <v>-9.8000000000000007</v>
      </c>
      <c r="V69" s="326">
        <f>-46.2-1.6-(36.8-24.6)</f>
        <v>-60</v>
      </c>
      <c r="W69" s="281">
        <f>V69+U69</f>
        <v>-69.8</v>
      </c>
      <c r="X69" s="281">
        <f>W69+T69</f>
        <v>-68.599999999999994</v>
      </c>
      <c r="Y69" s="289">
        <v>-3.1</v>
      </c>
      <c r="Z69" s="289">
        <v>20.5</v>
      </c>
      <c r="AA69" s="281">
        <f>Z69+Y69</f>
        <v>17.399999999999999</v>
      </c>
      <c r="AB69" s="326">
        <f>-4.1-1.4</f>
        <v>-5.5</v>
      </c>
      <c r="AC69" s="326">
        <f>-48.7-4.7</f>
        <v>-53.400000000000006</v>
      </c>
      <c r="AD69" s="281">
        <f>AC69+AB69</f>
        <v>-58.900000000000006</v>
      </c>
      <c r="AE69" s="281">
        <f>AD69+AA69</f>
        <v>-41.500000000000007</v>
      </c>
      <c r="AF69" s="289">
        <v>-0.3</v>
      </c>
      <c r="AG69" s="289">
        <v>-3.5</v>
      </c>
      <c r="AH69" s="281">
        <f>AG69+AF69</f>
        <v>-3.8</v>
      </c>
      <c r="AI69" s="289">
        <v>-0.2</v>
      </c>
      <c r="AJ69" s="289">
        <v>2.2000000000000002</v>
      </c>
      <c r="AK69" s="281">
        <f>AJ69+AI69</f>
        <v>2</v>
      </c>
      <c r="AL69" s="281">
        <f>AK69+AH69</f>
        <v>-1.7999999999999998</v>
      </c>
      <c r="AM69" s="326">
        <f>-2.1+0.4</f>
        <v>-1.7000000000000002</v>
      </c>
      <c r="AN69" s="281">
        <f>0.2+347</f>
        <v>347.2</v>
      </c>
      <c r="AO69" s="281">
        <f>AN69+AM69</f>
        <v>345.5</v>
      </c>
      <c r="AP69" s="289">
        <v>2.2000000000000002</v>
      </c>
      <c r="AQ69" s="281">
        <f>34.8+6.2</f>
        <v>41</v>
      </c>
      <c r="AR69" s="281">
        <f t="shared" si="104"/>
        <v>43.2</v>
      </c>
      <c r="AS69" s="281">
        <f t="shared" si="98"/>
        <v>388.7</v>
      </c>
      <c r="AT69" s="289">
        <v>-0.1</v>
      </c>
      <c r="AU69" s="289">
        <v>0.3</v>
      </c>
      <c r="AV69" s="281">
        <f>+AU69+AT69</f>
        <v>0.19999999999999998</v>
      </c>
      <c r="AW69" s="281">
        <f>-1.4-0.5</f>
        <v>-1.9</v>
      </c>
      <c r="AX69" s="281">
        <f>-485.8-2.6-5-1</f>
        <v>-494.40000000000003</v>
      </c>
      <c r="AY69" s="281">
        <f>+AX69+AW69</f>
        <v>-496.3</v>
      </c>
      <c r="AZ69" s="281">
        <f>+AY69+AV69</f>
        <v>-496.1</v>
      </c>
      <c r="BA69" s="326">
        <f>-1+2.2</f>
        <v>1.2000000000000002</v>
      </c>
      <c r="BB69" s="289">
        <v>-3.8</v>
      </c>
      <c r="BC69" s="281">
        <f>+BB69+BA69</f>
        <v>-2.5999999999999996</v>
      </c>
      <c r="BD69" s="289">
        <v>-3.6</v>
      </c>
      <c r="BE69" s="281">
        <f>-5.7-38</f>
        <v>-43.7</v>
      </c>
      <c r="BF69" s="281">
        <f>+BE69+BD69</f>
        <v>-47.300000000000004</v>
      </c>
      <c r="BG69" s="281">
        <f>+BF69+BC69</f>
        <v>-49.900000000000006</v>
      </c>
      <c r="BH69" s="289">
        <v>0.3</v>
      </c>
      <c r="BI69" s="289">
        <v>0.2</v>
      </c>
      <c r="BJ69" s="281">
        <f>+BI69+BH69</f>
        <v>0.5</v>
      </c>
      <c r="BK69" s="289">
        <v>-8.3000000000000007</v>
      </c>
      <c r="BL69" s="289">
        <v>-91.2</v>
      </c>
      <c r="BM69" s="281">
        <f>+BL69+BK69</f>
        <v>-99.5</v>
      </c>
      <c r="BN69" s="281">
        <f t="shared" si="102"/>
        <v>-99</v>
      </c>
      <c r="BO69" s="289">
        <v>0.2</v>
      </c>
      <c r="BP69" s="289">
        <v>-0.6</v>
      </c>
      <c r="BQ69" s="281">
        <f>+BP69+BO69</f>
        <v>-0.39999999999999997</v>
      </c>
      <c r="BR69" s="289">
        <f>BR70-BR68</f>
        <v>1.0999999999999979</v>
      </c>
      <c r="BS69" s="281">
        <f>-38.2</f>
        <v>-38.200000000000003</v>
      </c>
      <c r="BT69" s="281">
        <f t="shared" si="99"/>
        <v>-37.100000000000009</v>
      </c>
      <c r="BU69" s="281">
        <f>+BT69+BQ69</f>
        <v>-37.500000000000007</v>
      </c>
      <c r="BV69" s="289">
        <v>-1.6</v>
      </c>
      <c r="BW69" s="289">
        <v>0.8</v>
      </c>
      <c r="BX69" s="281">
        <f>+BW69+BV69</f>
        <v>-0.8</v>
      </c>
      <c r="BY69" s="289">
        <f>BY70-BY68</f>
        <v>0.79999999999999716</v>
      </c>
      <c r="BZ69" s="289">
        <v>1.5</v>
      </c>
      <c r="CA69" s="281">
        <f>BZ69+BY69</f>
        <v>2.2999999999999972</v>
      </c>
      <c r="CB69" s="281">
        <f>+CA69+BX69</f>
        <v>1.4999999999999971</v>
      </c>
      <c r="CC69" s="289">
        <v>-0.9</v>
      </c>
      <c r="CD69" s="377">
        <v>0.2</v>
      </c>
      <c r="CE69" s="281">
        <f>CD69+CC69</f>
        <v>-0.7</v>
      </c>
      <c r="CF69" s="289">
        <v>-0.3</v>
      </c>
      <c r="CG69" s="289">
        <v>10.9</v>
      </c>
      <c r="CH69" s="281">
        <f>CG69+CF69</f>
        <v>10.6</v>
      </c>
      <c r="CI69" s="281">
        <f>CH69+CE69</f>
        <v>9.9</v>
      </c>
      <c r="CJ69" s="289">
        <v>0.1</v>
      </c>
      <c r="CK69" s="281"/>
      <c r="CL69" s="281">
        <f>CK69+CJ69</f>
        <v>0.1</v>
      </c>
      <c r="CM69" s="289">
        <v>10.7</v>
      </c>
      <c r="CN69" s="289">
        <f>-59.2</f>
        <v>-59.2</v>
      </c>
      <c r="CO69" s="281">
        <f>CN69+CM69</f>
        <v>-48.5</v>
      </c>
      <c r="CP69" s="320">
        <f>CO69+CL69</f>
        <v>-48.4</v>
      </c>
      <c r="CQ69" s="340">
        <v>14.4</v>
      </c>
      <c r="CR69" s="340">
        <v>4.5</v>
      </c>
      <c r="CS69" s="320">
        <f>CR69+CQ69</f>
        <v>18.899999999999999</v>
      </c>
      <c r="CT69" s="340">
        <v>4.5999999999999996</v>
      </c>
      <c r="CU69" s="340">
        <f>-12.4+8.6</f>
        <v>-3.8000000000000007</v>
      </c>
      <c r="CV69" s="320">
        <f>SUM(CT69:CU69)</f>
        <v>0.79999999999999893</v>
      </c>
      <c r="CW69" s="320">
        <f>CV69+CS69</f>
        <v>19.699999999999996</v>
      </c>
      <c r="CX69" s="342">
        <v>12</v>
      </c>
      <c r="CY69" s="340">
        <f>35.4-21.1</f>
        <v>14.299999999999997</v>
      </c>
      <c r="CZ69" s="320">
        <f>SUM(CX69:CY69)</f>
        <v>26.299999999999997</v>
      </c>
      <c r="DA69" s="340">
        <f>29.4-16.3</f>
        <v>13.099999999999998</v>
      </c>
      <c r="DB69" s="340">
        <v>-71</v>
      </c>
      <c r="DC69" s="320">
        <f>SUM(DA69:DB69)</f>
        <v>-57.900000000000006</v>
      </c>
      <c r="DD69" s="654">
        <f>DC69+CZ69</f>
        <v>-31.600000000000009</v>
      </c>
      <c r="DE69" s="340">
        <f>-23.1-DE68</f>
        <v>4.8999999999999986</v>
      </c>
      <c r="DF69" s="340">
        <f>46.8-29.6</f>
        <v>17.199999999999996</v>
      </c>
      <c r="DG69" s="320">
        <f>SUM(DE69:DF69)</f>
        <v>22.099999999999994</v>
      </c>
      <c r="DH69" s="340">
        <f>+-30.9-DH68</f>
        <v>18.700000000000003</v>
      </c>
      <c r="DI69" s="320">
        <f>+DJ69-DH69</f>
        <v>-1.2999999999999972</v>
      </c>
      <c r="DJ69" s="320">
        <f>+DK69-DG69</f>
        <v>17.400000000000006</v>
      </c>
      <c r="DK69" s="654">
        <v>39.5</v>
      </c>
      <c r="DL69" s="343">
        <v>15.4</v>
      </c>
      <c r="DM69" s="340">
        <v>14.3</v>
      </c>
      <c r="DN69" s="320">
        <f>SUM(DL69:DM69)</f>
        <v>29.700000000000003</v>
      </c>
      <c r="DO69" s="340">
        <f>+-39.2-DO68</f>
        <v>17</v>
      </c>
      <c r="DP69" s="281">
        <f>+DQ69-DO69</f>
        <v>-17.200000000000003</v>
      </c>
      <c r="DQ69" s="320">
        <f>+DR69-DN69</f>
        <v>-0.20000000000000284</v>
      </c>
      <c r="DR69" s="670">
        <v>29.5</v>
      </c>
      <c r="DS69" s="290">
        <v>4.3</v>
      </c>
      <c r="DT69" s="290">
        <v>17.3</v>
      </c>
      <c r="DU69" s="282">
        <f>SUM(DS69:DT69)</f>
        <v>21.6</v>
      </c>
      <c r="DV69" s="290">
        <f>+-27.8-DV68</f>
        <v>28.099999999999998</v>
      </c>
      <c r="DW69" s="282">
        <f>+DX69-DV69</f>
        <v>9.5999999999999979</v>
      </c>
      <c r="DX69" s="282">
        <f>+DY69-DU69</f>
        <v>37.699999999999996</v>
      </c>
      <c r="DY69" s="670">
        <v>59.3</v>
      </c>
      <c r="DZ69" s="290">
        <v>18.7</v>
      </c>
      <c r="EA69" s="290">
        <v>12.8</v>
      </c>
      <c r="EB69" s="282">
        <f>SUM(DZ69:EA69)</f>
        <v>31.5</v>
      </c>
      <c r="EC69" s="290">
        <f>-49.5-EC68</f>
        <v>29</v>
      </c>
      <c r="ED69" s="282">
        <f>+EE69-EC69</f>
        <v>-27.6</v>
      </c>
      <c r="EE69" s="282">
        <f>+EF69-EB69</f>
        <v>1.3999999999999986</v>
      </c>
      <c r="EF69" s="670">
        <v>32.9</v>
      </c>
      <c r="EG69" s="290">
        <v>24.7</v>
      </c>
      <c r="EH69" s="290">
        <v>17.7</v>
      </c>
      <c r="EI69" s="282">
        <f>SUM(EG69:EH69)</f>
        <v>42.4</v>
      </c>
      <c r="EJ69" s="290">
        <f>-46.9-EJ68</f>
        <v>13.699999999999996</v>
      </c>
      <c r="EK69" s="282">
        <f>+EL69-EJ69</f>
        <v>-32.999999999999993</v>
      </c>
      <c r="EL69" s="282">
        <f>+EM69-EI69</f>
        <v>-19.299999999999997</v>
      </c>
      <c r="EM69" s="670">
        <v>23.1</v>
      </c>
      <c r="EN69" s="697">
        <v>-10</v>
      </c>
      <c r="EO69" s="290">
        <f>154-EO68-EO67</f>
        <v>-14.199999999999989</v>
      </c>
      <c r="EP69" s="282">
        <f>SUM(EN69:EO69)</f>
        <v>-24.199999999999989</v>
      </c>
      <c r="EQ69" s="710">
        <v>12.2</v>
      </c>
      <c r="ER69" s="320"/>
      <c r="ES69" s="320"/>
      <c r="ET69" s="583"/>
      <c r="EU69" s="320"/>
      <c r="EV69" s="320"/>
      <c r="EW69" s="320"/>
      <c r="EX69" s="320"/>
      <c r="EY69" s="320"/>
      <c r="EZ69" s="320"/>
      <c r="FA69" s="583"/>
      <c r="FB69" s="320"/>
      <c r="FC69" s="320"/>
      <c r="FD69" s="320"/>
      <c r="FE69" s="320"/>
      <c r="FF69" s="320"/>
      <c r="FG69" s="320"/>
      <c r="FH69" s="583"/>
      <c r="FI69" s="320"/>
      <c r="FJ69" s="320"/>
      <c r="FK69" s="320"/>
      <c r="FL69" s="320"/>
      <c r="FM69" s="320"/>
      <c r="FN69" s="320"/>
      <c r="FO69" s="583"/>
      <c r="FP69" s="320"/>
      <c r="FQ69" s="320"/>
      <c r="FR69" s="320"/>
      <c r="FS69" s="320"/>
      <c r="FT69" s="320"/>
      <c r="FU69" s="320"/>
      <c r="FV69" s="583"/>
    </row>
    <row r="70" spans="1:280" s="247" customFormat="1" outlineLevel="1" x14ac:dyDescent="0.3">
      <c r="A70" s="302"/>
      <c r="B70" s="378" t="s">
        <v>438</v>
      </c>
      <c r="C70" s="280" t="s">
        <v>226</v>
      </c>
      <c r="D70" s="322">
        <f t="shared" ref="D70:AI70" si="120">D68+D69</f>
        <v>-30.6</v>
      </c>
      <c r="E70" s="322">
        <f t="shared" si="120"/>
        <v>-27.5</v>
      </c>
      <c r="F70" s="322">
        <f t="shared" si="120"/>
        <v>-58.099999999999994</v>
      </c>
      <c r="G70" s="322">
        <f t="shared" si="120"/>
        <v>-24.1</v>
      </c>
      <c r="H70" s="322">
        <f t="shared" si="120"/>
        <v>-14.600000000000001</v>
      </c>
      <c r="I70" s="322">
        <f t="shared" si="120"/>
        <v>-13.5</v>
      </c>
      <c r="J70" s="297">
        <f t="shared" si="120"/>
        <v>-92.3</v>
      </c>
      <c r="K70" s="297">
        <f t="shared" si="120"/>
        <v>-32.699999999999996</v>
      </c>
      <c r="L70" s="297">
        <f t="shared" si="120"/>
        <v>-20.9</v>
      </c>
      <c r="M70" s="297">
        <f t="shared" si="120"/>
        <v>-53.599999999999994</v>
      </c>
      <c r="N70" s="297">
        <f t="shared" si="120"/>
        <v>-26</v>
      </c>
      <c r="O70" s="297">
        <f t="shared" si="120"/>
        <v>-14.9</v>
      </c>
      <c r="P70" s="297">
        <f t="shared" si="120"/>
        <v>-40.9</v>
      </c>
      <c r="Q70" s="297">
        <f t="shared" si="120"/>
        <v>-94.5</v>
      </c>
      <c r="R70" s="297">
        <f t="shared" si="120"/>
        <v>-36</v>
      </c>
      <c r="S70" s="297">
        <f t="shared" si="120"/>
        <v>-26.8</v>
      </c>
      <c r="T70" s="297">
        <f t="shared" si="120"/>
        <v>-62.8</v>
      </c>
      <c r="U70" s="297">
        <f t="shared" si="120"/>
        <v>-19.100000000000001</v>
      </c>
      <c r="V70" s="297">
        <f t="shared" si="120"/>
        <v>-23.200000000000003</v>
      </c>
      <c r="W70" s="297">
        <f t="shared" si="120"/>
        <v>-42.3</v>
      </c>
      <c r="X70" s="297">
        <f t="shared" si="120"/>
        <v>-105.1</v>
      </c>
      <c r="Y70" s="297">
        <f t="shared" si="120"/>
        <v>-23.5</v>
      </c>
      <c r="Z70" s="297">
        <f t="shared" si="120"/>
        <v>-18.5</v>
      </c>
      <c r="AA70" s="297">
        <f t="shared" si="120"/>
        <v>-42</v>
      </c>
      <c r="AB70" s="297">
        <f t="shared" si="120"/>
        <v>-12.3</v>
      </c>
      <c r="AC70" s="297">
        <f t="shared" si="120"/>
        <v>-6.7000000000000028</v>
      </c>
      <c r="AD70" s="297">
        <f t="shared" si="120"/>
        <v>-19</v>
      </c>
      <c r="AE70" s="297">
        <f t="shared" si="120"/>
        <v>-61</v>
      </c>
      <c r="AF70" s="297">
        <f t="shared" si="120"/>
        <v>-25.2</v>
      </c>
      <c r="AG70" s="297">
        <f t="shared" si="120"/>
        <v>-20.9</v>
      </c>
      <c r="AH70" s="297">
        <f t="shared" si="120"/>
        <v>-46.099999999999994</v>
      </c>
      <c r="AI70" s="297">
        <f t="shared" si="120"/>
        <v>-11.799999999999999</v>
      </c>
      <c r="AJ70" s="297">
        <f>AJ68+AJ69</f>
        <v>-10.100000000000001</v>
      </c>
      <c r="AK70" s="297">
        <f>AK68+AK69</f>
        <v>-21.9</v>
      </c>
      <c r="AL70" s="297">
        <f>AL68+AL69</f>
        <v>-67.999999999999986</v>
      </c>
      <c r="AM70" s="297">
        <f>AM68+AM69</f>
        <v>-18.3</v>
      </c>
      <c r="AN70" s="297">
        <f t="shared" ref="AN70:CY70" si="121">AN68+AN69</f>
        <v>-16.5</v>
      </c>
      <c r="AO70" s="297">
        <f t="shared" si="121"/>
        <v>-34.800000000000011</v>
      </c>
      <c r="AP70" s="297">
        <f t="shared" si="121"/>
        <v>-8.6999999999999993</v>
      </c>
      <c r="AQ70" s="297">
        <f t="shared" si="121"/>
        <v>-11.399999999999999</v>
      </c>
      <c r="AR70" s="297">
        <f t="shared" si="104"/>
        <v>-20.099999999999998</v>
      </c>
      <c r="AS70" s="297">
        <f t="shared" si="121"/>
        <v>-54.900000000000034</v>
      </c>
      <c r="AT70" s="297">
        <f t="shared" si="121"/>
        <v>-14.1</v>
      </c>
      <c r="AU70" s="297">
        <f t="shared" si="121"/>
        <v>-14.2</v>
      </c>
      <c r="AV70" s="297">
        <f>AV68+AV69</f>
        <v>-28.3</v>
      </c>
      <c r="AW70" s="297">
        <f t="shared" si="121"/>
        <v>-8.5</v>
      </c>
      <c r="AX70" s="297">
        <f t="shared" si="121"/>
        <v>-6.1000000000000227</v>
      </c>
      <c r="AY70" s="297">
        <f t="shared" si="121"/>
        <v>-14.600000000000023</v>
      </c>
      <c r="AZ70" s="297">
        <f t="shared" si="121"/>
        <v>-42.900000000000034</v>
      </c>
      <c r="BA70" s="297">
        <f t="shared" si="121"/>
        <v>-13.399999999999999</v>
      </c>
      <c r="BB70" s="297">
        <f t="shared" si="121"/>
        <v>-11.899999999999999</v>
      </c>
      <c r="BC70" s="297">
        <f t="shared" si="121"/>
        <v>-25.299999999999997</v>
      </c>
      <c r="BD70" s="297">
        <f t="shared" si="121"/>
        <v>-7.2</v>
      </c>
      <c r="BE70" s="297">
        <f t="shared" si="121"/>
        <v>-5.6000000000000014</v>
      </c>
      <c r="BF70" s="297">
        <f t="shared" si="121"/>
        <v>-12.800000000000004</v>
      </c>
      <c r="BG70" s="297">
        <f t="shared" si="121"/>
        <v>-38.100000000000009</v>
      </c>
      <c r="BH70" s="297">
        <f t="shared" si="121"/>
        <v>-14.6</v>
      </c>
      <c r="BI70" s="297">
        <f t="shared" si="121"/>
        <v>-15.4</v>
      </c>
      <c r="BJ70" s="297">
        <f t="shared" si="121"/>
        <v>-30</v>
      </c>
      <c r="BK70" s="297">
        <f t="shared" si="121"/>
        <v>-11.700000000000001</v>
      </c>
      <c r="BL70" s="297">
        <f t="shared" si="121"/>
        <v>-12.400000000000006</v>
      </c>
      <c r="BM70" s="297">
        <f t="shared" si="121"/>
        <v>-24.100000000000009</v>
      </c>
      <c r="BN70" s="297">
        <f t="shared" si="121"/>
        <v>-54.100000000000009</v>
      </c>
      <c r="BO70" s="297">
        <f t="shared" si="121"/>
        <v>-16.5</v>
      </c>
      <c r="BP70" s="297">
        <f t="shared" si="121"/>
        <v>-18.100000000000001</v>
      </c>
      <c r="BQ70" s="297">
        <f t="shared" si="121"/>
        <v>-34.6</v>
      </c>
      <c r="BR70" s="379">
        <v>-16.100000000000001</v>
      </c>
      <c r="BS70" s="297">
        <f>BS68+BS69</f>
        <v>-18.100000000000001</v>
      </c>
      <c r="BT70" s="297">
        <f t="shared" si="121"/>
        <v>-34.200000000000003</v>
      </c>
      <c r="BU70" s="297">
        <f t="shared" si="121"/>
        <v>-68.800000000000011</v>
      </c>
      <c r="BV70" s="297">
        <f t="shared" si="121"/>
        <v>-22.900000000000002</v>
      </c>
      <c r="BW70" s="297">
        <f t="shared" si="121"/>
        <v>-22.9</v>
      </c>
      <c r="BX70" s="297">
        <f>BX68+BX69</f>
        <v>-45.8</v>
      </c>
      <c r="BY70" s="379">
        <v>-21.1</v>
      </c>
      <c r="BZ70" s="297">
        <f>BZ68+BZ69</f>
        <v>-17.7</v>
      </c>
      <c r="CA70" s="297">
        <f>CA68+CA69</f>
        <v>-38.799999999999997</v>
      </c>
      <c r="CB70" s="297">
        <f>CB68+CB69</f>
        <v>-84.6</v>
      </c>
      <c r="CC70" s="297">
        <f>CC68+CC69</f>
        <v>-24.799999999999997</v>
      </c>
      <c r="CD70" s="297">
        <f t="shared" si="121"/>
        <v>-24.8</v>
      </c>
      <c r="CE70" s="297">
        <f t="shared" si="121"/>
        <v>-49.6</v>
      </c>
      <c r="CF70" s="297">
        <f>CF68+CF69</f>
        <v>-15.3</v>
      </c>
      <c r="CG70" s="297">
        <f t="shared" si="121"/>
        <v>-15.700000000000001</v>
      </c>
      <c r="CH70" s="297">
        <f t="shared" si="121"/>
        <v>-31</v>
      </c>
      <c r="CI70" s="297">
        <f>CI68+CI69</f>
        <v>-80.599999999999994</v>
      </c>
      <c r="CJ70" s="297">
        <f t="shared" si="121"/>
        <v>-19.599999999999998</v>
      </c>
      <c r="CK70" s="297">
        <f t="shared" si="121"/>
        <v>-22.8</v>
      </c>
      <c r="CL70" s="297">
        <f t="shared" si="121"/>
        <v>-42.4</v>
      </c>
      <c r="CM70" s="297">
        <f>CM68+CM69</f>
        <v>-19.5</v>
      </c>
      <c r="CN70" s="297">
        <f t="shared" si="121"/>
        <v>-13.600000000000001</v>
      </c>
      <c r="CO70" s="297">
        <f t="shared" si="121"/>
        <v>-33.099999999999994</v>
      </c>
      <c r="CP70" s="345">
        <f t="shared" si="121"/>
        <v>-75.5</v>
      </c>
      <c r="CQ70" s="345">
        <f t="shared" si="121"/>
        <v>-16.5</v>
      </c>
      <c r="CR70" s="345">
        <f>CR68+CR69</f>
        <v>-13.100000000000001</v>
      </c>
      <c r="CS70" s="297">
        <f t="shared" si="121"/>
        <v>-29.6</v>
      </c>
      <c r="CT70" s="345">
        <f>CT68+CT69</f>
        <v>-10.1</v>
      </c>
      <c r="CU70" s="345">
        <f t="shared" si="121"/>
        <v>-12.4</v>
      </c>
      <c r="CV70" s="297">
        <f t="shared" si="121"/>
        <v>-22.5</v>
      </c>
      <c r="CW70" s="297">
        <f t="shared" si="121"/>
        <v>-52.1</v>
      </c>
      <c r="CX70" s="345">
        <f t="shared" si="121"/>
        <v>-20.100000000000001</v>
      </c>
      <c r="CY70" s="345">
        <f t="shared" si="121"/>
        <v>-21.1</v>
      </c>
      <c r="CZ70" s="345">
        <f t="shared" ref="CZ70:FK70" si="122">CZ68+CZ69</f>
        <v>-41.2</v>
      </c>
      <c r="DA70" s="345">
        <f t="shared" si="122"/>
        <v>-16.3</v>
      </c>
      <c r="DB70" s="345">
        <f t="shared" si="122"/>
        <v>-20.6</v>
      </c>
      <c r="DC70" s="297">
        <f t="shared" si="122"/>
        <v>-36.900000000000006</v>
      </c>
      <c r="DD70" s="655">
        <f t="shared" si="122"/>
        <v>-78.100000000000009</v>
      </c>
      <c r="DE70" s="297">
        <f t="shared" si="122"/>
        <v>-23.1</v>
      </c>
      <c r="DF70" s="297">
        <f t="shared" si="122"/>
        <v>-29.6</v>
      </c>
      <c r="DG70" s="345">
        <f t="shared" si="122"/>
        <v>-52.7</v>
      </c>
      <c r="DH70" s="345">
        <f t="shared" si="122"/>
        <v>-30.9</v>
      </c>
      <c r="DI70" s="345">
        <f t="shared" si="122"/>
        <v>-26.099999999999987</v>
      </c>
      <c r="DJ70" s="345">
        <f t="shared" si="122"/>
        <v>-56.999999999999986</v>
      </c>
      <c r="DK70" s="655">
        <f t="shared" si="122"/>
        <v>-109.69999999999999</v>
      </c>
      <c r="DL70" s="380">
        <f t="shared" si="122"/>
        <v>-35.9</v>
      </c>
      <c r="DM70" s="345">
        <f t="shared" si="122"/>
        <v>-40.600000000000009</v>
      </c>
      <c r="DN70" s="345">
        <f t="shared" si="122"/>
        <v>-76.5</v>
      </c>
      <c r="DO70" s="297">
        <f t="shared" si="122"/>
        <v>-39.200000000000003</v>
      </c>
      <c r="DP70" s="297">
        <f t="shared" si="122"/>
        <v>-38.799999999999997</v>
      </c>
      <c r="DQ70" s="297">
        <f t="shared" si="122"/>
        <v>-78</v>
      </c>
      <c r="DR70" s="591">
        <f t="shared" si="122"/>
        <v>-154.5</v>
      </c>
      <c r="DS70" s="299">
        <f t="shared" si="122"/>
        <v>-44.900000000000006</v>
      </c>
      <c r="DT70" s="299">
        <f t="shared" si="122"/>
        <v>-46.2</v>
      </c>
      <c r="DU70" s="299">
        <f t="shared" si="122"/>
        <v>-91.1</v>
      </c>
      <c r="DV70" s="306">
        <f t="shared" ref="DV70:EB70" si="123">DV68+DV69</f>
        <v>-27.8</v>
      </c>
      <c r="DW70" s="299">
        <f t="shared" si="123"/>
        <v>-33.299999999999997</v>
      </c>
      <c r="DX70" s="299">
        <f t="shared" si="123"/>
        <v>-61.1</v>
      </c>
      <c r="DY70" s="591">
        <f t="shared" si="123"/>
        <v>-152.19999999999999</v>
      </c>
      <c r="DZ70" s="299">
        <f t="shared" si="123"/>
        <v>-51.899999999999991</v>
      </c>
      <c r="EA70" s="299">
        <f t="shared" si="123"/>
        <v>-56.3</v>
      </c>
      <c r="EB70" s="299">
        <f t="shared" si="123"/>
        <v>-108.19999999999999</v>
      </c>
      <c r="EC70" s="299">
        <f>EC68+EC69</f>
        <v>-49.5</v>
      </c>
      <c r="ED70" s="299">
        <f>ED68+ED69</f>
        <v>-54.000000000000007</v>
      </c>
      <c r="EE70" s="299">
        <f>EE68+EE69</f>
        <v>-103.5</v>
      </c>
      <c r="EF70" s="591">
        <f>EF68+EF69</f>
        <v>-211.7</v>
      </c>
      <c r="EG70" s="299">
        <f>EG68+EG69</f>
        <v>-53.899999999999991</v>
      </c>
      <c r="EH70" s="299">
        <f t="shared" ref="EH70:EM70" si="124">EH68+EH69</f>
        <v>-49.3</v>
      </c>
      <c r="EI70" s="299">
        <f t="shared" si="124"/>
        <v>-103.19999999999999</v>
      </c>
      <c r="EJ70" s="299">
        <f t="shared" si="124"/>
        <v>-46.9</v>
      </c>
      <c r="EK70" s="299">
        <f t="shared" si="124"/>
        <v>-48.20000000000001</v>
      </c>
      <c r="EL70" s="299">
        <f t="shared" si="124"/>
        <v>-95.100000000000009</v>
      </c>
      <c r="EM70" s="591">
        <f t="shared" si="124"/>
        <v>-198.3</v>
      </c>
      <c r="EN70" s="330">
        <f>EN68+EN69</f>
        <v>-37.1</v>
      </c>
      <c r="EO70" s="300">
        <f t="shared" ref="EO70:EQ70" si="125">EO68+EO69</f>
        <v>-29.999999999999989</v>
      </c>
      <c r="EP70" s="299">
        <f t="shared" si="125"/>
        <v>-67.099999999999994</v>
      </c>
      <c r="EQ70" s="300">
        <f t="shared" si="125"/>
        <v>-29.7</v>
      </c>
      <c r="ER70" s="345">
        <f t="shared" si="122"/>
        <v>-40.924124999121226</v>
      </c>
      <c r="ES70" s="345">
        <f t="shared" si="122"/>
        <v>-70.624124999121221</v>
      </c>
      <c r="ET70" s="595">
        <f t="shared" si="122"/>
        <v>-137.72412499912122</v>
      </c>
      <c r="EU70" s="345">
        <f t="shared" si="122"/>
        <v>-50.956301296634209</v>
      </c>
      <c r="EV70" s="345">
        <f t="shared" si="122"/>
        <v>-50.491043362614292</v>
      </c>
      <c r="EW70" s="345">
        <f t="shared" si="122"/>
        <v>-101.4473446592485</v>
      </c>
      <c r="EX70" s="345">
        <f t="shared" si="122"/>
        <v>-53.436345040988549</v>
      </c>
      <c r="EY70" s="345">
        <f t="shared" si="122"/>
        <v>-62.606271446536866</v>
      </c>
      <c r="EZ70" s="345">
        <f t="shared" si="122"/>
        <v>-116.04261648752541</v>
      </c>
      <c r="FA70" s="595">
        <f t="shared" si="122"/>
        <v>-217.48996114677391</v>
      </c>
      <c r="FB70" s="345">
        <f t="shared" si="122"/>
        <v>-58.703047547391151</v>
      </c>
      <c r="FC70" s="345">
        <f t="shared" si="122"/>
        <v>-59.842677692449662</v>
      </c>
      <c r="FD70" s="345">
        <f t="shared" si="122"/>
        <v>-118.54572523984081</v>
      </c>
      <c r="FE70" s="345">
        <f t="shared" si="122"/>
        <v>-64.83246505440475</v>
      </c>
      <c r="FF70" s="345">
        <f t="shared" si="122"/>
        <v>-71.420421155877861</v>
      </c>
      <c r="FG70" s="345">
        <f t="shared" si="122"/>
        <v>-136.25288621028261</v>
      </c>
      <c r="FH70" s="595">
        <f t="shared" si="122"/>
        <v>-254.79861145012342</v>
      </c>
      <c r="FI70" s="345">
        <f t="shared" si="122"/>
        <v>-70.259912635075807</v>
      </c>
      <c r="FJ70" s="345">
        <f t="shared" si="122"/>
        <v>-69.780868927699842</v>
      </c>
      <c r="FK70" s="345">
        <f t="shared" si="122"/>
        <v>-140.04078156277563</v>
      </c>
      <c r="FL70" s="345">
        <f t="shared" ref="FL70:FV70" si="126">FL68+FL69</f>
        <v>-74.808432887242901</v>
      </c>
      <c r="FM70" s="345">
        <f t="shared" si="126"/>
        <v>-81.115645031633107</v>
      </c>
      <c r="FN70" s="345">
        <f t="shared" si="126"/>
        <v>-155.92407791887601</v>
      </c>
      <c r="FO70" s="595">
        <f t="shared" si="126"/>
        <v>-295.96485948165162</v>
      </c>
      <c r="FP70" s="345">
        <f t="shared" si="126"/>
        <v>-80.91878072769633</v>
      </c>
      <c r="FQ70" s="345">
        <f t="shared" si="126"/>
        <v>-82.16724788320235</v>
      </c>
      <c r="FR70" s="345">
        <f t="shared" si="126"/>
        <v>-163.08602861089867</v>
      </c>
      <c r="FS70" s="345">
        <f t="shared" si="126"/>
        <v>-87.278243892692686</v>
      </c>
      <c r="FT70" s="345">
        <f t="shared" si="126"/>
        <v>-93.455291850717089</v>
      </c>
      <c r="FU70" s="345">
        <f t="shared" si="126"/>
        <v>-180.73353574340979</v>
      </c>
      <c r="FV70" s="595">
        <f t="shared" si="126"/>
        <v>-343.81956435430845</v>
      </c>
      <c r="FW70" s="632"/>
      <c r="FX70" s="639"/>
      <c r="FY70" s="639"/>
      <c r="FZ70" s="639"/>
      <c r="GA70" s="639"/>
      <c r="GB70"/>
      <c r="GC70"/>
      <c r="GD70"/>
      <c r="GE70"/>
      <c r="GF70"/>
      <c r="GG70"/>
      <c r="GH70" s="532"/>
      <c r="GI70" s="532"/>
      <c r="GJ70" s="532"/>
      <c r="GK70" s="532"/>
      <c r="GL70" s="532"/>
      <c r="GM70" s="532"/>
      <c r="GN70" s="532"/>
      <c r="GO70" s="532"/>
      <c r="GP70" s="532"/>
      <c r="GQ70" s="532"/>
      <c r="GR70" s="532"/>
      <c r="GS70" s="532"/>
      <c r="GT70" s="532"/>
      <c r="GU70" s="532"/>
      <c r="GV70" s="532"/>
      <c r="GW70" s="532"/>
      <c r="GX70" s="532"/>
      <c r="GY70" s="532"/>
      <c r="GZ70" s="532"/>
      <c r="HA70" s="532"/>
      <c r="HB70" s="532"/>
      <c r="HC70" s="532"/>
      <c r="HD70" s="532"/>
      <c r="HE70" s="532"/>
      <c r="HF70" s="532"/>
      <c r="HG70" s="532"/>
      <c r="HH70" s="532"/>
      <c r="HI70" s="532"/>
      <c r="HJ70" s="532"/>
      <c r="HK70" s="532"/>
      <c r="HL70" s="532"/>
      <c r="HM70" s="532"/>
      <c r="HN70" s="532"/>
      <c r="HO70" s="532"/>
      <c r="HP70" s="532"/>
      <c r="HQ70" s="532"/>
      <c r="HR70" s="532"/>
      <c r="HS70" s="532"/>
      <c r="HT70" s="532"/>
      <c r="HU70" s="532"/>
      <c r="HV70" s="532"/>
      <c r="HW70" s="532"/>
      <c r="HX70" s="532"/>
      <c r="HY70" s="532"/>
      <c r="HZ70" s="532"/>
      <c r="IA70" s="532"/>
      <c r="IB70" s="532"/>
      <c r="IC70" s="532"/>
      <c r="ID70" s="532"/>
      <c r="IE70" s="532"/>
      <c r="IF70" s="532"/>
      <c r="IG70" s="532"/>
      <c r="IH70" s="532"/>
      <c r="II70" s="532"/>
      <c r="IJ70" s="532"/>
      <c r="IK70" s="532"/>
      <c r="IL70" s="532"/>
      <c r="IM70" s="532"/>
      <c r="IN70" s="532"/>
      <c r="IO70" s="532"/>
      <c r="IP70" s="532"/>
      <c r="IQ70" s="532"/>
      <c r="IR70" s="532"/>
      <c r="IS70" s="532"/>
      <c r="IT70" s="532"/>
      <c r="IU70" s="532"/>
      <c r="IV70" s="532"/>
      <c r="IW70" s="532"/>
      <c r="IX70" s="532"/>
      <c r="IY70" s="532"/>
      <c r="IZ70" s="532"/>
      <c r="JA70" s="532"/>
      <c r="JB70" s="532"/>
      <c r="JC70" s="532"/>
      <c r="JD70" s="532"/>
      <c r="JE70" s="532"/>
      <c r="JF70" s="532"/>
      <c r="JG70" s="532"/>
      <c r="JH70" s="532"/>
      <c r="JI70" s="532"/>
      <c r="JJ70" s="532"/>
      <c r="JK70" s="532"/>
      <c r="JL70" s="532"/>
      <c r="JM70" s="532"/>
      <c r="JN70" s="532"/>
      <c r="JO70" s="532"/>
      <c r="JP70" s="532"/>
      <c r="JQ70" s="532"/>
      <c r="JR70" s="532"/>
      <c r="JS70" s="532"/>
      <c r="JT70" s="532"/>
    </row>
    <row r="71" spans="1:280" outlineLevel="1" x14ac:dyDescent="0.3">
      <c r="B71" s="354" t="s">
        <v>28</v>
      </c>
      <c r="C71" s="280"/>
      <c r="AM71" s="349"/>
      <c r="AP71" s="381"/>
      <c r="AQ71" s="381"/>
      <c r="AT71" s="349"/>
      <c r="AU71" s="320"/>
      <c r="AV71" s="320"/>
      <c r="AW71" s="320"/>
      <c r="AX71" s="320"/>
      <c r="AY71" s="320"/>
      <c r="AZ71" s="320"/>
      <c r="BA71" s="320"/>
      <c r="BB71" s="320"/>
      <c r="BC71" s="320"/>
      <c r="BD71" s="320"/>
      <c r="BE71" s="320"/>
      <c r="BF71" s="320"/>
      <c r="BG71" s="320"/>
      <c r="BH71" s="320"/>
      <c r="BI71" s="320"/>
      <c r="BJ71" s="320"/>
      <c r="BK71" s="320"/>
      <c r="BL71" s="320"/>
      <c r="BM71" s="320"/>
      <c r="BN71" s="320"/>
      <c r="BO71" s="320"/>
      <c r="BP71" s="320"/>
      <c r="BQ71" s="320"/>
      <c r="BR71" s="320"/>
      <c r="BS71" s="320"/>
      <c r="BT71" s="320"/>
      <c r="BU71" s="320"/>
      <c r="BV71" s="320"/>
      <c r="BW71" s="320"/>
      <c r="BX71" s="320"/>
      <c r="BY71" s="320"/>
      <c r="BZ71" s="320"/>
      <c r="CA71" s="320"/>
      <c r="CB71" s="320"/>
      <c r="CC71" s="320"/>
      <c r="CD71" s="320"/>
      <c r="CE71" s="320"/>
      <c r="CF71" s="320"/>
      <c r="CG71" s="320"/>
      <c r="CH71" s="320"/>
      <c r="CI71" s="320"/>
      <c r="CJ71" s="320"/>
      <c r="CK71" s="320"/>
      <c r="CL71" s="320"/>
      <c r="CM71" s="320"/>
      <c r="CN71" s="320"/>
      <c r="CO71" s="320"/>
      <c r="CP71" s="320"/>
      <c r="CQ71" s="320"/>
      <c r="CR71" s="320"/>
      <c r="CS71" s="320"/>
      <c r="CT71" s="320"/>
      <c r="CU71" s="320"/>
      <c r="CV71" s="320"/>
      <c r="CW71" s="320"/>
      <c r="CX71" s="320"/>
      <c r="CY71" s="320"/>
      <c r="CZ71" s="320"/>
      <c r="DA71" s="320"/>
      <c r="DB71" s="320"/>
      <c r="DC71" s="320"/>
      <c r="DD71" s="608"/>
      <c r="DE71" s="320"/>
      <c r="DF71" s="320"/>
      <c r="DG71" s="320"/>
      <c r="DH71" s="320"/>
      <c r="DI71" s="320"/>
      <c r="DJ71" s="320"/>
      <c r="DK71" s="608"/>
      <c r="DL71" s="344"/>
      <c r="DM71" s="320"/>
      <c r="DN71" s="320"/>
      <c r="DO71" s="251"/>
      <c r="DP71" s="320"/>
      <c r="DQ71" s="320"/>
      <c r="DR71" s="590"/>
      <c r="DS71" s="282"/>
      <c r="DT71" s="282"/>
      <c r="DU71" s="282"/>
      <c r="DV71" s="282"/>
      <c r="DW71" s="282"/>
      <c r="DX71" s="282"/>
      <c r="DY71" s="590"/>
      <c r="DZ71" s="282"/>
      <c r="EA71" s="282"/>
      <c r="EB71" s="282"/>
      <c r="EC71" s="692"/>
      <c r="ED71" s="282"/>
      <c r="EE71" s="282"/>
      <c r="EF71" s="590"/>
      <c r="EG71" s="282"/>
      <c r="EH71" s="282"/>
      <c r="EI71" s="282"/>
      <c r="EJ71" s="692"/>
      <c r="EK71" s="282"/>
      <c r="EL71" s="282"/>
      <c r="EM71" s="590"/>
      <c r="EN71" s="540"/>
      <c r="EO71" s="282"/>
      <c r="EP71" s="282"/>
      <c r="EQ71" s="547"/>
      <c r="ER71" s="320"/>
      <c r="ES71" s="320"/>
      <c r="ET71" s="583"/>
      <c r="EU71" s="320"/>
      <c r="EV71" s="320"/>
      <c r="EW71" s="320"/>
      <c r="EX71" s="320"/>
      <c r="EY71" s="320"/>
      <c r="EZ71" s="320"/>
      <c r="FA71" s="583"/>
      <c r="FB71" s="320"/>
      <c r="FC71" s="320"/>
      <c r="FD71" s="320"/>
      <c r="FE71" s="320"/>
      <c r="FF71" s="320"/>
      <c r="FG71" s="320"/>
      <c r="FH71" s="583"/>
      <c r="FI71" s="320"/>
      <c r="FJ71" s="320"/>
      <c r="FK71" s="320"/>
      <c r="FL71" s="320"/>
      <c r="FM71" s="320"/>
      <c r="FN71" s="320"/>
      <c r="FO71" s="583"/>
      <c r="FP71" s="320"/>
      <c r="FQ71" s="320"/>
      <c r="FR71" s="320"/>
      <c r="FS71" s="320"/>
      <c r="FT71" s="320"/>
      <c r="FU71" s="320"/>
      <c r="FV71" s="583"/>
    </row>
    <row r="72" spans="1:280" outlineLevel="1" x14ac:dyDescent="0.3">
      <c r="B72" s="382" t="s">
        <v>439</v>
      </c>
      <c r="C72" s="280" t="s">
        <v>226</v>
      </c>
      <c r="D72" s="383">
        <f t="shared" ref="D72:BO72" si="127">D67+D70</f>
        <v>60.79999999999999</v>
      </c>
      <c r="E72" s="383">
        <f t="shared" si="127"/>
        <v>52</v>
      </c>
      <c r="F72" s="383">
        <f t="shared" si="127"/>
        <v>116.00000000000003</v>
      </c>
      <c r="G72" s="383">
        <f t="shared" si="127"/>
        <v>45.900000000000013</v>
      </c>
      <c r="H72" s="383">
        <f t="shared" si="127"/>
        <v>54.499999999999993</v>
      </c>
      <c r="I72" s="383">
        <f t="shared" si="127"/>
        <v>126.30000000000001</v>
      </c>
      <c r="J72" s="383">
        <f t="shared" si="127"/>
        <v>188.20000000000005</v>
      </c>
      <c r="K72" s="383">
        <f t="shared" si="127"/>
        <v>62.699999999999996</v>
      </c>
      <c r="L72" s="383">
        <f t="shared" si="127"/>
        <v>68.300000000000011</v>
      </c>
      <c r="M72" s="383">
        <f t="shared" si="127"/>
        <v>131.00000000000003</v>
      </c>
      <c r="N72" s="383">
        <f t="shared" si="127"/>
        <v>36.799999999999997</v>
      </c>
      <c r="O72" s="383">
        <f t="shared" si="127"/>
        <v>51.4</v>
      </c>
      <c r="P72" s="383">
        <f t="shared" si="127"/>
        <v>88.199999999999989</v>
      </c>
      <c r="Q72" s="383">
        <f t="shared" si="127"/>
        <v>219.19999999999993</v>
      </c>
      <c r="R72" s="383">
        <f t="shared" si="127"/>
        <v>70.300000000000011</v>
      </c>
      <c r="S72" s="383">
        <f t="shared" si="127"/>
        <v>49.200000000000017</v>
      </c>
      <c r="T72" s="383">
        <f t="shared" si="127"/>
        <v>119.50000000000001</v>
      </c>
      <c r="U72" s="383">
        <f t="shared" si="127"/>
        <v>37.79999999999999</v>
      </c>
      <c r="V72" s="383">
        <f t="shared" si="127"/>
        <v>16.5</v>
      </c>
      <c r="W72" s="383">
        <f t="shared" si="127"/>
        <v>54.300000000000026</v>
      </c>
      <c r="X72" s="383">
        <f t="shared" si="127"/>
        <v>173.79999999999998</v>
      </c>
      <c r="Y72" s="383">
        <f t="shared" si="127"/>
        <v>39.999999999999986</v>
      </c>
      <c r="Z72" s="383">
        <f t="shared" si="127"/>
        <v>36.200000000000003</v>
      </c>
      <c r="AA72" s="383">
        <f t="shared" si="127"/>
        <v>76.199999999999989</v>
      </c>
      <c r="AB72" s="383">
        <f t="shared" si="127"/>
        <v>16.599999999999994</v>
      </c>
      <c r="AC72" s="383">
        <f t="shared" si="127"/>
        <v>7.6999999999999957</v>
      </c>
      <c r="AD72" s="383">
        <f t="shared" si="127"/>
        <v>24.29999999999999</v>
      </c>
      <c r="AE72" s="383">
        <f t="shared" si="127"/>
        <v>100.5</v>
      </c>
      <c r="AF72" s="383">
        <f t="shared" si="127"/>
        <v>41.599999999999994</v>
      </c>
      <c r="AG72" s="383">
        <f t="shared" si="127"/>
        <v>37.600000000000009</v>
      </c>
      <c r="AH72" s="383">
        <f t="shared" si="127"/>
        <v>79.199999999999974</v>
      </c>
      <c r="AI72" s="383">
        <f t="shared" si="127"/>
        <v>30.1</v>
      </c>
      <c r="AJ72" s="383">
        <f t="shared" si="127"/>
        <v>23.699999999999982</v>
      </c>
      <c r="AK72" s="383">
        <f t="shared" si="127"/>
        <v>53.79999999999999</v>
      </c>
      <c r="AL72" s="383">
        <f t="shared" si="127"/>
        <v>133</v>
      </c>
      <c r="AM72" s="383">
        <f t="shared" si="127"/>
        <v>40.5</v>
      </c>
      <c r="AN72" s="383">
        <f t="shared" si="127"/>
        <v>20.699999999999996</v>
      </c>
      <c r="AO72" s="383">
        <f t="shared" si="127"/>
        <v>61.199999999999989</v>
      </c>
      <c r="AP72" s="383">
        <f t="shared" si="127"/>
        <v>22.2</v>
      </c>
      <c r="AQ72" s="383">
        <f t="shared" si="127"/>
        <v>33.299999999999997</v>
      </c>
      <c r="AR72" s="383">
        <f t="shared" si="127"/>
        <v>55.5</v>
      </c>
      <c r="AS72" s="383">
        <f t="shared" si="127"/>
        <v>116.69999999999996</v>
      </c>
      <c r="AT72" s="383">
        <f>AT67+AT70</f>
        <v>39.70000000000001</v>
      </c>
      <c r="AU72" s="384">
        <f t="shared" si="127"/>
        <v>41.599999999999994</v>
      </c>
      <c r="AV72" s="384">
        <f t="shared" si="127"/>
        <v>81.300000000000011</v>
      </c>
      <c r="AW72" s="384">
        <f t="shared" si="127"/>
        <v>28.5</v>
      </c>
      <c r="AX72" s="384">
        <f t="shared" si="127"/>
        <v>34.499999999999979</v>
      </c>
      <c r="AY72" s="384">
        <f t="shared" si="127"/>
        <v>62.999999999999972</v>
      </c>
      <c r="AZ72" s="383">
        <f t="shared" si="127"/>
        <v>144.30000000000001</v>
      </c>
      <c r="BA72" s="383">
        <f t="shared" si="127"/>
        <v>43.8</v>
      </c>
      <c r="BB72" s="383">
        <f t="shared" si="127"/>
        <v>38.9</v>
      </c>
      <c r="BC72" s="383">
        <f t="shared" si="127"/>
        <v>82.699999999999989</v>
      </c>
      <c r="BD72" s="383">
        <f t="shared" si="127"/>
        <v>26.700000000000006</v>
      </c>
      <c r="BE72" s="383">
        <f t="shared" si="127"/>
        <v>30.700000000000003</v>
      </c>
      <c r="BF72" s="383">
        <f t="shared" si="127"/>
        <v>57.399999999999984</v>
      </c>
      <c r="BG72" s="383">
        <f t="shared" si="127"/>
        <v>140.10000000000002</v>
      </c>
      <c r="BH72" s="383">
        <f t="shared" si="127"/>
        <v>52.000000000000007</v>
      </c>
      <c r="BI72" s="383">
        <f t="shared" si="127"/>
        <v>56.300000000000004</v>
      </c>
      <c r="BJ72" s="383">
        <f t="shared" si="127"/>
        <v>108.30000000000001</v>
      </c>
      <c r="BK72" s="383">
        <f t="shared" si="127"/>
        <v>43.7</v>
      </c>
      <c r="BL72" s="383">
        <f t="shared" si="127"/>
        <v>45.3</v>
      </c>
      <c r="BM72" s="383">
        <f t="shared" si="127"/>
        <v>88.999999999999972</v>
      </c>
      <c r="BN72" s="383">
        <f t="shared" si="127"/>
        <v>197.29999999999995</v>
      </c>
      <c r="BO72" s="383">
        <f t="shared" si="127"/>
        <v>50.099999999999994</v>
      </c>
      <c r="BP72" s="383">
        <f t="shared" ref="BP72:DU72" si="128">BP67+BP70</f>
        <v>65.400000000000006</v>
      </c>
      <c r="BQ72" s="383">
        <f t="shared" si="128"/>
        <v>115.50000000000003</v>
      </c>
      <c r="BR72" s="383">
        <f t="shared" si="128"/>
        <v>48.6</v>
      </c>
      <c r="BS72" s="383">
        <f t="shared" si="128"/>
        <v>57.300000000000004</v>
      </c>
      <c r="BT72" s="383">
        <f t="shared" si="128"/>
        <v>105.90000000000002</v>
      </c>
      <c r="BU72" s="383">
        <f t="shared" si="128"/>
        <v>221.39999999999998</v>
      </c>
      <c r="BV72" s="383">
        <f t="shared" si="128"/>
        <v>63.3</v>
      </c>
      <c r="BW72" s="383">
        <f t="shared" si="128"/>
        <v>65.400000000000034</v>
      </c>
      <c r="BX72" s="383">
        <f t="shared" si="128"/>
        <v>128.70000000000005</v>
      </c>
      <c r="BY72" s="383">
        <f t="shared" si="128"/>
        <v>56.20000000000001</v>
      </c>
      <c r="BZ72" s="383">
        <f>BZ67+BZ70</f>
        <v>58.199999999999974</v>
      </c>
      <c r="CA72" s="383">
        <f t="shared" si="128"/>
        <v>114.39999999999999</v>
      </c>
      <c r="CB72" s="383">
        <f t="shared" si="128"/>
        <v>241.00000000000009</v>
      </c>
      <c r="CC72" s="383">
        <f>CC67+CC70</f>
        <v>66.699999999999989</v>
      </c>
      <c r="CD72" s="383">
        <f t="shared" si="128"/>
        <v>74.700000000000017</v>
      </c>
      <c r="CE72" s="383">
        <f t="shared" si="128"/>
        <v>141.40000000000003</v>
      </c>
      <c r="CF72" s="383">
        <f t="shared" si="128"/>
        <v>52.600000000000023</v>
      </c>
      <c r="CG72" s="383">
        <f t="shared" si="128"/>
        <v>54.999999999999972</v>
      </c>
      <c r="CH72" s="383">
        <f t="shared" si="128"/>
        <v>107.6</v>
      </c>
      <c r="CI72" s="383">
        <f>CI67+CI70</f>
        <v>249.00000000000003</v>
      </c>
      <c r="CJ72" s="383">
        <f t="shared" si="128"/>
        <v>61.900000000000006</v>
      </c>
      <c r="CK72" s="383">
        <f t="shared" si="128"/>
        <v>73.600000000000009</v>
      </c>
      <c r="CL72" s="383">
        <f t="shared" si="128"/>
        <v>135.49999999999997</v>
      </c>
      <c r="CM72" s="383">
        <f t="shared" si="128"/>
        <v>69.399999999999977</v>
      </c>
      <c r="CN72" s="383">
        <f t="shared" si="128"/>
        <v>81.400000000000034</v>
      </c>
      <c r="CO72" s="383">
        <f t="shared" si="128"/>
        <v>150.79999999999998</v>
      </c>
      <c r="CP72" s="384">
        <f t="shared" si="128"/>
        <v>286.29999999999995</v>
      </c>
      <c r="CQ72" s="384">
        <f t="shared" si="128"/>
        <v>79.900000000000006</v>
      </c>
      <c r="CR72" s="384">
        <f>CR67+CR70</f>
        <v>80.900000000000006</v>
      </c>
      <c r="CS72" s="384">
        <f t="shared" si="128"/>
        <v>160.80000000000001</v>
      </c>
      <c r="CT72" s="384">
        <f t="shared" si="128"/>
        <v>65.899999999999991</v>
      </c>
      <c r="CU72" s="384">
        <f t="shared" si="128"/>
        <v>73.799999999999983</v>
      </c>
      <c r="CV72" s="384">
        <f t="shared" si="128"/>
        <v>139.69999999999999</v>
      </c>
      <c r="CW72" s="384">
        <f t="shared" si="128"/>
        <v>300.5</v>
      </c>
      <c r="CX72" s="384">
        <f t="shared" si="128"/>
        <v>90.200000000000045</v>
      </c>
      <c r="CY72" s="384">
        <f t="shared" si="128"/>
        <v>98.599999999999966</v>
      </c>
      <c r="CZ72" s="384">
        <f t="shared" si="128"/>
        <v>188.79999999999995</v>
      </c>
      <c r="DA72" s="384">
        <f t="shared" si="128"/>
        <v>77.100000000000009</v>
      </c>
      <c r="DB72" s="384">
        <f>DB67+DB70</f>
        <v>87.099999999999966</v>
      </c>
      <c r="DC72" s="384">
        <f>DC67+DC70</f>
        <v>164.20000000000002</v>
      </c>
      <c r="DD72" s="665">
        <f>DD67+DD70</f>
        <v>353</v>
      </c>
      <c r="DE72" s="384">
        <f t="shared" si="128"/>
        <v>89.300000000000011</v>
      </c>
      <c r="DF72" s="384">
        <f t="shared" si="128"/>
        <v>120.5</v>
      </c>
      <c r="DG72" s="384">
        <f t="shared" si="128"/>
        <v>209.8</v>
      </c>
      <c r="DH72" s="384">
        <f t="shared" si="128"/>
        <v>123.29999999999998</v>
      </c>
      <c r="DI72" s="384">
        <f t="shared" si="128"/>
        <v>124.9</v>
      </c>
      <c r="DJ72" s="384">
        <f t="shared" si="128"/>
        <v>248.20000000000005</v>
      </c>
      <c r="DK72" s="665">
        <f t="shared" si="128"/>
        <v>458.00000000000017</v>
      </c>
      <c r="DL72" s="385">
        <f t="shared" si="128"/>
        <v>134.20000000000002</v>
      </c>
      <c r="DM72" s="384">
        <f t="shared" si="128"/>
        <v>155.19999999999999</v>
      </c>
      <c r="DN72" s="384">
        <f t="shared" si="128"/>
        <v>289.40000000000003</v>
      </c>
      <c r="DO72" s="384">
        <f t="shared" si="128"/>
        <v>154.30000000000001</v>
      </c>
      <c r="DP72" s="386">
        <f t="shared" si="128"/>
        <v>177.3</v>
      </c>
      <c r="DQ72" s="384">
        <f t="shared" si="128"/>
        <v>331.30000000000007</v>
      </c>
      <c r="DR72" s="693">
        <f t="shared" si="128"/>
        <v>620.69999999999993</v>
      </c>
      <c r="DS72" s="422">
        <f t="shared" si="128"/>
        <v>154.30000000000001</v>
      </c>
      <c r="DT72" s="422">
        <f t="shared" si="128"/>
        <v>162.60000000000002</v>
      </c>
      <c r="DU72" s="422">
        <f t="shared" si="128"/>
        <v>316.90000000000009</v>
      </c>
      <c r="DV72" s="306">
        <f t="shared" ref="DV72:EM72" si="129">DV67+DV70</f>
        <v>130.59999999999997</v>
      </c>
      <c r="DW72" s="422">
        <f t="shared" si="129"/>
        <v>145.10000000000002</v>
      </c>
      <c r="DX72" s="422">
        <f t="shared" si="129"/>
        <v>288.59999999999991</v>
      </c>
      <c r="DY72" s="693">
        <f t="shared" si="129"/>
        <v>605.5</v>
      </c>
      <c r="DZ72" s="422">
        <f t="shared" si="129"/>
        <v>174.20000000000005</v>
      </c>
      <c r="EA72" s="422">
        <f t="shared" si="129"/>
        <v>178.89999999999992</v>
      </c>
      <c r="EB72" s="422">
        <f t="shared" si="129"/>
        <v>353.09999999999991</v>
      </c>
      <c r="EC72" s="422">
        <f t="shared" si="129"/>
        <v>179.90000000000003</v>
      </c>
      <c r="ED72" s="422">
        <f t="shared" si="129"/>
        <v>174.50000000000006</v>
      </c>
      <c r="EE72" s="422">
        <f t="shared" si="129"/>
        <v>354.40000000000003</v>
      </c>
      <c r="EF72" s="693">
        <f t="shared" si="129"/>
        <v>707.50000000000023</v>
      </c>
      <c r="EG72" s="422">
        <f>EG67+EG70</f>
        <v>177.60000000000002</v>
      </c>
      <c r="EH72" s="422">
        <f t="shared" si="129"/>
        <v>156.99999999999994</v>
      </c>
      <c r="EI72" s="422">
        <f t="shared" si="129"/>
        <v>334.60000000000008</v>
      </c>
      <c r="EJ72" s="422">
        <f t="shared" si="129"/>
        <v>153.6</v>
      </c>
      <c r="EK72" s="422">
        <f t="shared" si="129"/>
        <v>156.09999999999997</v>
      </c>
      <c r="EL72" s="422">
        <f t="shared" si="129"/>
        <v>309.69999999999993</v>
      </c>
      <c r="EM72" s="693">
        <f t="shared" si="129"/>
        <v>644.29999999999995</v>
      </c>
      <c r="EN72" s="703">
        <f>EN67+EN70</f>
        <v>126.9</v>
      </c>
      <c r="EO72" s="705">
        <f>EO67+EO70</f>
        <v>154</v>
      </c>
      <c r="EP72" s="422">
        <f t="shared" ref="EP72" si="130">EP67+EP70</f>
        <v>270.10000000000002</v>
      </c>
      <c r="EQ72" s="717">
        <f>EQ67+EQ70</f>
        <v>142.20000000000002</v>
      </c>
      <c r="ER72" s="384">
        <f t="shared" ref="ER72:FV72" si="131">ER67+ER70</f>
        <v>174.19981295399353</v>
      </c>
      <c r="ES72" s="384">
        <f t="shared" si="131"/>
        <v>331.1672129539935</v>
      </c>
      <c r="ET72" s="598">
        <f>ET67+ET70</f>
        <v>585.79981295399352</v>
      </c>
      <c r="EU72" s="384">
        <f t="shared" si="131"/>
        <v>180.39633145931072</v>
      </c>
      <c r="EV72" s="384">
        <f t="shared" si="131"/>
        <v>178.75069026603586</v>
      </c>
      <c r="EW72" s="384">
        <f t="shared" si="131"/>
        <v>359.14702172534658</v>
      </c>
      <c r="EX72" s="384">
        <f t="shared" si="131"/>
        <v>189.17814775042601</v>
      </c>
      <c r="EY72" s="384">
        <f t="shared" si="131"/>
        <v>221.69040207156581</v>
      </c>
      <c r="EZ72" s="384">
        <f t="shared" si="131"/>
        <v>410.86854982199191</v>
      </c>
      <c r="FA72" s="598">
        <f t="shared" si="131"/>
        <v>770.01557154733871</v>
      </c>
      <c r="FB72" s="384">
        <f t="shared" si="131"/>
        <v>220.56368980489898</v>
      </c>
      <c r="FC72" s="384">
        <f t="shared" si="131"/>
        <v>224.85456638107755</v>
      </c>
      <c r="FD72" s="384">
        <f t="shared" si="131"/>
        <v>445.41825618597653</v>
      </c>
      <c r="FE72" s="384">
        <f t="shared" si="131"/>
        <v>243.60413698367893</v>
      </c>
      <c r="FF72" s="384">
        <f t="shared" si="131"/>
        <v>268.39608381595724</v>
      </c>
      <c r="FG72" s="384">
        <f t="shared" si="131"/>
        <v>512.00022079963628</v>
      </c>
      <c r="FH72" s="598">
        <f t="shared" si="131"/>
        <v>957.41847698561264</v>
      </c>
      <c r="FI72" s="384">
        <f t="shared" si="131"/>
        <v>264.03154169768374</v>
      </c>
      <c r="FJ72" s="384">
        <f t="shared" si="131"/>
        <v>262.23793117405404</v>
      </c>
      <c r="FK72" s="384">
        <f t="shared" si="131"/>
        <v>526.26947287173789</v>
      </c>
      <c r="FL72" s="384">
        <f t="shared" si="131"/>
        <v>281.12962926407738</v>
      </c>
      <c r="FM72" s="384">
        <f t="shared" si="131"/>
        <v>304.86604163712792</v>
      </c>
      <c r="FN72" s="384">
        <f t="shared" si="131"/>
        <v>585.99567090120513</v>
      </c>
      <c r="FO72" s="598">
        <f t="shared" si="131"/>
        <v>1112.2651437729432</v>
      </c>
      <c r="FP72" s="384">
        <f t="shared" si="131"/>
        <v>304.12518448599531</v>
      </c>
      <c r="FQ72" s="384">
        <f t="shared" si="131"/>
        <v>308.82845986245104</v>
      </c>
      <c r="FR72" s="384">
        <f t="shared" si="131"/>
        <v>612.95364434844635</v>
      </c>
      <c r="FS72" s="384">
        <f t="shared" si="131"/>
        <v>328.03519854137579</v>
      </c>
      <c r="FT72" s="384">
        <f t="shared" si="131"/>
        <v>351.28297443391011</v>
      </c>
      <c r="FU72" s="384">
        <f t="shared" si="131"/>
        <v>679.31817297528596</v>
      </c>
      <c r="FV72" s="598">
        <f t="shared" si="131"/>
        <v>1292.2718173237326</v>
      </c>
    </row>
    <row r="73" spans="1:280" s="247" customFormat="1" outlineLevel="1" x14ac:dyDescent="0.3">
      <c r="B73" s="387" t="s">
        <v>440</v>
      </c>
      <c r="C73" s="280" t="s">
        <v>226</v>
      </c>
      <c r="D73" s="305">
        <f t="shared" ref="D73:AI73" si="132">D72+D37</f>
        <v>60.79999999999999</v>
      </c>
      <c r="E73" s="305">
        <f t="shared" si="132"/>
        <v>52</v>
      </c>
      <c r="F73" s="305">
        <f t="shared" si="132"/>
        <v>116.00000000000003</v>
      </c>
      <c r="G73" s="305">
        <f t="shared" si="132"/>
        <v>45.900000000000013</v>
      </c>
      <c r="H73" s="305">
        <f t="shared" si="132"/>
        <v>54.499999999999993</v>
      </c>
      <c r="I73" s="305">
        <f t="shared" si="132"/>
        <v>126.30000000000001</v>
      </c>
      <c r="J73" s="305">
        <f t="shared" si="132"/>
        <v>188.20000000000005</v>
      </c>
      <c r="K73" s="305">
        <f t="shared" si="132"/>
        <v>62.699999999999996</v>
      </c>
      <c r="L73" s="305">
        <f t="shared" si="132"/>
        <v>68.300000000000011</v>
      </c>
      <c r="M73" s="305">
        <f t="shared" si="132"/>
        <v>131.00000000000003</v>
      </c>
      <c r="N73" s="305">
        <f t="shared" si="132"/>
        <v>36.799999999999997</v>
      </c>
      <c r="O73" s="305">
        <f t="shared" si="132"/>
        <v>51.4</v>
      </c>
      <c r="P73" s="305">
        <f t="shared" si="132"/>
        <v>88.199999999999989</v>
      </c>
      <c r="Q73" s="305">
        <f t="shared" si="132"/>
        <v>219.19999999999993</v>
      </c>
      <c r="R73" s="305">
        <f t="shared" si="132"/>
        <v>70.300000000000011</v>
      </c>
      <c r="S73" s="305">
        <f t="shared" si="132"/>
        <v>49.200000000000017</v>
      </c>
      <c r="T73" s="305">
        <f t="shared" si="132"/>
        <v>119.50000000000001</v>
      </c>
      <c r="U73" s="305">
        <f t="shared" si="132"/>
        <v>37.79999999999999</v>
      </c>
      <c r="V73" s="305">
        <f t="shared" si="132"/>
        <v>16.5</v>
      </c>
      <c r="W73" s="305">
        <f t="shared" si="132"/>
        <v>54.300000000000026</v>
      </c>
      <c r="X73" s="305">
        <f t="shared" si="132"/>
        <v>173.79999999999998</v>
      </c>
      <c r="Y73" s="305">
        <f t="shared" si="132"/>
        <v>39.999999999999986</v>
      </c>
      <c r="Z73" s="305">
        <f t="shared" si="132"/>
        <v>36.200000000000003</v>
      </c>
      <c r="AA73" s="305">
        <f t="shared" si="132"/>
        <v>76.199999999999989</v>
      </c>
      <c r="AB73" s="305">
        <f t="shared" si="132"/>
        <v>16.599999999999994</v>
      </c>
      <c r="AC73" s="305">
        <f t="shared" si="132"/>
        <v>7.6999999999999957</v>
      </c>
      <c r="AD73" s="305">
        <f t="shared" si="132"/>
        <v>24.29999999999999</v>
      </c>
      <c r="AE73" s="305">
        <f t="shared" si="132"/>
        <v>100.5</v>
      </c>
      <c r="AF73" s="305">
        <f t="shared" si="132"/>
        <v>41.599999999999994</v>
      </c>
      <c r="AG73" s="305">
        <f t="shared" si="132"/>
        <v>37.600000000000009</v>
      </c>
      <c r="AH73" s="305">
        <f t="shared" si="132"/>
        <v>79.199999999999974</v>
      </c>
      <c r="AI73" s="305">
        <f t="shared" si="132"/>
        <v>30.1</v>
      </c>
      <c r="AJ73" s="305">
        <f t="shared" ref="AJ73:BO73" si="133">AJ72+AJ37</f>
        <v>23.699999999999982</v>
      </c>
      <c r="AK73" s="305">
        <f t="shared" si="133"/>
        <v>53.79999999999999</v>
      </c>
      <c r="AL73" s="305">
        <f t="shared" si="133"/>
        <v>133</v>
      </c>
      <c r="AM73" s="305">
        <f t="shared" si="133"/>
        <v>40.5</v>
      </c>
      <c r="AN73" s="305">
        <f t="shared" si="133"/>
        <v>20.699999999999996</v>
      </c>
      <c r="AO73" s="305">
        <f t="shared" si="133"/>
        <v>61.199999999999989</v>
      </c>
      <c r="AP73" s="305">
        <f t="shared" si="133"/>
        <v>22.2</v>
      </c>
      <c r="AQ73" s="305">
        <f t="shared" si="133"/>
        <v>33.299999999999997</v>
      </c>
      <c r="AR73" s="305">
        <f t="shared" si="133"/>
        <v>55.5</v>
      </c>
      <c r="AS73" s="305">
        <f t="shared" si="133"/>
        <v>116.69999999999996</v>
      </c>
      <c r="AT73" s="305">
        <f t="shared" si="133"/>
        <v>39.70000000000001</v>
      </c>
      <c r="AU73" s="367">
        <f t="shared" si="133"/>
        <v>41.599999999999994</v>
      </c>
      <c r="AV73" s="367">
        <f t="shared" si="133"/>
        <v>81.300000000000011</v>
      </c>
      <c r="AW73" s="367">
        <f t="shared" si="133"/>
        <v>28.5</v>
      </c>
      <c r="AX73" s="367">
        <f t="shared" si="133"/>
        <v>34.499999999999979</v>
      </c>
      <c r="AY73" s="367">
        <f t="shared" si="133"/>
        <v>62.999999999999972</v>
      </c>
      <c r="AZ73" s="305">
        <f t="shared" si="133"/>
        <v>144.30000000000001</v>
      </c>
      <c r="BA73" s="305">
        <f t="shared" si="133"/>
        <v>43.8</v>
      </c>
      <c r="BB73" s="305">
        <f t="shared" si="133"/>
        <v>38.9</v>
      </c>
      <c r="BC73" s="305">
        <f t="shared" si="133"/>
        <v>82.699999999999989</v>
      </c>
      <c r="BD73" s="305">
        <f t="shared" si="133"/>
        <v>26.700000000000006</v>
      </c>
      <c r="BE73" s="305">
        <f t="shared" si="133"/>
        <v>30.700000000000003</v>
      </c>
      <c r="BF73" s="305">
        <f t="shared" si="133"/>
        <v>57.399999999999984</v>
      </c>
      <c r="BG73" s="305">
        <f t="shared" si="133"/>
        <v>140.10000000000002</v>
      </c>
      <c r="BH73" s="305">
        <f t="shared" si="133"/>
        <v>52.000000000000007</v>
      </c>
      <c r="BI73" s="305">
        <f t="shared" si="133"/>
        <v>56.300000000000004</v>
      </c>
      <c r="BJ73" s="305">
        <f t="shared" si="133"/>
        <v>108.30000000000001</v>
      </c>
      <c r="BK73" s="305">
        <f t="shared" si="133"/>
        <v>43.7</v>
      </c>
      <c r="BL73" s="305">
        <f t="shared" si="133"/>
        <v>45.3</v>
      </c>
      <c r="BM73" s="305">
        <f t="shared" si="133"/>
        <v>88.999999999999972</v>
      </c>
      <c r="BN73" s="305">
        <f t="shared" si="133"/>
        <v>197.29999999999995</v>
      </c>
      <c r="BO73" s="305">
        <f t="shared" si="133"/>
        <v>50.099999999999994</v>
      </c>
      <c r="BP73" s="305">
        <f t="shared" ref="BP73:CU73" si="134">BP72+BP37</f>
        <v>65.400000000000006</v>
      </c>
      <c r="BQ73" s="305">
        <f t="shared" si="134"/>
        <v>115.50000000000003</v>
      </c>
      <c r="BR73" s="305">
        <f t="shared" si="134"/>
        <v>48.6</v>
      </c>
      <c r="BS73" s="305">
        <f t="shared" si="134"/>
        <v>57.300000000000004</v>
      </c>
      <c r="BT73" s="305">
        <f t="shared" si="134"/>
        <v>105.90000000000002</v>
      </c>
      <c r="BU73" s="305">
        <f t="shared" si="134"/>
        <v>221.39999999999998</v>
      </c>
      <c r="BV73" s="305">
        <f t="shared" si="134"/>
        <v>63.3</v>
      </c>
      <c r="BW73" s="305">
        <f t="shared" si="134"/>
        <v>65.400000000000034</v>
      </c>
      <c r="BX73" s="305">
        <f t="shared" si="134"/>
        <v>128.70000000000005</v>
      </c>
      <c r="BY73" s="305">
        <f t="shared" si="134"/>
        <v>56.20000000000001</v>
      </c>
      <c r="BZ73" s="305">
        <f t="shared" si="134"/>
        <v>58.199999999999974</v>
      </c>
      <c r="CA73" s="305">
        <f t="shared" si="134"/>
        <v>114.39999999999999</v>
      </c>
      <c r="CB73" s="305">
        <f t="shared" si="134"/>
        <v>241.00000000000009</v>
      </c>
      <c r="CC73" s="305">
        <f t="shared" si="134"/>
        <v>66.699999999999989</v>
      </c>
      <c r="CD73" s="305">
        <f t="shared" si="134"/>
        <v>74.700000000000017</v>
      </c>
      <c r="CE73" s="305">
        <f t="shared" si="134"/>
        <v>141.40000000000003</v>
      </c>
      <c r="CF73" s="305">
        <f t="shared" si="134"/>
        <v>52.600000000000023</v>
      </c>
      <c r="CG73" s="305">
        <f t="shared" si="134"/>
        <v>54.999999999999972</v>
      </c>
      <c r="CH73" s="305">
        <f t="shared" si="134"/>
        <v>107.6</v>
      </c>
      <c r="CI73" s="305">
        <f t="shared" si="134"/>
        <v>249.00000000000003</v>
      </c>
      <c r="CJ73" s="305">
        <f t="shared" si="134"/>
        <v>61.900000000000006</v>
      </c>
      <c r="CK73" s="305">
        <f t="shared" si="134"/>
        <v>73.600000000000009</v>
      </c>
      <c r="CL73" s="305">
        <f t="shared" si="134"/>
        <v>135.49999999999997</v>
      </c>
      <c r="CM73" s="305">
        <f t="shared" si="134"/>
        <v>69.399999999999977</v>
      </c>
      <c r="CN73" s="305">
        <f t="shared" si="134"/>
        <v>81.400000000000034</v>
      </c>
      <c r="CO73" s="305">
        <f t="shared" si="134"/>
        <v>150.79999999999998</v>
      </c>
      <c r="CP73" s="367">
        <f t="shared" si="134"/>
        <v>286.29999999999995</v>
      </c>
      <c r="CQ73" s="367">
        <f t="shared" si="134"/>
        <v>79.900000000000006</v>
      </c>
      <c r="CR73" s="367">
        <f t="shared" si="134"/>
        <v>80.900000000000006</v>
      </c>
      <c r="CS73" s="367">
        <f t="shared" si="134"/>
        <v>160.80000000000001</v>
      </c>
      <c r="CT73" s="367">
        <f t="shared" si="134"/>
        <v>65.899999999999991</v>
      </c>
      <c r="CU73" s="367">
        <f t="shared" si="134"/>
        <v>73.799999999999983</v>
      </c>
      <c r="CV73" s="367">
        <f t="shared" ref="CV73:EA73" si="135">CV72+CV37</f>
        <v>139.69999999999999</v>
      </c>
      <c r="CW73" s="367">
        <f t="shared" si="135"/>
        <v>300.5</v>
      </c>
      <c r="CX73" s="367">
        <f t="shared" si="135"/>
        <v>90.200000000000045</v>
      </c>
      <c r="CY73" s="367">
        <f t="shared" si="135"/>
        <v>98.599999999999966</v>
      </c>
      <c r="CZ73" s="367">
        <f t="shared" si="135"/>
        <v>188.79999999999995</v>
      </c>
      <c r="DA73" s="367">
        <f t="shared" si="135"/>
        <v>77.100000000000009</v>
      </c>
      <c r="DB73" s="367">
        <f t="shared" si="135"/>
        <v>87.099999999999966</v>
      </c>
      <c r="DC73" s="367">
        <f t="shared" si="135"/>
        <v>164.20000000000002</v>
      </c>
      <c r="DD73" s="656">
        <f t="shared" si="135"/>
        <v>353</v>
      </c>
      <c r="DE73" s="367">
        <f t="shared" si="135"/>
        <v>89.300000000000011</v>
      </c>
      <c r="DF73" s="367">
        <f t="shared" si="135"/>
        <v>120.5</v>
      </c>
      <c r="DG73" s="367">
        <f t="shared" si="135"/>
        <v>209.8</v>
      </c>
      <c r="DH73" s="367">
        <f t="shared" si="135"/>
        <v>123.29999999999998</v>
      </c>
      <c r="DI73" s="367">
        <f t="shared" si="135"/>
        <v>124.9</v>
      </c>
      <c r="DJ73" s="367">
        <f t="shared" si="135"/>
        <v>248.20000000000005</v>
      </c>
      <c r="DK73" s="656">
        <f t="shared" si="135"/>
        <v>458.00000000000017</v>
      </c>
      <c r="DL73" s="388">
        <f t="shared" si="135"/>
        <v>134.20000000000002</v>
      </c>
      <c r="DM73" s="367">
        <f t="shared" si="135"/>
        <v>155.19999999999999</v>
      </c>
      <c r="DN73" s="367">
        <f t="shared" si="135"/>
        <v>289.40000000000003</v>
      </c>
      <c r="DO73" s="367">
        <f t="shared" si="135"/>
        <v>154.30000000000001</v>
      </c>
      <c r="DP73" s="367">
        <f t="shared" si="135"/>
        <v>177.3</v>
      </c>
      <c r="DQ73" s="367">
        <f t="shared" si="135"/>
        <v>331.30000000000007</v>
      </c>
      <c r="DR73" s="576">
        <f t="shared" si="135"/>
        <v>620.69999999999993</v>
      </c>
      <c r="DS73" s="306">
        <f t="shared" si="135"/>
        <v>154.30000000000001</v>
      </c>
      <c r="DT73" s="306">
        <f t="shared" si="135"/>
        <v>162.60000000000002</v>
      </c>
      <c r="DU73" s="306">
        <f t="shared" si="135"/>
        <v>316.90000000000009</v>
      </c>
      <c r="DV73" s="306">
        <f t="shared" si="135"/>
        <v>130.59999999999997</v>
      </c>
      <c r="DW73" s="306">
        <f t="shared" si="135"/>
        <v>145.10000000000002</v>
      </c>
      <c r="DX73" s="306">
        <f t="shared" si="135"/>
        <v>288.59999999999991</v>
      </c>
      <c r="DY73" s="576">
        <f t="shared" si="135"/>
        <v>605.5</v>
      </c>
      <c r="DZ73" s="306">
        <f t="shared" si="135"/>
        <v>174.20000000000005</v>
      </c>
      <c r="EA73" s="306">
        <f t="shared" si="135"/>
        <v>178.89999999999992</v>
      </c>
      <c r="EB73" s="306">
        <f t="shared" ref="EB73:FG73" si="136">EB72+EB37</f>
        <v>353.09999999999991</v>
      </c>
      <c r="EC73" s="306">
        <f t="shared" si="136"/>
        <v>179.90000000000003</v>
      </c>
      <c r="ED73" s="306">
        <f t="shared" si="136"/>
        <v>174.50000000000006</v>
      </c>
      <c r="EE73" s="306">
        <f t="shared" si="136"/>
        <v>354.40000000000003</v>
      </c>
      <c r="EF73" s="576">
        <f t="shared" si="136"/>
        <v>707.50000000000023</v>
      </c>
      <c r="EG73" s="306">
        <f t="shared" si="136"/>
        <v>177.60000000000002</v>
      </c>
      <c r="EH73" s="306">
        <f t="shared" si="136"/>
        <v>156.99999999999994</v>
      </c>
      <c r="EI73" s="306">
        <f t="shared" ref="EI73:EM73" si="137">EI72+EI37</f>
        <v>334.60000000000008</v>
      </c>
      <c r="EJ73" s="306">
        <f t="shared" si="137"/>
        <v>153.6</v>
      </c>
      <c r="EK73" s="306">
        <f t="shared" si="137"/>
        <v>156.09999999999997</v>
      </c>
      <c r="EL73" s="306">
        <f t="shared" si="137"/>
        <v>309.69999999999993</v>
      </c>
      <c r="EM73" s="576">
        <f t="shared" si="137"/>
        <v>644.29999999999995</v>
      </c>
      <c r="EN73" s="698">
        <f>EN72+EN37</f>
        <v>126.9</v>
      </c>
      <c r="EO73" s="545">
        <f t="shared" ref="EO73:EP73" si="138">EO72+EO37</f>
        <v>154</v>
      </c>
      <c r="EP73" s="306">
        <f t="shared" si="138"/>
        <v>270.10000000000002</v>
      </c>
      <c r="EQ73" s="712">
        <f>EQ72</f>
        <v>142.20000000000002</v>
      </c>
      <c r="ER73" s="367">
        <f t="shared" si="136"/>
        <v>174.46600657520099</v>
      </c>
      <c r="ES73" s="367">
        <f t="shared" si="136"/>
        <v>331.43212825313157</v>
      </c>
      <c r="ET73" s="584">
        <f t="shared" si="136"/>
        <v>586.05786803616979</v>
      </c>
      <c r="EU73" s="367">
        <f t="shared" si="136"/>
        <v>180.66325005170313</v>
      </c>
      <c r="EV73" s="367">
        <f t="shared" si="136"/>
        <v>179.01369919472339</v>
      </c>
      <c r="EW73" s="367">
        <f t="shared" si="136"/>
        <v>359.41194372828875</v>
      </c>
      <c r="EX73" s="367">
        <f t="shared" si="136"/>
        <v>189.45613241805032</v>
      </c>
      <c r="EY73" s="367">
        <f t="shared" si="136"/>
        <v>221.96768967408522</v>
      </c>
      <c r="EZ73" s="367">
        <f t="shared" si="136"/>
        <v>411.14616964977216</v>
      </c>
      <c r="FA73" s="584">
        <f t="shared" si="136"/>
        <v>770.28692652403538</v>
      </c>
      <c r="FB73" s="367">
        <f t="shared" si="136"/>
        <v>220.83527410685241</v>
      </c>
      <c r="FC73" s="367">
        <f t="shared" si="136"/>
        <v>225.1224541763583</v>
      </c>
      <c r="FD73" s="367">
        <f t="shared" si="136"/>
        <v>445.68794099150102</v>
      </c>
      <c r="FE73" s="367">
        <f t="shared" si="136"/>
        <v>243.89355901418935</v>
      </c>
      <c r="FF73" s="367">
        <f t="shared" si="136"/>
        <v>268.67682244354052</v>
      </c>
      <c r="FG73" s="367">
        <f t="shared" si="136"/>
        <v>512.2851130656378</v>
      </c>
      <c r="FH73" s="584">
        <f t="shared" ref="FH73:FV73" si="139">FH72+FH37</f>
        <v>957.69587504735796</v>
      </c>
      <c r="FI73" s="367">
        <f t="shared" si="139"/>
        <v>264.31109991290424</v>
      </c>
      <c r="FJ73" s="367">
        <f t="shared" si="139"/>
        <v>262.50898310896611</v>
      </c>
      <c r="FK73" s="367">
        <f t="shared" si="139"/>
        <v>526.54466965499728</v>
      </c>
      <c r="FL73" s="367">
        <f t="shared" si="139"/>
        <v>281.42219990915186</v>
      </c>
      <c r="FM73" s="367">
        <f t="shared" si="139"/>
        <v>305.14933130947696</v>
      </c>
      <c r="FN73" s="367">
        <f t="shared" si="139"/>
        <v>586.28341493949927</v>
      </c>
      <c r="FO73" s="584">
        <f t="shared" si="139"/>
        <v>1112.5466819624703</v>
      </c>
      <c r="FP73" s="367">
        <f t="shared" si="139"/>
        <v>304.40874654704811</v>
      </c>
      <c r="FQ73" s="367">
        <f t="shared" si="139"/>
        <v>309.10536108442795</v>
      </c>
      <c r="FR73" s="367">
        <f t="shared" si="139"/>
        <v>613.23378031755999</v>
      </c>
      <c r="FS73" s="367">
        <f t="shared" si="139"/>
        <v>328.33244131060582</v>
      </c>
      <c r="FT73" s="367">
        <f t="shared" si="139"/>
        <v>351.56990743841192</v>
      </c>
      <c r="FU73" s="367">
        <f t="shared" si="139"/>
        <v>679.61006325472624</v>
      </c>
      <c r="FV73" s="584">
        <f t="shared" si="139"/>
        <v>1292.5579072260932</v>
      </c>
      <c r="FW73" s="722"/>
      <c r="FX73" s="532"/>
      <c r="FY73" s="532"/>
      <c r="FZ73" s="532"/>
      <c r="GA73" s="532"/>
      <c r="GB73"/>
      <c r="GC73"/>
      <c r="GD73"/>
      <c r="GE73"/>
      <c r="GF73"/>
      <c r="GG73"/>
      <c r="GH73" s="532"/>
      <c r="GI73" s="532"/>
      <c r="GJ73" s="532"/>
      <c r="GK73" s="532"/>
      <c r="GL73" s="532"/>
      <c r="GM73" s="532"/>
      <c r="GN73" s="532"/>
      <c r="GO73" s="532"/>
      <c r="GP73" s="532"/>
      <c r="GQ73" s="532"/>
      <c r="GR73" s="532"/>
      <c r="GS73" s="532"/>
      <c r="GT73" s="532"/>
      <c r="GU73" s="532"/>
      <c r="GV73" s="532"/>
      <c r="GW73" s="532"/>
      <c r="GX73" s="532"/>
      <c r="GY73" s="532"/>
      <c r="GZ73" s="532"/>
      <c r="HA73" s="532"/>
      <c r="HB73" s="532"/>
      <c r="HC73" s="532"/>
      <c r="HD73" s="532"/>
      <c r="HE73" s="532"/>
      <c r="HF73" s="532"/>
      <c r="HG73" s="532"/>
      <c r="HH73" s="532"/>
      <c r="HI73" s="532"/>
      <c r="HJ73" s="532"/>
      <c r="HK73" s="532"/>
      <c r="HL73" s="532"/>
      <c r="HM73" s="532"/>
      <c r="HN73" s="532"/>
      <c r="HO73" s="532"/>
      <c r="HP73" s="532"/>
      <c r="HQ73" s="532"/>
      <c r="HR73" s="532"/>
      <c r="HS73" s="532"/>
      <c r="HT73" s="532"/>
      <c r="HU73" s="532"/>
      <c r="HV73" s="532"/>
      <c r="HW73" s="532"/>
      <c r="HX73" s="532"/>
      <c r="HY73" s="532"/>
      <c r="HZ73" s="532"/>
      <c r="IA73" s="532"/>
      <c r="IB73" s="532"/>
      <c r="IC73" s="532"/>
      <c r="ID73" s="532"/>
      <c r="IE73" s="532"/>
      <c r="IF73" s="532"/>
      <c r="IG73" s="532"/>
      <c r="IH73" s="532"/>
      <c r="II73" s="532"/>
      <c r="IJ73" s="532"/>
      <c r="IK73" s="532"/>
      <c r="IL73" s="532"/>
      <c r="IM73" s="532"/>
      <c r="IN73" s="532"/>
      <c r="IO73" s="532"/>
      <c r="IP73" s="532"/>
      <c r="IQ73" s="532"/>
      <c r="IR73" s="532"/>
      <c r="IS73" s="532"/>
      <c r="IT73" s="532"/>
      <c r="IU73" s="532"/>
      <c r="IV73" s="532"/>
      <c r="IW73" s="532"/>
      <c r="IX73" s="532"/>
      <c r="IY73" s="532"/>
      <c r="IZ73" s="532"/>
      <c r="JA73" s="532"/>
      <c r="JB73" s="532"/>
      <c r="JC73" s="532"/>
      <c r="JD73" s="532"/>
      <c r="JE73" s="532"/>
      <c r="JF73" s="532"/>
      <c r="JG73" s="532"/>
      <c r="JH73" s="532"/>
      <c r="JI73" s="532"/>
      <c r="JJ73" s="532"/>
      <c r="JK73" s="532"/>
      <c r="JL73" s="532"/>
      <c r="JM73" s="532"/>
      <c r="JN73" s="532"/>
      <c r="JO73" s="532"/>
      <c r="JP73" s="532"/>
      <c r="JQ73" s="532"/>
      <c r="JR73" s="532"/>
      <c r="JS73" s="532"/>
      <c r="JT73" s="532"/>
    </row>
    <row r="74" spans="1:280" outlineLevel="1" x14ac:dyDescent="0.3">
      <c r="B74" s="389" t="s">
        <v>441</v>
      </c>
      <c r="C74" s="309" t="s">
        <v>413</v>
      </c>
      <c r="D74" s="310"/>
      <c r="E74" s="310"/>
      <c r="F74" s="310"/>
      <c r="G74" s="310"/>
      <c r="H74" s="310"/>
      <c r="I74" s="310"/>
      <c r="J74" s="310"/>
      <c r="K74" s="333">
        <f>K73/D73-1</f>
        <v>3.125E-2</v>
      </c>
      <c r="L74" s="333">
        <f t="shared" ref="L74:BW74" si="140">L73/E73-1</f>
        <v>0.31346153846153868</v>
      </c>
      <c r="M74" s="333">
        <f t="shared" si="140"/>
        <v>0.12931034482758608</v>
      </c>
      <c r="N74" s="333">
        <f t="shared" si="140"/>
        <v>-0.19825708061002212</v>
      </c>
      <c r="O74" s="333">
        <f t="shared" si="140"/>
        <v>-5.6880733944954076E-2</v>
      </c>
      <c r="P74" s="333">
        <f t="shared" si="140"/>
        <v>-0.30166270783847993</v>
      </c>
      <c r="Q74" s="333">
        <f t="shared" si="140"/>
        <v>0.16471838469713007</v>
      </c>
      <c r="R74" s="333">
        <f t="shared" si="140"/>
        <v>0.12121212121212155</v>
      </c>
      <c r="S74" s="333">
        <f t="shared" si="140"/>
        <v>-0.2796486090775987</v>
      </c>
      <c r="T74" s="333">
        <f t="shared" si="140"/>
        <v>-8.7786259541984824E-2</v>
      </c>
      <c r="U74" s="333">
        <f t="shared" si="140"/>
        <v>2.7173913043478048E-2</v>
      </c>
      <c r="V74" s="333">
        <f t="shared" si="140"/>
        <v>-0.67898832684824906</v>
      </c>
      <c r="W74" s="333">
        <f t="shared" si="140"/>
        <v>-0.38435374149659829</v>
      </c>
      <c r="X74" s="333">
        <f t="shared" si="140"/>
        <v>-0.20711678832116776</v>
      </c>
      <c r="Y74" s="333">
        <f t="shared" si="140"/>
        <v>-0.4310099573257471</v>
      </c>
      <c r="Z74" s="333">
        <f t="shared" si="140"/>
        <v>-0.26422764227642292</v>
      </c>
      <c r="AA74" s="333">
        <f t="shared" si="140"/>
        <v>-0.36234309623430982</v>
      </c>
      <c r="AB74" s="333">
        <f t="shared" si="140"/>
        <v>-0.56084656084656093</v>
      </c>
      <c r="AC74" s="333">
        <f t="shared" si="140"/>
        <v>-0.53333333333333366</v>
      </c>
      <c r="AD74" s="333">
        <f t="shared" si="140"/>
        <v>-0.55248618784530423</v>
      </c>
      <c r="AE74" s="333">
        <f t="shared" si="140"/>
        <v>-0.42174913693901028</v>
      </c>
      <c r="AF74" s="333">
        <f t="shared" si="140"/>
        <v>4.0000000000000258E-2</v>
      </c>
      <c r="AG74" s="333">
        <f t="shared" si="140"/>
        <v>3.8674033149171505E-2</v>
      </c>
      <c r="AH74" s="333">
        <f t="shared" si="140"/>
        <v>3.937007874015741E-2</v>
      </c>
      <c r="AI74" s="333">
        <f t="shared" si="140"/>
        <v>0.81325301204819356</v>
      </c>
      <c r="AJ74" s="333">
        <f t="shared" si="140"/>
        <v>2.0779220779220773</v>
      </c>
      <c r="AK74" s="333">
        <f t="shared" si="140"/>
        <v>1.2139917695473255</v>
      </c>
      <c r="AL74" s="333">
        <f t="shared" si="140"/>
        <v>0.3233830845771144</v>
      </c>
      <c r="AM74" s="333">
        <f t="shared" si="140"/>
        <v>-2.6442307692307598E-2</v>
      </c>
      <c r="AN74" s="333">
        <f t="shared" si="140"/>
        <v>-0.44946808510638325</v>
      </c>
      <c r="AO74" s="333">
        <f t="shared" si="140"/>
        <v>-0.22727272727272718</v>
      </c>
      <c r="AP74" s="333">
        <f t="shared" si="140"/>
        <v>-0.2624584717607974</v>
      </c>
      <c r="AQ74" s="333">
        <f t="shared" si="140"/>
        <v>0.40506329113924155</v>
      </c>
      <c r="AR74" s="333">
        <f t="shared" si="140"/>
        <v>3.1598513011152685E-2</v>
      </c>
      <c r="AS74" s="333">
        <f t="shared" si="140"/>
        <v>-0.12255639097744386</v>
      </c>
      <c r="AT74" s="333">
        <f t="shared" si="140"/>
        <v>-1.9753086419752819E-2</v>
      </c>
      <c r="AU74" s="333">
        <f t="shared" si="140"/>
        <v>1.0096618357487923</v>
      </c>
      <c r="AV74" s="333">
        <f t="shared" si="140"/>
        <v>0.32843137254902</v>
      </c>
      <c r="AW74" s="333">
        <f t="shared" si="140"/>
        <v>0.28378378378378377</v>
      </c>
      <c r="AX74" s="333">
        <f t="shared" si="140"/>
        <v>3.6036036036035446E-2</v>
      </c>
      <c r="AY74" s="333">
        <f t="shared" si="140"/>
        <v>0.13513513513513464</v>
      </c>
      <c r="AZ74" s="333">
        <f t="shared" si="140"/>
        <v>0.23650385604113167</v>
      </c>
      <c r="BA74" s="333">
        <f t="shared" si="140"/>
        <v>0.10327455919395434</v>
      </c>
      <c r="BB74" s="333">
        <f t="shared" si="140"/>
        <v>-6.4903846153846034E-2</v>
      </c>
      <c r="BC74" s="333">
        <f t="shared" si="140"/>
        <v>1.7220172201721784E-2</v>
      </c>
      <c r="BD74" s="333">
        <f t="shared" si="140"/>
        <v>-6.3157894736841858E-2</v>
      </c>
      <c r="BE74" s="333">
        <f t="shared" si="140"/>
        <v>-0.11014492753623129</v>
      </c>
      <c r="BF74" s="333">
        <f t="shared" si="140"/>
        <v>-8.8888888888888684E-2</v>
      </c>
      <c r="BG74" s="333">
        <f t="shared" si="140"/>
        <v>-2.9106029106028997E-2</v>
      </c>
      <c r="BH74" s="333">
        <f t="shared" si="140"/>
        <v>0.18721461187214627</v>
      </c>
      <c r="BI74" s="333">
        <f t="shared" si="140"/>
        <v>0.44730077120822642</v>
      </c>
      <c r="BJ74" s="333">
        <f t="shared" si="140"/>
        <v>0.30955259975816229</v>
      </c>
      <c r="BK74" s="333">
        <f t="shared" si="140"/>
        <v>0.63670411985018704</v>
      </c>
      <c r="BL74" s="333">
        <f t="shared" si="140"/>
        <v>0.47557003257328967</v>
      </c>
      <c r="BM74" s="333">
        <f t="shared" si="140"/>
        <v>0.55052264808362361</v>
      </c>
      <c r="BN74" s="333">
        <f t="shared" si="140"/>
        <v>0.40827980014275456</v>
      </c>
      <c r="BO74" s="333">
        <f t="shared" si="140"/>
        <v>-3.6538461538461742E-2</v>
      </c>
      <c r="BP74" s="333">
        <f t="shared" si="140"/>
        <v>0.16163410301953829</v>
      </c>
      <c r="BQ74" s="333">
        <f t="shared" si="140"/>
        <v>6.6481994459834048E-2</v>
      </c>
      <c r="BR74" s="333">
        <f t="shared" si="140"/>
        <v>0.11212814645308922</v>
      </c>
      <c r="BS74" s="333">
        <f t="shared" si="140"/>
        <v>0.26490066225165587</v>
      </c>
      <c r="BT74" s="333">
        <f t="shared" si="140"/>
        <v>0.18988764044943873</v>
      </c>
      <c r="BU74" s="333">
        <f t="shared" si="140"/>
        <v>0.12214901165737468</v>
      </c>
      <c r="BV74" s="333">
        <f t="shared" si="140"/>
        <v>0.26347305389221565</v>
      </c>
      <c r="BW74" s="333">
        <f t="shared" si="140"/>
        <v>0</v>
      </c>
      <c r="BX74" s="333">
        <f t="shared" ref="BX74:DO74" si="141">BX73/BQ73-1</f>
        <v>0.11428571428571432</v>
      </c>
      <c r="BY74" s="333">
        <f t="shared" si="141"/>
        <v>0.15637860082304544</v>
      </c>
      <c r="BZ74" s="333">
        <f t="shared" si="141"/>
        <v>1.5706806282721919E-2</v>
      </c>
      <c r="CA74" s="333">
        <f t="shared" si="141"/>
        <v>8.0264400377714651E-2</v>
      </c>
      <c r="CB74" s="333">
        <f t="shared" si="141"/>
        <v>8.8527551942186644E-2</v>
      </c>
      <c r="CC74" s="333">
        <f>CC73/BV73-1</f>
        <v>5.3712480252764427E-2</v>
      </c>
      <c r="CD74" s="333">
        <f t="shared" si="141"/>
        <v>0.14220183486238502</v>
      </c>
      <c r="CE74" s="333">
        <f t="shared" si="141"/>
        <v>9.8679098679098631E-2</v>
      </c>
      <c r="CF74" s="333">
        <f t="shared" si="141"/>
        <v>-6.4056939501779153E-2</v>
      </c>
      <c r="CG74" s="333">
        <f t="shared" si="141"/>
        <v>-5.4982817869415834E-2</v>
      </c>
      <c r="CH74" s="333">
        <f t="shared" si="141"/>
        <v>-5.9440559440559371E-2</v>
      </c>
      <c r="CI74" s="333">
        <f>CI73/CB73-1</f>
        <v>3.3195020746887627E-2</v>
      </c>
      <c r="CJ74" s="333">
        <f t="shared" si="141"/>
        <v>-7.196401799100427E-2</v>
      </c>
      <c r="CK74" s="333">
        <f t="shared" si="141"/>
        <v>-1.4725568942436484E-2</v>
      </c>
      <c r="CL74" s="333">
        <f t="shared" si="141"/>
        <v>-4.1725601131542112E-2</v>
      </c>
      <c r="CM74" s="333">
        <f t="shared" si="141"/>
        <v>0.31939163498098755</v>
      </c>
      <c r="CN74" s="333">
        <f t="shared" si="141"/>
        <v>0.48000000000000131</v>
      </c>
      <c r="CO74" s="333">
        <f t="shared" si="141"/>
        <v>0.4014869888475836</v>
      </c>
      <c r="CP74" s="333">
        <f t="shared" si="141"/>
        <v>0.14979919678714837</v>
      </c>
      <c r="CQ74" s="333">
        <f t="shared" si="141"/>
        <v>0.29079159935379639</v>
      </c>
      <c r="CR74" s="333">
        <f t="shared" si="141"/>
        <v>9.9184782608695565E-2</v>
      </c>
      <c r="CS74" s="333">
        <f t="shared" si="141"/>
        <v>0.18671586715867194</v>
      </c>
      <c r="CT74" s="333">
        <f t="shared" si="141"/>
        <v>-5.0432276657060293E-2</v>
      </c>
      <c r="CU74" s="333">
        <f t="shared" si="141"/>
        <v>-9.3366093366093916E-2</v>
      </c>
      <c r="CV74" s="333">
        <f t="shared" si="141"/>
        <v>-7.360742705570289E-2</v>
      </c>
      <c r="CW74" s="333">
        <f t="shared" si="141"/>
        <v>4.9598323436954361E-2</v>
      </c>
      <c r="CX74" s="333">
        <f t="shared" si="141"/>
        <v>0.12891113892365502</v>
      </c>
      <c r="CY74" s="333">
        <f t="shared" si="141"/>
        <v>0.21878862793572251</v>
      </c>
      <c r="CZ74" s="333">
        <f t="shared" si="141"/>
        <v>0.17412935323383039</v>
      </c>
      <c r="DA74" s="333">
        <f t="shared" si="141"/>
        <v>0.16995447647951467</v>
      </c>
      <c r="DB74" s="333">
        <f t="shared" si="141"/>
        <v>0.18021680216802149</v>
      </c>
      <c r="DC74" s="333">
        <f t="shared" si="141"/>
        <v>0.17537580529706531</v>
      </c>
      <c r="DD74" s="658">
        <f t="shared" si="141"/>
        <v>0.17470881863560739</v>
      </c>
      <c r="DE74" s="334">
        <f t="shared" si="141"/>
        <v>-9.9778270509981448E-3</v>
      </c>
      <c r="DF74" s="334">
        <f t="shared" si="141"/>
        <v>0.22210953346856033</v>
      </c>
      <c r="DG74" s="333">
        <f t="shared" si="141"/>
        <v>0.11122881355932246</v>
      </c>
      <c r="DH74" s="333">
        <f t="shared" si="141"/>
        <v>0.59922178988326813</v>
      </c>
      <c r="DI74" s="333">
        <f t="shared" si="141"/>
        <v>0.43398392652124063</v>
      </c>
      <c r="DJ74" s="333">
        <f t="shared" si="141"/>
        <v>0.51157125456760055</v>
      </c>
      <c r="DK74" s="658">
        <f t="shared" si="141"/>
        <v>0.29745042492917895</v>
      </c>
      <c r="DL74" s="335">
        <f t="shared" si="141"/>
        <v>0.5027995520716686</v>
      </c>
      <c r="DM74" s="334">
        <f t="shared" si="141"/>
        <v>0.28796680497925298</v>
      </c>
      <c r="DN74" s="333">
        <f t="shared" si="141"/>
        <v>0.37940896091515741</v>
      </c>
      <c r="DO74" s="334">
        <f t="shared" si="141"/>
        <v>0.25141930251419331</v>
      </c>
      <c r="DP74" s="333">
        <f>DP73/DI73-1</f>
        <v>0.41953562850280224</v>
      </c>
      <c r="DQ74" s="333">
        <f>DQ73/DJ73-1</f>
        <v>0.33481063658340049</v>
      </c>
      <c r="DR74" s="680">
        <f>DR73/DK73-1</f>
        <v>0.35524017467248847</v>
      </c>
      <c r="DS74" s="681">
        <f t="shared" ref="DS74:FV74" si="142">DS73/DL73-1</f>
        <v>0.14977645305514153</v>
      </c>
      <c r="DT74" s="681">
        <f t="shared" si="142"/>
        <v>4.7680412371134295E-2</v>
      </c>
      <c r="DU74" s="681">
        <f t="shared" si="142"/>
        <v>9.5024187975121022E-2</v>
      </c>
      <c r="DV74" s="681">
        <f t="shared" si="142"/>
        <v>-0.15359688917692838</v>
      </c>
      <c r="DW74" s="682">
        <f>DW73/DP73-1</f>
        <v>-0.18161308516638464</v>
      </c>
      <c r="DX74" s="682">
        <f>DX73/DQ73-1</f>
        <v>-0.1288862058557203</v>
      </c>
      <c r="DY74" s="680">
        <f>DY73/DR73-1</f>
        <v>-2.4488480747542951E-2</v>
      </c>
      <c r="DZ74" s="681">
        <f t="shared" si="142"/>
        <v>0.12896953985742088</v>
      </c>
      <c r="EA74" s="681">
        <f>EA73/DT73-1</f>
        <v>0.10024600246002402</v>
      </c>
      <c r="EB74" s="681">
        <f>EB73/DU73-1</f>
        <v>0.11423161880719412</v>
      </c>
      <c r="EC74" s="681">
        <f t="shared" si="142"/>
        <v>0.37748851454823962</v>
      </c>
      <c r="ED74" s="682">
        <f>ED73/DW73-1</f>
        <v>0.20261888352860113</v>
      </c>
      <c r="EE74" s="682">
        <f>EE73/DX73-1</f>
        <v>0.22799722799722844</v>
      </c>
      <c r="EF74" s="658">
        <f>EF73/DY73-1</f>
        <v>0.16845582163501271</v>
      </c>
      <c r="EG74" s="700">
        <f t="shared" si="142"/>
        <v>1.9517795637198576E-2</v>
      </c>
      <c r="EH74" s="700">
        <f>EH73/EA73-1</f>
        <v>-0.12241475684740066</v>
      </c>
      <c r="EI74" s="700">
        <f>EI73/EB73-1</f>
        <v>-5.2393089776266888E-2</v>
      </c>
      <c r="EJ74" s="700">
        <f t="shared" si="142"/>
        <v>-0.14619232907170665</v>
      </c>
      <c r="EK74" s="700">
        <f>EK73/ED73-1</f>
        <v>-0.10544412607449904</v>
      </c>
      <c r="EL74" s="704">
        <f>EL73/EE73-1</f>
        <v>-0.12612866817155788</v>
      </c>
      <c r="EM74" s="658">
        <f>EM73/EF73-1</f>
        <v>-8.9328621908127515E-2</v>
      </c>
      <c r="EN74" s="700">
        <f t="shared" si="142"/>
        <v>-0.28547297297297303</v>
      </c>
      <c r="EO74" s="700">
        <f>EO73/EH73-1</f>
        <v>-1.9108280254776733E-2</v>
      </c>
      <c r="EP74" s="700">
        <f>EP73/EI73-1</f>
        <v>-0.19276748356246276</v>
      </c>
      <c r="EQ74" s="551">
        <f t="shared" si="142"/>
        <v>-7.4218749999999889E-2</v>
      </c>
      <c r="ER74" s="333">
        <f t="shared" si="142"/>
        <v>0.11765539125689317</v>
      </c>
      <c r="ES74" s="333">
        <f t="shared" si="142"/>
        <v>7.0171547475400775E-2</v>
      </c>
      <c r="ET74" s="594">
        <f t="shared" si="142"/>
        <v>-9.0395983181484008E-2</v>
      </c>
      <c r="EU74" s="333">
        <f t="shared" si="142"/>
        <v>0.42366627306306648</v>
      </c>
      <c r="EV74" s="333">
        <f t="shared" si="142"/>
        <v>0.16242661814755444</v>
      </c>
      <c r="EW74" s="333">
        <f t="shared" si="142"/>
        <v>0.3306625091754487</v>
      </c>
      <c r="EX74" s="333">
        <f t="shared" si="142"/>
        <v>0.33232160631540286</v>
      </c>
      <c r="EY74" s="333">
        <f t="shared" si="142"/>
        <v>0.27226898827657475</v>
      </c>
      <c r="EZ74" s="333">
        <f t="shared" si="142"/>
        <v>0.24051392306710517</v>
      </c>
      <c r="FA74" s="594">
        <f t="shared" si="142"/>
        <v>0.31435301620504053</v>
      </c>
      <c r="FB74" s="333">
        <f t="shared" si="142"/>
        <v>0.22235858174616396</v>
      </c>
      <c r="FC74" s="333">
        <f t="shared" si="142"/>
        <v>0.2575710975699117</v>
      </c>
      <c r="FD74" s="333">
        <f t="shared" si="142"/>
        <v>0.24004766332539007</v>
      </c>
      <c r="FE74" s="333">
        <f t="shared" si="142"/>
        <v>0.28733525751501365</v>
      </c>
      <c r="FF74" s="333">
        <f t="shared" si="142"/>
        <v>0.21043212567576042</v>
      </c>
      <c r="FG74" s="333">
        <f t="shared" si="142"/>
        <v>0.24599266850040014</v>
      </c>
      <c r="FH74" s="594">
        <f t="shared" si="142"/>
        <v>0.24329758440665272</v>
      </c>
      <c r="FI74" s="333">
        <f t="shared" si="142"/>
        <v>0.19686993385402651</v>
      </c>
      <c r="FJ74" s="333">
        <f t="shared" si="142"/>
        <v>0.16607196767373389</v>
      </c>
      <c r="FK74" s="333">
        <f t="shared" si="142"/>
        <v>0.1814200502791663</v>
      </c>
      <c r="FL74" s="333">
        <f t="shared" si="142"/>
        <v>0.15387302988505391</v>
      </c>
      <c r="FM74" s="333">
        <f t="shared" si="142"/>
        <v>0.1357486236967862</v>
      </c>
      <c r="FN74" s="333">
        <f t="shared" si="142"/>
        <v>0.14444749610434271</v>
      </c>
      <c r="FO74" s="594">
        <f t="shared" si="142"/>
        <v>0.16169100332342445</v>
      </c>
      <c r="FP74" s="333">
        <f t="shared" si="142"/>
        <v>0.15170625315152053</v>
      </c>
      <c r="FQ74" s="333">
        <f t="shared" si="142"/>
        <v>0.17750393690763699</v>
      </c>
      <c r="FR74" s="333">
        <f t="shared" si="142"/>
        <v>0.16463771387024617</v>
      </c>
      <c r="FS74" s="333">
        <f t="shared" si="142"/>
        <v>0.16668991080517959</v>
      </c>
      <c r="FT74" s="333">
        <f t="shared" si="142"/>
        <v>0.15212412863476366</v>
      </c>
      <c r="FU74" s="333">
        <f t="shared" si="142"/>
        <v>0.15918350397965408</v>
      </c>
      <c r="FV74" s="594">
        <f t="shared" si="142"/>
        <v>0.16180105354868624</v>
      </c>
    </row>
    <row r="75" spans="1:280" outlineLevel="1" x14ac:dyDescent="0.3">
      <c r="B75" s="354" t="s">
        <v>442</v>
      </c>
      <c r="C75" s="280" t="s">
        <v>226</v>
      </c>
      <c r="BZ75" s="281"/>
      <c r="CY75" s="281"/>
      <c r="DD75" s="608"/>
      <c r="DK75" s="608"/>
      <c r="DR75" s="590"/>
      <c r="DS75" s="282"/>
      <c r="DT75" s="282"/>
      <c r="DU75" s="282"/>
      <c r="DV75" s="282"/>
      <c r="DW75" s="282"/>
      <c r="DX75" s="282"/>
      <c r="DY75" s="590"/>
      <c r="DZ75" s="282"/>
      <c r="EA75" s="282"/>
      <c r="EB75" s="282"/>
      <c r="EC75" s="282"/>
      <c r="ED75" s="282"/>
      <c r="EE75" s="282"/>
      <c r="EF75" s="590"/>
      <c r="EG75" s="282"/>
      <c r="EH75" s="282"/>
      <c r="EI75" s="282"/>
      <c r="EJ75" s="282"/>
      <c r="EK75" s="282"/>
      <c r="EL75" s="282"/>
      <c r="EM75" s="590"/>
      <c r="EN75" s="540"/>
      <c r="EO75" s="282"/>
      <c r="EP75" s="282"/>
      <c r="EQ75" s="547"/>
    </row>
    <row r="76" spans="1:280" s="247" customFormat="1" outlineLevel="1" x14ac:dyDescent="0.3">
      <c r="A76" s="302"/>
      <c r="B76" s="378" t="s">
        <v>443</v>
      </c>
      <c r="C76" s="280" t="s">
        <v>226</v>
      </c>
      <c r="D76" s="322">
        <f t="shared" ref="D76:BO76" si="143">D73-D75</f>
        <v>60.79999999999999</v>
      </c>
      <c r="E76" s="322">
        <f t="shared" si="143"/>
        <v>52</v>
      </c>
      <c r="F76" s="322">
        <f t="shared" si="143"/>
        <v>116.00000000000003</v>
      </c>
      <c r="G76" s="322">
        <f t="shared" si="143"/>
        <v>45.900000000000013</v>
      </c>
      <c r="H76" s="322">
        <f t="shared" si="143"/>
        <v>54.499999999999993</v>
      </c>
      <c r="I76" s="322">
        <f t="shared" si="143"/>
        <v>126.30000000000001</v>
      </c>
      <c r="J76" s="322">
        <f t="shared" si="143"/>
        <v>188.20000000000005</v>
      </c>
      <c r="K76" s="322">
        <f t="shared" si="143"/>
        <v>62.699999999999996</v>
      </c>
      <c r="L76" s="322">
        <f t="shared" si="143"/>
        <v>68.300000000000011</v>
      </c>
      <c r="M76" s="322">
        <f t="shared" si="143"/>
        <v>131.00000000000003</v>
      </c>
      <c r="N76" s="322">
        <f t="shared" si="143"/>
        <v>36.799999999999997</v>
      </c>
      <c r="O76" s="322">
        <f t="shared" si="143"/>
        <v>51.4</v>
      </c>
      <c r="P76" s="322">
        <f t="shared" si="143"/>
        <v>88.199999999999989</v>
      </c>
      <c r="Q76" s="322">
        <f t="shared" si="143"/>
        <v>219.19999999999993</v>
      </c>
      <c r="R76" s="322">
        <f t="shared" si="143"/>
        <v>70.300000000000011</v>
      </c>
      <c r="S76" s="322">
        <f t="shared" si="143"/>
        <v>49.200000000000017</v>
      </c>
      <c r="T76" s="322">
        <f t="shared" si="143"/>
        <v>119.50000000000001</v>
      </c>
      <c r="U76" s="322">
        <f t="shared" si="143"/>
        <v>37.79999999999999</v>
      </c>
      <c r="V76" s="322">
        <f t="shared" si="143"/>
        <v>16.5</v>
      </c>
      <c r="W76" s="322">
        <f t="shared" si="143"/>
        <v>54.300000000000026</v>
      </c>
      <c r="X76" s="322">
        <f t="shared" si="143"/>
        <v>173.79999999999998</v>
      </c>
      <c r="Y76" s="322">
        <f t="shared" si="143"/>
        <v>39.999999999999986</v>
      </c>
      <c r="Z76" s="322">
        <f t="shared" si="143"/>
        <v>36.200000000000003</v>
      </c>
      <c r="AA76" s="322">
        <f t="shared" si="143"/>
        <v>76.199999999999989</v>
      </c>
      <c r="AB76" s="322">
        <f t="shared" si="143"/>
        <v>16.599999999999994</v>
      </c>
      <c r="AC76" s="322">
        <f t="shared" si="143"/>
        <v>7.6999999999999957</v>
      </c>
      <c r="AD76" s="322">
        <f t="shared" si="143"/>
        <v>24.29999999999999</v>
      </c>
      <c r="AE76" s="322">
        <f t="shared" si="143"/>
        <v>100.5</v>
      </c>
      <c r="AF76" s="322">
        <f t="shared" si="143"/>
        <v>41.599999999999994</v>
      </c>
      <c r="AG76" s="322">
        <f t="shared" si="143"/>
        <v>37.600000000000009</v>
      </c>
      <c r="AH76" s="322">
        <f t="shared" si="143"/>
        <v>79.199999999999974</v>
      </c>
      <c r="AI76" s="322">
        <f t="shared" si="143"/>
        <v>30.1</v>
      </c>
      <c r="AJ76" s="322">
        <f t="shared" si="143"/>
        <v>23.699999999999982</v>
      </c>
      <c r="AK76" s="322">
        <f t="shared" si="143"/>
        <v>53.79999999999999</v>
      </c>
      <c r="AL76" s="322">
        <f t="shared" si="143"/>
        <v>133</v>
      </c>
      <c r="AM76" s="322">
        <f t="shared" si="143"/>
        <v>40.5</v>
      </c>
      <c r="AN76" s="322">
        <f t="shared" si="143"/>
        <v>20.699999999999996</v>
      </c>
      <c r="AO76" s="322">
        <f t="shared" si="143"/>
        <v>61.199999999999989</v>
      </c>
      <c r="AP76" s="322">
        <f t="shared" si="143"/>
        <v>22.2</v>
      </c>
      <c r="AQ76" s="322">
        <f t="shared" si="143"/>
        <v>33.299999999999997</v>
      </c>
      <c r="AR76" s="322">
        <f t="shared" si="143"/>
        <v>55.5</v>
      </c>
      <c r="AS76" s="322">
        <f t="shared" si="143"/>
        <v>116.69999999999996</v>
      </c>
      <c r="AT76" s="322">
        <f t="shared" si="143"/>
        <v>39.70000000000001</v>
      </c>
      <c r="AU76" s="322">
        <f t="shared" si="143"/>
        <v>41.599999999999994</v>
      </c>
      <c r="AV76" s="322">
        <f t="shared" si="143"/>
        <v>81.300000000000011</v>
      </c>
      <c r="AW76" s="322">
        <f t="shared" si="143"/>
        <v>28.5</v>
      </c>
      <c r="AX76" s="322">
        <f t="shared" si="143"/>
        <v>34.499999999999979</v>
      </c>
      <c r="AY76" s="322">
        <f t="shared" si="143"/>
        <v>62.999999999999972</v>
      </c>
      <c r="AZ76" s="297">
        <f t="shared" si="143"/>
        <v>144.30000000000001</v>
      </c>
      <c r="BA76" s="297">
        <f t="shared" si="143"/>
        <v>43.8</v>
      </c>
      <c r="BB76" s="297">
        <f t="shared" si="143"/>
        <v>38.9</v>
      </c>
      <c r="BC76" s="297">
        <f t="shared" si="143"/>
        <v>82.699999999999989</v>
      </c>
      <c r="BD76" s="297">
        <f t="shared" si="143"/>
        <v>26.700000000000006</v>
      </c>
      <c r="BE76" s="297">
        <f t="shared" si="143"/>
        <v>30.700000000000003</v>
      </c>
      <c r="BF76" s="297">
        <f t="shared" si="143"/>
        <v>57.399999999999984</v>
      </c>
      <c r="BG76" s="297">
        <f t="shared" si="143"/>
        <v>140.10000000000002</v>
      </c>
      <c r="BH76" s="297">
        <f t="shared" si="143"/>
        <v>52.000000000000007</v>
      </c>
      <c r="BI76" s="297">
        <f t="shared" si="143"/>
        <v>56.300000000000004</v>
      </c>
      <c r="BJ76" s="297">
        <f t="shared" si="143"/>
        <v>108.30000000000001</v>
      </c>
      <c r="BK76" s="297">
        <f t="shared" si="143"/>
        <v>43.7</v>
      </c>
      <c r="BL76" s="297">
        <f t="shared" si="143"/>
        <v>45.3</v>
      </c>
      <c r="BM76" s="297">
        <f t="shared" si="143"/>
        <v>88.999999999999972</v>
      </c>
      <c r="BN76" s="297">
        <f t="shared" si="143"/>
        <v>197.29999999999995</v>
      </c>
      <c r="BO76" s="297">
        <f t="shared" si="143"/>
        <v>50.099999999999994</v>
      </c>
      <c r="BP76" s="297">
        <f t="shared" ref="BP76:DR76" si="144">BP73-BP75</f>
        <v>65.400000000000006</v>
      </c>
      <c r="BQ76" s="297">
        <f t="shared" si="144"/>
        <v>115.50000000000003</v>
      </c>
      <c r="BR76" s="297">
        <f t="shared" si="144"/>
        <v>48.6</v>
      </c>
      <c r="BS76" s="297">
        <f t="shared" si="144"/>
        <v>57.300000000000004</v>
      </c>
      <c r="BT76" s="297">
        <f t="shared" si="144"/>
        <v>105.90000000000002</v>
      </c>
      <c r="BU76" s="297">
        <f t="shared" si="144"/>
        <v>221.39999999999998</v>
      </c>
      <c r="BV76" s="297">
        <f t="shared" si="144"/>
        <v>63.3</v>
      </c>
      <c r="BW76" s="297">
        <f t="shared" si="144"/>
        <v>65.400000000000034</v>
      </c>
      <c r="BX76" s="297">
        <f t="shared" si="144"/>
        <v>128.70000000000005</v>
      </c>
      <c r="BY76" s="297">
        <f t="shared" si="144"/>
        <v>56.20000000000001</v>
      </c>
      <c r="BZ76" s="297">
        <f t="shared" si="144"/>
        <v>58.199999999999974</v>
      </c>
      <c r="CA76" s="297">
        <f t="shared" si="144"/>
        <v>114.39999999999999</v>
      </c>
      <c r="CB76" s="297">
        <f t="shared" si="144"/>
        <v>241.00000000000009</v>
      </c>
      <c r="CC76" s="297">
        <f t="shared" si="144"/>
        <v>66.699999999999989</v>
      </c>
      <c r="CD76" s="297">
        <f t="shared" si="144"/>
        <v>74.700000000000017</v>
      </c>
      <c r="CE76" s="297">
        <f t="shared" si="144"/>
        <v>141.40000000000003</v>
      </c>
      <c r="CF76" s="297">
        <f t="shared" si="144"/>
        <v>52.600000000000023</v>
      </c>
      <c r="CG76" s="297">
        <f t="shared" si="144"/>
        <v>54.999999999999972</v>
      </c>
      <c r="CH76" s="297">
        <f t="shared" si="144"/>
        <v>107.6</v>
      </c>
      <c r="CI76" s="297">
        <f t="shared" si="144"/>
        <v>249.00000000000003</v>
      </c>
      <c r="CJ76" s="297">
        <f t="shared" si="144"/>
        <v>61.900000000000006</v>
      </c>
      <c r="CK76" s="297">
        <f t="shared" si="144"/>
        <v>73.600000000000009</v>
      </c>
      <c r="CL76" s="297">
        <f t="shared" si="144"/>
        <v>135.49999999999997</v>
      </c>
      <c r="CM76" s="297">
        <f t="shared" si="144"/>
        <v>69.399999999999977</v>
      </c>
      <c r="CN76" s="297">
        <f t="shared" si="144"/>
        <v>81.400000000000034</v>
      </c>
      <c r="CO76" s="297">
        <f t="shared" si="144"/>
        <v>150.79999999999998</v>
      </c>
      <c r="CP76" s="345">
        <f t="shared" si="144"/>
        <v>286.29999999999995</v>
      </c>
      <c r="CQ76" s="345">
        <f t="shared" si="144"/>
        <v>79.900000000000006</v>
      </c>
      <c r="CR76" s="345">
        <f t="shared" si="144"/>
        <v>80.900000000000006</v>
      </c>
      <c r="CS76" s="345">
        <f t="shared" si="144"/>
        <v>160.80000000000001</v>
      </c>
      <c r="CT76" s="345">
        <f t="shared" si="144"/>
        <v>65.899999999999991</v>
      </c>
      <c r="CU76" s="345">
        <f t="shared" si="144"/>
        <v>73.799999999999983</v>
      </c>
      <c r="CV76" s="345">
        <f t="shared" si="144"/>
        <v>139.69999999999999</v>
      </c>
      <c r="CW76" s="345">
        <f t="shared" si="144"/>
        <v>300.5</v>
      </c>
      <c r="CX76" s="345">
        <f t="shared" si="144"/>
        <v>90.200000000000045</v>
      </c>
      <c r="CY76" s="345">
        <f t="shared" si="144"/>
        <v>98.599999999999966</v>
      </c>
      <c r="CZ76" s="345">
        <f t="shared" si="144"/>
        <v>188.79999999999995</v>
      </c>
      <c r="DA76" s="345">
        <f t="shared" si="144"/>
        <v>77.100000000000009</v>
      </c>
      <c r="DB76" s="345">
        <f t="shared" si="144"/>
        <v>87.099999999999966</v>
      </c>
      <c r="DC76" s="345">
        <f>DC73-DC75</f>
        <v>164.20000000000002</v>
      </c>
      <c r="DD76" s="655">
        <f>DD73-DD75</f>
        <v>353</v>
      </c>
      <c r="DE76" s="297">
        <f t="shared" si="144"/>
        <v>89.300000000000011</v>
      </c>
      <c r="DF76" s="297">
        <f t="shared" si="144"/>
        <v>120.5</v>
      </c>
      <c r="DG76" s="345">
        <f t="shared" si="144"/>
        <v>209.8</v>
      </c>
      <c r="DH76" s="345">
        <f t="shared" si="144"/>
        <v>123.29999999999998</v>
      </c>
      <c r="DI76" s="345">
        <f t="shared" si="144"/>
        <v>124.9</v>
      </c>
      <c r="DJ76" s="345">
        <f t="shared" si="144"/>
        <v>248.20000000000005</v>
      </c>
      <c r="DK76" s="655">
        <f t="shared" si="144"/>
        <v>458.00000000000017</v>
      </c>
      <c r="DL76" s="348">
        <f t="shared" si="144"/>
        <v>134.20000000000002</v>
      </c>
      <c r="DM76" s="345">
        <f>DM73-DM75</f>
        <v>155.19999999999999</v>
      </c>
      <c r="DN76" s="345">
        <f t="shared" si="144"/>
        <v>289.40000000000003</v>
      </c>
      <c r="DO76" s="345">
        <f t="shared" si="144"/>
        <v>154.30000000000001</v>
      </c>
      <c r="DP76" s="345">
        <f>DP73-DP75</f>
        <v>177.3</v>
      </c>
      <c r="DQ76" s="390">
        <f t="shared" si="144"/>
        <v>331.30000000000007</v>
      </c>
      <c r="DR76" s="591">
        <f t="shared" si="144"/>
        <v>620.69999999999993</v>
      </c>
      <c r="DS76" s="299">
        <f t="shared" ref="DS76:EM76" si="145">DS73-DS75</f>
        <v>154.30000000000001</v>
      </c>
      <c r="DT76" s="299">
        <f t="shared" si="145"/>
        <v>162.60000000000002</v>
      </c>
      <c r="DU76" s="299">
        <f t="shared" si="145"/>
        <v>316.90000000000009</v>
      </c>
      <c r="DV76" s="306">
        <f t="shared" si="145"/>
        <v>130.59999999999997</v>
      </c>
      <c r="DW76" s="299">
        <f t="shared" si="145"/>
        <v>145.10000000000002</v>
      </c>
      <c r="DX76" s="694">
        <f t="shared" si="145"/>
        <v>288.59999999999991</v>
      </c>
      <c r="DY76" s="591">
        <f t="shared" si="145"/>
        <v>605.5</v>
      </c>
      <c r="DZ76" s="299">
        <f t="shared" si="145"/>
        <v>174.20000000000005</v>
      </c>
      <c r="EA76" s="299">
        <f t="shared" si="145"/>
        <v>178.89999999999992</v>
      </c>
      <c r="EB76" s="299">
        <f t="shared" si="145"/>
        <v>353.09999999999991</v>
      </c>
      <c r="EC76" s="306">
        <f t="shared" si="145"/>
        <v>179.90000000000003</v>
      </c>
      <c r="ED76" s="299">
        <f t="shared" si="145"/>
        <v>174.50000000000006</v>
      </c>
      <c r="EE76" s="694">
        <f t="shared" si="145"/>
        <v>354.40000000000003</v>
      </c>
      <c r="EF76" s="591">
        <f t="shared" si="145"/>
        <v>707.50000000000023</v>
      </c>
      <c r="EG76" s="299">
        <f t="shared" si="145"/>
        <v>177.60000000000002</v>
      </c>
      <c r="EH76" s="299">
        <f t="shared" si="145"/>
        <v>156.99999999999994</v>
      </c>
      <c r="EI76" s="299">
        <f t="shared" si="145"/>
        <v>334.60000000000008</v>
      </c>
      <c r="EJ76" s="306">
        <f t="shared" si="145"/>
        <v>153.6</v>
      </c>
      <c r="EK76" s="299">
        <f t="shared" si="145"/>
        <v>156.09999999999997</v>
      </c>
      <c r="EL76" s="694">
        <f t="shared" si="145"/>
        <v>309.69999999999993</v>
      </c>
      <c r="EM76" s="591">
        <f t="shared" si="145"/>
        <v>644.29999999999995</v>
      </c>
      <c r="EN76" s="330">
        <f>EN73-EN75</f>
        <v>126.9</v>
      </c>
      <c r="EO76" s="300">
        <f>EO73-EO75</f>
        <v>154</v>
      </c>
      <c r="EP76" s="299">
        <f t="shared" ref="EP76" si="146">EP73-EP75</f>
        <v>270.10000000000002</v>
      </c>
      <c r="EQ76" s="719">
        <v>142.19999999999999</v>
      </c>
      <c r="ER76" s="345">
        <f t="shared" ref="ER76:FV76" si="147">ER73-ER75</f>
        <v>174.46600657520099</v>
      </c>
      <c r="ES76" s="345">
        <f t="shared" si="147"/>
        <v>331.43212825313157</v>
      </c>
      <c r="ET76" s="595">
        <f t="shared" si="147"/>
        <v>586.05786803616979</v>
      </c>
      <c r="EU76" s="345">
        <f t="shared" si="147"/>
        <v>180.66325005170313</v>
      </c>
      <c r="EV76" s="345">
        <f t="shared" si="147"/>
        <v>179.01369919472339</v>
      </c>
      <c r="EW76" s="345">
        <f t="shared" si="147"/>
        <v>359.41194372828875</v>
      </c>
      <c r="EX76" s="345">
        <f t="shared" si="147"/>
        <v>189.45613241805032</v>
      </c>
      <c r="EY76" s="345">
        <f t="shared" si="147"/>
        <v>221.96768967408522</v>
      </c>
      <c r="EZ76" s="345">
        <f t="shared" si="147"/>
        <v>411.14616964977216</v>
      </c>
      <c r="FA76" s="595">
        <f t="shared" si="147"/>
        <v>770.28692652403538</v>
      </c>
      <c r="FB76" s="345">
        <f t="shared" si="147"/>
        <v>220.83527410685241</v>
      </c>
      <c r="FC76" s="345">
        <f t="shared" si="147"/>
        <v>225.1224541763583</v>
      </c>
      <c r="FD76" s="345">
        <f t="shared" si="147"/>
        <v>445.68794099150102</v>
      </c>
      <c r="FE76" s="345">
        <f t="shared" si="147"/>
        <v>243.89355901418935</v>
      </c>
      <c r="FF76" s="345">
        <f t="shared" si="147"/>
        <v>268.67682244354052</v>
      </c>
      <c r="FG76" s="345">
        <f t="shared" si="147"/>
        <v>512.2851130656378</v>
      </c>
      <c r="FH76" s="595">
        <f t="shared" si="147"/>
        <v>957.69587504735796</v>
      </c>
      <c r="FI76" s="345">
        <f t="shared" si="147"/>
        <v>264.31109991290424</v>
      </c>
      <c r="FJ76" s="345">
        <f t="shared" si="147"/>
        <v>262.50898310896611</v>
      </c>
      <c r="FK76" s="345">
        <f t="shared" si="147"/>
        <v>526.54466965499728</v>
      </c>
      <c r="FL76" s="345">
        <f t="shared" si="147"/>
        <v>281.42219990915186</v>
      </c>
      <c r="FM76" s="345">
        <f t="shared" si="147"/>
        <v>305.14933130947696</v>
      </c>
      <c r="FN76" s="345">
        <f t="shared" si="147"/>
        <v>586.28341493949927</v>
      </c>
      <c r="FO76" s="595">
        <f t="shared" si="147"/>
        <v>1112.5466819624703</v>
      </c>
      <c r="FP76" s="345">
        <f t="shared" si="147"/>
        <v>304.40874654704811</v>
      </c>
      <c r="FQ76" s="345">
        <f t="shared" si="147"/>
        <v>309.10536108442795</v>
      </c>
      <c r="FR76" s="345">
        <f t="shared" si="147"/>
        <v>613.23378031755999</v>
      </c>
      <c r="FS76" s="345">
        <f t="shared" si="147"/>
        <v>328.33244131060582</v>
      </c>
      <c r="FT76" s="345">
        <f t="shared" si="147"/>
        <v>351.56990743841192</v>
      </c>
      <c r="FU76" s="345">
        <f t="shared" si="147"/>
        <v>679.61006325472624</v>
      </c>
      <c r="FV76" s="595">
        <f t="shared" si="147"/>
        <v>1292.5579072260932</v>
      </c>
      <c r="FW76" s="632"/>
      <c r="FX76" s="639"/>
      <c r="FY76" s="639"/>
      <c r="FZ76" s="639"/>
      <c r="GA76" s="639"/>
      <c r="GB76"/>
      <c r="GC76"/>
      <c r="GD76"/>
      <c r="GE76"/>
      <c r="GF76"/>
      <c r="GG76"/>
      <c r="GH76" s="532"/>
      <c r="GI76" s="532"/>
      <c r="GJ76" s="532"/>
      <c r="GK76" s="532"/>
      <c r="GL76" s="532"/>
      <c r="GM76" s="532"/>
      <c r="GN76" s="532"/>
      <c r="GO76" s="532"/>
      <c r="GP76" s="532"/>
      <c r="GQ76" s="532"/>
      <c r="GR76" s="532"/>
      <c r="GS76" s="532"/>
      <c r="GT76" s="532"/>
      <c r="GU76" s="532"/>
      <c r="GV76" s="532"/>
      <c r="GW76" s="532"/>
      <c r="GX76" s="532"/>
      <c r="GY76" s="532"/>
      <c r="GZ76" s="532"/>
      <c r="HA76" s="532"/>
      <c r="HB76" s="532"/>
      <c r="HC76" s="532"/>
      <c r="HD76" s="532"/>
      <c r="HE76" s="532"/>
      <c r="HF76" s="532"/>
      <c r="HG76" s="532"/>
      <c r="HH76" s="532"/>
      <c r="HI76" s="532"/>
      <c r="HJ76" s="532"/>
      <c r="HK76" s="532"/>
      <c r="HL76" s="532"/>
      <c r="HM76" s="532"/>
      <c r="HN76" s="532"/>
      <c r="HO76" s="532"/>
      <c r="HP76" s="532"/>
      <c r="HQ76" s="532"/>
      <c r="HR76" s="532"/>
      <c r="HS76" s="532"/>
      <c r="HT76" s="532"/>
      <c r="HU76" s="532"/>
      <c r="HV76" s="532"/>
      <c r="HW76" s="532"/>
      <c r="HX76" s="532"/>
      <c r="HY76" s="532"/>
      <c r="HZ76" s="532"/>
      <c r="IA76" s="532"/>
      <c r="IB76" s="532"/>
      <c r="IC76" s="532"/>
      <c r="ID76" s="532"/>
      <c r="IE76" s="532"/>
      <c r="IF76" s="532"/>
      <c r="IG76" s="532"/>
      <c r="IH76" s="532"/>
      <c r="II76" s="532"/>
      <c r="IJ76" s="532"/>
      <c r="IK76" s="532"/>
      <c r="IL76" s="532"/>
      <c r="IM76" s="532"/>
      <c r="IN76" s="532"/>
      <c r="IO76" s="532"/>
      <c r="IP76" s="532"/>
      <c r="IQ76" s="532"/>
      <c r="IR76" s="532"/>
      <c r="IS76" s="532"/>
      <c r="IT76" s="532"/>
      <c r="IU76" s="532"/>
      <c r="IV76" s="532"/>
      <c r="IW76" s="532"/>
      <c r="IX76" s="532"/>
      <c r="IY76" s="532"/>
      <c r="IZ76" s="532"/>
      <c r="JA76" s="532"/>
      <c r="JB76" s="532"/>
      <c r="JC76" s="532"/>
      <c r="JD76" s="532"/>
      <c r="JE76" s="532"/>
      <c r="JF76" s="532"/>
      <c r="JG76" s="532"/>
      <c r="JH76" s="532"/>
      <c r="JI76" s="532"/>
      <c r="JJ76" s="532"/>
      <c r="JK76" s="532"/>
      <c r="JL76" s="532"/>
      <c r="JM76" s="532"/>
      <c r="JN76" s="532"/>
      <c r="JO76" s="532"/>
      <c r="JP76" s="532"/>
      <c r="JQ76" s="532"/>
      <c r="JR76" s="532"/>
      <c r="JS76" s="532"/>
      <c r="JT76" s="532"/>
    </row>
    <row r="77" spans="1:280" outlineLevel="1" x14ac:dyDescent="0.3">
      <c r="B77" s="354" t="s">
        <v>444</v>
      </c>
      <c r="C77" s="280"/>
      <c r="D77" s="320">
        <f>SUM(D52:D55)+D64</f>
        <v>-5.2</v>
      </c>
      <c r="E77" s="320">
        <f>SUM(E52:E55)+E64-E66</f>
        <v>-4.1000000000000005</v>
      </c>
      <c r="F77" s="320">
        <f>SUM(F52:F55)+F64</f>
        <v>-9.9</v>
      </c>
      <c r="G77" s="320">
        <f>SUM(G52:G55)+G64</f>
        <v>-4.8</v>
      </c>
      <c r="H77" s="320">
        <f>SUM(H52:H55)+H64-H66</f>
        <v>-731</v>
      </c>
      <c r="I77" s="320">
        <f t="shared" ref="I77:U77" si="148">SUM(I52:I55)+I64</f>
        <v>-723.1</v>
      </c>
      <c r="J77" s="320">
        <f t="shared" si="148"/>
        <v>-715.6</v>
      </c>
      <c r="K77" s="320">
        <f t="shared" si="148"/>
        <v>-27.2</v>
      </c>
      <c r="L77" s="320">
        <f t="shared" si="148"/>
        <v>-47.2</v>
      </c>
      <c r="M77" s="320">
        <f t="shared" si="148"/>
        <v>-74.400000000000006</v>
      </c>
      <c r="N77" s="320">
        <f t="shared" si="148"/>
        <v>-44.8</v>
      </c>
      <c r="O77" s="320">
        <f t="shared" si="148"/>
        <v>-286.3</v>
      </c>
      <c r="P77" s="320">
        <f t="shared" si="148"/>
        <v>-331.1</v>
      </c>
      <c r="Q77" s="320">
        <f t="shared" si="148"/>
        <v>-405.5</v>
      </c>
      <c r="R77" s="320">
        <f t="shared" si="148"/>
        <v>-30.800000000000004</v>
      </c>
      <c r="S77" s="320">
        <f t="shared" si="148"/>
        <v>-29.299999999999997</v>
      </c>
      <c r="T77" s="320">
        <f t="shared" si="148"/>
        <v>-60.099999999999994</v>
      </c>
      <c r="U77" s="320">
        <f t="shared" si="148"/>
        <v>-30.499999999999996</v>
      </c>
      <c r="V77" s="320">
        <f>SUM(V52:V55)+V64+1.6</f>
        <v>-221.8</v>
      </c>
      <c r="W77" s="320">
        <f t="shared" ref="W77:AE77" si="149">SUM(W52:W55)+W64</f>
        <v>-180.40000000000003</v>
      </c>
      <c r="X77" s="320">
        <f t="shared" si="149"/>
        <v>-314.40000000000003</v>
      </c>
      <c r="Y77" s="320">
        <f t="shared" si="149"/>
        <v>-41.7</v>
      </c>
      <c r="Z77" s="320">
        <f t="shared" si="149"/>
        <v>137.80000000000001</v>
      </c>
      <c r="AA77" s="320">
        <f t="shared" si="149"/>
        <v>96.100000000000009</v>
      </c>
      <c r="AB77" s="320">
        <f t="shared" si="149"/>
        <v>88.899999999999991</v>
      </c>
      <c r="AC77" s="320">
        <f t="shared" si="149"/>
        <v>-205.5</v>
      </c>
      <c r="AD77" s="320">
        <f t="shared" si="149"/>
        <v>-101.8</v>
      </c>
      <c r="AE77" s="320">
        <f t="shared" si="149"/>
        <v>-5.7000000000000028</v>
      </c>
      <c r="AF77" s="320">
        <f>SUM(AF52:AF55)+AF64+0.4</f>
        <v>-119.79999999999998</v>
      </c>
      <c r="AG77" s="320">
        <f>SUM(AG52:AG55)+AG64+1.9</f>
        <v>-60.7</v>
      </c>
      <c r="AH77" s="320">
        <f>AG77+AF77</f>
        <v>-180.5</v>
      </c>
      <c r="AI77" s="320">
        <f>SUM(AI52:AI55)+AI64+2.4</f>
        <v>-15.400000000000004</v>
      </c>
      <c r="AJ77" s="320">
        <f>SUM(AJ52:AJ55)+AJ64+2</f>
        <v>-23.8</v>
      </c>
      <c r="AK77" s="320">
        <f>AJ77+AI77</f>
        <v>-39.200000000000003</v>
      </c>
      <c r="AL77" s="320">
        <f>AK77+AH77</f>
        <v>-219.7</v>
      </c>
      <c r="AM77" s="320">
        <f>SUM(AM52:AM55)+AM64</f>
        <v>62.7</v>
      </c>
      <c r="AN77" s="320">
        <f>SUM(AN52:AN55)+AN64</f>
        <v>-97.2</v>
      </c>
      <c r="AO77" s="320">
        <f>AN77+AM77</f>
        <v>-34.5</v>
      </c>
      <c r="AP77" s="320">
        <f>SUM(AP52:AP55)+AP64</f>
        <v>-46.4</v>
      </c>
      <c r="AQ77" s="320">
        <f>SUM(AQ52:AQ55)+AQ64</f>
        <v>5.9</v>
      </c>
      <c r="AR77" s="320">
        <f>AP77+AQ77</f>
        <v>-40.5</v>
      </c>
      <c r="AS77" s="320">
        <f>AO77+AR77</f>
        <v>-75</v>
      </c>
      <c r="AT77" s="320">
        <f t="shared" ref="AT77:BE77" si="150">SUM(AT52:AT56)+AT64</f>
        <v>-39.500000000000021</v>
      </c>
      <c r="AU77" s="320">
        <f t="shared" si="150"/>
        <v>85.5</v>
      </c>
      <c r="AV77" s="320">
        <f t="shared" si="150"/>
        <v>45.999999999999964</v>
      </c>
      <c r="AW77" s="320">
        <f t="shared" si="150"/>
        <v>-37</v>
      </c>
      <c r="AX77" s="320">
        <f t="shared" si="150"/>
        <v>-45.1</v>
      </c>
      <c r="AY77" s="320">
        <f t="shared" si="150"/>
        <v>-82.100000000000009</v>
      </c>
      <c r="AZ77" s="281">
        <f t="shared" si="150"/>
        <v>-36.100000000000037</v>
      </c>
      <c r="BA77" s="281">
        <f t="shared" si="150"/>
        <v>25.9</v>
      </c>
      <c r="BB77" s="281">
        <f t="shared" si="150"/>
        <v>-27.699999999999996</v>
      </c>
      <c r="BC77" s="281">
        <f t="shared" si="150"/>
        <v>-1.7999999999999985</v>
      </c>
      <c r="BD77" s="281">
        <f t="shared" si="150"/>
        <v>1.1999999999999997</v>
      </c>
      <c r="BE77" s="281">
        <f t="shared" si="150"/>
        <v>-143.89999999999998</v>
      </c>
      <c r="BF77" s="281">
        <f>BE77+BD77</f>
        <v>-142.69999999999999</v>
      </c>
      <c r="BG77" s="281">
        <f>BC77+BF77</f>
        <v>-144.5</v>
      </c>
      <c r="BH77" s="281">
        <f>SUM(BH52:BH56)+BH64</f>
        <v>90.5</v>
      </c>
      <c r="BI77" s="281">
        <f>SUM(BI52:BI56)+BI64</f>
        <v>-4.1999999999999993</v>
      </c>
      <c r="BJ77" s="281">
        <f>BI77+BH77</f>
        <v>86.3</v>
      </c>
      <c r="BK77" s="281">
        <f>SUM(BK52:BK56)+BK64</f>
        <v>40.200000000000003</v>
      </c>
      <c r="BL77" s="281">
        <f>SUM(BL52:BL56)+BL64</f>
        <v>0.5</v>
      </c>
      <c r="BM77" s="281">
        <f>BL77+BK77</f>
        <v>40.700000000000003</v>
      </c>
      <c r="BN77" s="281">
        <f>BJ77+BM77</f>
        <v>127</v>
      </c>
      <c r="BO77" s="281">
        <f>SUM(BO52:BO56)+BO64</f>
        <v>-21</v>
      </c>
      <c r="BP77" s="281">
        <f>SUM(BP52:BP56)+BP64</f>
        <v>61.2</v>
      </c>
      <c r="BQ77" s="281">
        <f>BP77+BO77</f>
        <v>40.200000000000003</v>
      </c>
      <c r="BR77" s="281">
        <f>SUM(BR52:BR56)+BR64</f>
        <v>60</v>
      </c>
      <c r="BS77" s="281">
        <f>SUM(BS52:BS56)+BS64</f>
        <v>-67.8</v>
      </c>
      <c r="BT77" s="281">
        <f>BS77+BR77</f>
        <v>-7.7999999999999972</v>
      </c>
      <c r="BU77" s="281">
        <f>BQ77+BT77</f>
        <v>32.400000000000006</v>
      </c>
      <c r="BV77" s="281">
        <f>SUM(BV52:BV56)+BV64</f>
        <v>-4.9000000000000004</v>
      </c>
      <c r="BW77" s="281">
        <f>SUM(BW52:BW56)+BW64</f>
        <v>65.600000000000009</v>
      </c>
      <c r="BX77" s="281">
        <f>BW77+BV77</f>
        <v>60.70000000000001</v>
      </c>
      <c r="BY77" s="281">
        <f>SUM(BY52:BY56)+BY64</f>
        <v>-30</v>
      </c>
      <c r="BZ77" s="281">
        <f>SUM(BZ52:BZ56)+BZ64</f>
        <v>-27.599999999999998</v>
      </c>
      <c r="CA77" s="281">
        <f>BZ77+BY77</f>
        <v>-57.599999999999994</v>
      </c>
      <c r="CB77" s="281">
        <f>BX77+CA77</f>
        <v>3.1000000000000156</v>
      </c>
      <c r="CC77" s="281">
        <f>SUM(CC52:CC56)+CC64</f>
        <v>19.500000000000004</v>
      </c>
      <c r="CD77" s="281">
        <f>SUM(CD52:CD56)+CD64</f>
        <v>-17.499999999999996</v>
      </c>
      <c r="CE77" s="281">
        <f>CD77+CC77</f>
        <v>2.0000000000000071</v>
      </c>
      <c r="CF77" s="281">
        <f>SUM(CF52:CF56)+CF64</f>
        <v>35</v>
      </c>
      <c r="CG77" s="281">
        <f>SUM(CG52:CG56)+CG64</f>
        <v>-0.69999999999999984</v>
      </c>
      <c r="CH77" s="281">
        <f>CG77+CF77</f>
        <v>34.299999999999997</v>
      </c>
      <c r="CI77" s="281">
        <f>CE77+CH77</f>
        <v>36.300000000000004</v>
      </c>
      <c r="CJ77" s="281">
        <f>SUM(CJ52:CJ56)+CJ64</f>
        <v>-4.2</v>
      </c>
      <c r="CK77" s="289">
        <f>-6.6-0.4+0.6-1.1</f>
        <v>-7.5</v>
      </c>
      <c r="CL77" s="281">
        <f>CK77+CJ77-1.7</f>
        <v>-13.399999999999999</v>
      </c>
      <c r="CM77" s="281">
        <f>SUM(CM52:CM56)+CM64-26.1</f>
        <v>20.699999999999996</v>
      </c>
      <c r="CN77" s="281">
        <f>SUM(CN52:CN56)+0.9</f>
        <v>-197.9</v>
      </c>
      <c r="CO77" s="281">
        <f>CN77+CM77</f>
        <v>-177.20000000000002</v>
      </c>
      <c r="CP77" s="320">
        <f>CL77+CO77</f>
        <v>-190.60000000000002</v>
      </c>
      <c r="CQ77" s="320">
        <f>SUM(CQ52:CQ56)+CQ64</f>
        <v>25.1</v>
      </c>
      <c r="CR77" s="320">
        <f>SUM(CR52:CR56)+CR64</f>
        <v>-6.9</v>
      </c>
      <c r="CS77" s="281">
        <f>CR77+CQ77</f>
        <v>18.200000000000003</v>
      </c>
      <c r="CT77" s="320">
        <f>SUM(CT52:CT56)+CT64-1</f>
        <v>6.6</v>
      </c>
      <c r="CU77" s="320"/>
      <c r="CV77" s="281">
        <f>CU77+CT77</f>
        <v>6.6</v>
      </c>
      <c r="CW77" s="281">
        <f>CS77+CV77</f>
        <v>24.800000000000004</v>
      </c>
      <c r="CX77" s="320">
        <f>SUM(CX52:CX56)+CX64</f>
        <v>8.2999999999999989</v>
      </c>
      <c r="CY77" s="320">
        <f>SUM(CY52:CY56)+CY64+0.4</f>
        <v>18.8</v>
      </c>
      <c r="CZ77" s="320">
        <f>CY77+CX77</f>
        <v>27.1</v>
      </c>
      <c r="DA77" s="320"/>
      <c r="DB77" s="320">
        <f>SUM(DB52:DB56)+DB64-1</f>
        <v>-155.9</v>
      </c>
      <c r="DC77" s="320">
        <f>DB77+DA77</f>
        <v>-155.9</v>
      </c>
      <c r="DD77" s="654">
        <f>CZ77+DC77</f>
        <v>-128.80000000000001</v>
      </c>
      <c r="DE77" s="320">
        <f>SUM(DE52:DE56)+DE64</f>
        <v>-75</v>
      </c>
      <c r="DF77" s="320">
        <f>SUM(DF52:DF56)+DF64</f>
        <v>-16.5</v>
      </c>
      <c r="DG77" s="320">
        <f>DF77+DE77</f>
        <v>-91.5</v>
      </c>
      <c r="DH77" s="320">
        <f>-(35.8+0.3-0.1)</f>
        <v>-35.999999999999993</v>
      </c>
      <c r="DI77" s="320">
        <f>SUM(DI52:DI56)</f>
        <v>-28.2</v>
      </c>
      <c r="DJ77" s="320">
        <f>DI77+DH77</f>
        <v>-64.199999999999989</v>
      </c>
      <c r="DK77" s="654">
        <f>DG77+DJ77</f>
        <v>-155.69999999999999</v>
      </c>
      <c r="DL77" s="344">
        <f>SUM(DL52:DL56)+DL64</f>
        <v>2.5</v>
      </c>
      <c r="DM77" s="340">
        <f>9.6+0.2-0.3</f>
        <v>9.4999999999999982</v>
      </c>
      <c r="DN77" s="320">
        <f>DM77+DL77</f>
        <v>11.999999999999998</v>
      </c>
      <c r="DO77" s="340">
        <f>0.2-0.3-1.6</f>
        <v>-1.7000000000000002</v>
      </c>
      <c r="DP77" s="289">
        <f>+SUM(DP52:DP56)+0.4</f>
        <v>-142.5</v>
      </c>
      <c r="DQ77" s="281">
        <f>+DP77+DO77+0.1</f>
        <v>-144.1</v>
      </c>
      <c r="DR77" s="670">
        <f>+SUM(DR52:DR56)+0.9</f>
        <v>-132.1</v>
      </c>
      <c r="DS77" s="282">
        <f>SUM(DS52:DS56)+DS64</f>
        <v>12.899999999999999</v>
      </c>
      <c r="DT77" s="290">
        <f>8.5+0.8-0.4</f>
        <v>8.9</v>
      </c>
      <c r="DU77" s="282">
        <f>DT77+DS77</f>
        <v>21.799999999999997</v>
      </c>
      <c r="DV77" s="290">
        <f>1.5-2.2-0.3</f>
        <v>-1.0000000000000002</v>
      </c>
      <c r="DW77" s="290">
        <f>+SUM(DW52:DW56)+1.7</f>
        <v>-55.099999999999994</v>
      </c>
      <c r="DX77" s="282">
        <f>+DW77+DV77+0.1</f>
        <v>-55.999999999999993</v>
      </c>
      <c r="DY77" s="670">
        <f>+SUM(DY52:DY56)+4.2</f>
        <v>-34.099999999999994</v>
      </c>
      <c r="DZ77" s="282">
        <f>SUM(DZ52:DZ56)+DZ64</f>
        <v>-7.8999999999999995</v>
      </c>
      <c r="EA77" s="290">
        <f>3.8+-0.3+2.2-20.1</f>
        <v>-14.400000000000002</v>
      </c>
      <c r="EB77" s="282">
        <f>EA77+DZ77</f>
        <v>-22.3</v>
      </c>
      <c r="EC77" s="290">
        <f>1.5-2.2-0.3</f>
        <v>-1.0000000000000002</v>
      </c>
      <c r="ED77" s="290">
        <f>+SUM(ED52:ED56)+1.7</f>
        <v>-146.80000000000001</v>
      </c>
      <c r="EE77" s="282">
        <f>+ED77+EC77+0.1</f>
        <v>-147.70000000000002</v>
      </c>
      <c r="EF77" s="670">
        <f>+SUM(EF52:EF56)+9</f>
        <v>-164.39999999999998</v>
      </c>
      <c r="EG77" s="282">
        <f>SUM(EG52:EG56)+EG64</f>
        <v>-8.6</v>
      </c>
      <c r="EH77" s="282">
        <f>SUM(EH52:EH56)+EH64</f>
        <v>-68.099999999999994</v>
      </c>
      <c r="EI77" s="282">
        <f>EH77+EG77</f>
        <v>-76.699999999999989</v>
      </c>
      <c r="EJ77" s="282">
        <f>SUM(EJ52:EJ56)+EJ64</f>
        <v>-7.5</v>
      </c>
      <c r="EK77" s="290">
        <f>+SUM(EK52:EK56)+1.7</f>
        <v>-146.6</v>
      </c>
      <c r="EL77" s="282">
        <f>+EK77+EJ77+0.1</f>
        <v>-154</v>
      </c>
      <c r="EM77" s="670">
        <f>+SUM(EM52:EM56)+10.9</f>
        <v>-196.4</v>
      </c>
      <c r="EN77" s="540">
        <f>SUM(EN52:EN56)+EN64</f>
        <v>-32.5</v>
      </c>
      <c r="EO77" s="282">
        <f>SUM(EO52:EO56)+EO64</f>
        <v>-227.8</v>
      </c>
      <c r="EP77" s="282">
        <f>EO77+EN77</f>
        <v>-260.3</v>
      </c>
      <c r="EQ77" s="547">
        <f>EQ79-EQ76-EQ78</f>
        <v>-61.299999999999983</v>
      </c>
      <c r="ER77" s="320"/>
      <c r="ES77" s="320">
        <f>ER77+EQ77</f>
        <v>-61.299999999999983</v>
      </c>
      <c r="ET77" s="583">
        <f>EP77+ES77</f>
        <v>-321.60000000000002</v>
      </c>
      <c r="EU77" s="320"/>
      <c r="EV77" s="320"/>
      <c r="EW77" s="320">
        <f>EV77+EU77</f>
        <v>0</v>
      </c>
      <c r="EX77" s="320"/>
      <c r="EY77" s="320"/>
      <c r="EZ77" s="320">
        <f>EY77+EX77</f>
        <v>0</v>
      </c>
      <c r="FA77" s="583">
        <f>EW77+EZ77</f>
        <v>0</v>
      </c>
      <c r="FB77" s="320"/>
      <c r="FC77" s="320"/>
      <c r="FD77" s="320">
        <f>FC77+FB77</f>
        <v>0</v>
      </c>
      <c r="FE77" s="320"/>
      <c r="FF77" s="320"/>
      <c r="FG77" s="320">
        <f>FF77+FE77</f>
        <v>0</v>
      </c>
      <c r="FH77" s="583">
        <f>FD77+FG77</f>
        <v>0</v>
      </c>
      <c r="FI77" s="320"/>
      <c r="FJ77" s="320"/>
      <c r="FK77" s="320">
        <f>FJ77+FI77</f>
        <v>0</v>
      </c>
      <c r="FL77" s="320"/>
      <c r="FM77" s="320"/>
      <c r="FN77" s="320">
        <f>FM77+FL77</f>
        <v>0</v>
      </c>
      <c r="FO77" s="583">
        <f>FK77+FN77</f>
        <v>0</v>
      </c>
      <c r="FP77" s="320"/>
      <c r="FQ77" s="320"/>
      <c r="FR77" s="320">
        <f>FQ77+FP77</f>
        <v>0</v>
      </c>
      <c r="FS77" s="320"/>
      <c r="FT77" s="320"/>
      <c r="FU77" s="320">
        <f>FT77+FS77</f>
        <v>0</v>
      </c>
      <c r="FV77" s="583">
        <f>FR77+FU77</f>
        <v>0</v>
      </c>
    </row>
    <row r="78" spans="1:280" outlineLevel="1" x14ac:dyDescent="0.3">
      <c r="B78" s="354" t="s">
        <v>445</v>
      </c>
      <c r="C78" s="280"/>
      <c r="D78" s="320">
        <f>5.2-4.9</f>
        <v>0.29999999999999982</v>
      </c>
      <c r="E78" s="320">
        <f>-E69</f>
        <v>-0.29999999999999982</v>
      </c>
      <c r="F78" s="320">
        <f>-F69</f>
        <v>-1.9999999999999964</v>
      </c>
      <c r="G78" s="320">
        <f>-G69</f>
        <v>-0.39999999999999947</v>
      </c>
      <c r="H78" s="320">
        <f>11-H70</f>
        <v>25.6</v>
      </c>
      <c r="I78" s="320">
        <f>H78+G78</f>
        <v>25.200000000000003</v>
      </c>
      <c r="J78" s="320">
        <f t="shared" ref="J78:AN78" si="151">-J69</f>
        <v>0</v>
      </c>
      <c r="K78" s="320">
        <f t="shared" si="151"/>
        <v>0.4</v>
      </c>
      <c r="L78" s="320">
        <f t="shared" si="151"/>
        <v>0</v>
      </c>
      <c r="M78" s="320">
        <f t="shared" si="151"/>
        <v>0.4</v>
      </c>
      <c r="N78" s="320">
        <f t="shared" si="151"/>
        <v>0</v>
      </c>
      <c r="O78" s="320">
        <f t="shared" si="151"/>
        <v>0</v>
      </c>
      <c r="P78" s="320">
        <f t="shared" si="151"/>
        <v>0</v>
      </c>
      <c r="Q78" s="320">
        <f t="shared" si="151"/>
        <v>0.4</v>
      </c>
      <c r="R78" s="320">
        <f t="shared" si="151"/>
        <v>-0.4</v>
      </c>
      <c r="S78" s="320">
        <f t="shared" si="151"/>
        <v>-0.8</v>
      </c>
      <c r="T78" s="320">
        <f t="shared" si="151"/>
        <v>-1.2000000000000002</v>
      </c>
      <c r="U78" s="320">
        <f t="shared" si="151"/>
        <v>9.8000000000000007</v>
      </c>
      <c r="V78" s="320">
        <f t="shared" si="151"/>
        <v>60</v>
      </c>
      <c r="W78" s="320">
        <f t="shared" si="151"/>
        <v>69.8</v>
      </c>
      <c r="X78" s="320">
        <f t="shared" si="151"/>
        <v>68.599999999999994</v>
      </c>
      <c r="Y78" s="320">
        <f t="shared" si="151"/>
        <v>3.1</v>
      </c>
      <c r="Z78" s="320">
        <f t="shared" si="151"/>
        <v>-20.5</v>
      </c>
      <c r="AA78" s="320">
        <f t="shared" si="151"/>
        <v>-17.399999999999999</v>
      </c>
      <c r="AB78" s="320">
        <f t="shared" si="151"/>
        <v>5.5</v>
      </c>
      <c r="AC78" s="320">
        <f t="shared" si="151"/>
        <v>53.400000000000006</v>
      </c>
      <c r="AD78" s="320">
        <f t="shared" si="151"/>
        <v>58.900000000000006</v>
      </c>
      <c r="AE78" s="320">
        <f t="shared" si="151"/>
        <v>41.500000000000007</v>
      </c>
      <c r="AF78" s="320">
        <f t="shared" si="151"/>
        <v>0.3</v>
      </c>
      <c r="AG78" s="320">
        <f t="shared" si="151"/>
        <v>3.5</v>
      </c>
      <c r="AH78" s="320">
        <f t="shared" si="151"/>
        <v>3.8</v>
      </c>
      <c r="AI78" s="320">
        <f t="shared" si="151"/>
        <v>0.2</v>
      </c>
      <c r="AJ78" s="320">
        <f t="shared" si="151"/>
        <v>-2.2000000000000002</v>
      </c>
      <c r="AK78" s="320">
        <f t="shared" si="151"/>
        <v>-2</v>
      </c>
      <c r="AL78" s="320">
        <f t="shared" si="151"/>
        <v>1.7999999999999998</v>
      </c>
      <c r="AM78" s="391">
        <f t="shared" si="151"/>
        <v>1.7000000000000002</v>
      </c>
      <c r="AN78" s="391">
        <f t="shared" si="151"/>
        <v>-347.2</v>
      </c>
      <c r="AO78" s="320">
        <f>AN78+AM78</f>
        <v>-345.5</v>
      </c>
      <c r="AP78" s="320">
        <f>-AP69</f>
        <v>-2.2000000000000002</v>
      </c>
      <c r="AQ78" s="320">
        <f>-AQ69</f>
        <v>-41</v>
      </c>
      <c r="AR78" s="320">
        <f>AQ78+AP78</f>
        <v>-43.2</v>
      </c>
      <c r="AS78" s="320">
        <f>AO78+AR78</f>
        <v>-388.7</v>
      </c>
      <c r="AT78" s="391">
        <f>-AT69</f>
        <v>0.1</v>
      </c>
      <c r="AU78" s="391">
        <f>-AU69</f>
        <v>-0.3</v>
      </c>
      <c r="AV78" s="320">
        <f>AU78+AT78</f>
        <v>-0.19999999999999998</v>
      </c>
      <c r="AW78" s="391">
        <f>-AW69</f>
        <v>1.9</v>
      </c>
      <c r="AX78" s="391">
        <f>-AX69</f>
        <v>494.40000000000003</v>
      </c>
      <c r="AY78" s="320">
        <f>AX78+AW78</f>
        <v>496.3</v>
      </c>
      <c r="AZ78" s="281">
        <f>AV78+AY78</f>
        <v>496.1</v>
      </c>
      <c r="BA78" s="392">
        <f>-BA69</f>
        <v>-1.2000000000000002</v>
      </c>
      <c r="BB78" s="392">
        <f>-BB69</f>
        <v>3.8</v>
      </c>
      <c r="BC78" s="281">
        <f>BB78+BA78</f>
        <v>2.5999999999999996</v>
      </c>
      <c r="BD78" s="392">
        <f>-BD69</f>
        <v>3.6</v>
      </c>
      <c r="BE78" s="392">
        <f>-BE69</f>
        <v>43.7</v>
      </c>
      <c r="BF78" s="281">
        <f>BE78+BD78</f>
        <v>47.300000000000004</v>
      </c>
      <c r="BG78" s="281">
        <f>BC78+BF78</f>
        <v>49.900000000000006</v>
      </c>
      <c r="BH78" s="392">
        <f>-BH69</f>
        <v>-0.3</v>
      </c>
      <c r="BI78" s="392">
        <f>-BI69</f>
        <v>-0.2</v>
      </c>
      <c r="BJ78" s="281">
        <f>BI78+BH78</f>
        <v>-0.5</v>
      </c>
      <c r="BK78" s="392">
        <f>-BK69</f>
        <v>8.3000000000000007</v>
      </c>
      <c r="BL78" s="392">
        <f>-BL69</f>
        <v>91.2</v>
      </c>
      <c r="BM78" s="281">
        <f>BL78+BK78</f>
        <v>99.5</v>
      </c>
      <c r="BN78" s="281">
        <f>BJ78+BM78</f>
        <v>99</v>
      </c>
      <c r="BO78" s="392">
        <f>-BO69</f>
        <v>-0.2</v>
      </c>
      <c r="BP78" s="392">
        <f>-BP69</f>
        <v>0.6</v>
      </c>
      <c r="BQ78" s="281">
        <f>BP78+BO78</f>
        <v>0.39999999999999997</v>
      </c>
      <c r="BR78" s="392">
        <f>-BR69</f>
        <v>-1.0999999999999979</v>
      </c>
      <c r="BS78" s="392">
        <f>-BS69</f>
        <v>38.200000000000003</v>
      </c>
      <c r="BT78" s="281">
        <f>BS78+BR78</f>
        <v>37.100000000000009</v>
      </c>
      <c r="BU78" s="281">
        <f>BQ78+BT78</f>
        <v>37.500000000000007</v>
      </c>
      <c r="BV78" s="392">
        <f>-BV69</f>
        <v>1.6</v>
      </c>
      <c r="BW78" s="392">
        <f>-BW69</f>
        <v>-0.8</v>
      </c>
      <c r="BX78" s="281">
        <f>BW78+BV78</f>
        <v>0.8</v>
      </c>
      <c r="BY78" s="392">
        <f>-BY69</f>
        <v>-0.79999999999999716</v>
      </c>
      <c r="BZ78" s="392">
        <f>-BZ69</f>
        <v>-1.5</v>
      </c>
      <c r="CA78" s="281">
        <f>BZ78+BY78</f>
        <v>-2.2999999999999972</v>
      </c>
      <c r="CB78" s="281">
        <f>BX78+CA78</f>
        <v>-1.4999999999999971</v>
      </c>
      <c r="CC78" s="392">
        <f>-CC69</f>
        <v>0.9</v>
      </c>
      <c r="CD78" s="392">
        <f>-CD69</f>
        <v>-0.2</v>
      </c>
      <c r="CE78" s="281">
        <f>CD78+CC78</f>
        <v>0.7</v>
      </c>
      <c r="CF78" s="281">
        <f>-CF69</f>
        <v>0.3</v>
      </c>
      <c r="CG78" s="281">
        <f>-CG69</f>
        <v>-10.9</v>
      </c>
      <c r="CH78" s="281">
        <f>CG78+CF78</f>
        <v>-10.6</v>
      </c>
      <c r="CI78" s="281">
        <f>CE78+CH78</f>
        <v>-9.9</v>
      </c>
      <c r="CJ78" s="281">
        <f>-CJ69</f>
        <v>-0.1</v>
      </c>
      <c r="CK78" s="281">
        <f>-CK69</f>
        <v>0</v>
      </c>
      <c r="CL78" s="281">
        <f>CK78+CJ78</f>
        <v>-0.1</v>
      </c>
      <c r="CM78" s="281">
        <f>-CM69</f>
        <v>-10.7</v>
      </c>
      <c r="CN78" s="281">
        <f>-CN69</f>
        <v>59.2</v>
      </c>
      <c r="CO78" s="281">
        <f>CN78+CM78</f>
        <v>48.5</v>
      </c>
      <c r="CP78" s="320">
        <f>CL78+CO78</f>
        <v>48.4</v>
      </c>
      <c r="CQ78" s="320">
        <f>-CQ69</f>
        <v>-14.4</v>
      </c>
      <c r="CR78" s="320">
        <f>-CR69</f>
        <v>-4.5</v>
      </c>
      <c r="CS78" s="281">
        <f>CR78+CQ78</f>
        <v>-18.899999999999999</v>
      </c>
      <c r="CT78" s="320">
        <f>-CT69</f>
        <v>-4.5999999999999996</v>
      </c>
      <c r="CU78" s="320"/>
      <c r="CV78" s="281">
        <f>CU78+CT78</f>
        <v>-4.5999999999999996</v>
      </c>
      <c r="CW78" s="281">
        <f>CS78+CV78</f>
        <v>-23.5</v>
      </c>
      <c r="CX78" s="320">
        <f>-CX69</f>
        <v>-12</v>
      </c>
      <c r="CY78" s="320">
        <f>-CY69</f>
        <v>-14.299999999999997</v>
      </c>
      <c r="CZ78" s="320">
        <f>CY78+CX78</f>
        <v>-26.299999999999997</v>
      </c>
      <c r="DA78" s="320"/>
      <c r="DB78" s="320">
        <f>-DB69</f>
        <v>71</v>
      </c>
      <c r="DC78" s="320">
        <f>DB78+DA78</f>
        <v>71</v>
      </c>
      <c r="DD78" s="608">
        <f>CZ78+DC78</f>
        <v>44.7</v>
      </c>
      <c r="DE78" s="320">
        <f>-DE69</f>
        <v>-4.8999999999999986</v>
      </c>
      <c r="DF78" s="320">
        <f>-DF69</f>
        <v>-17.199999999999996</v>
      </c>
      <c r="DG78" s="320">
        <f>DF78+DE78</f>
        <v>-22.099999999999994</v>
      </c>
      <c r="DH78" s="320">
        <f>-DH69</f>
        <v>-18.700000000000003</v>
      </c>
      <c r="DI78" s="320">
        <f>-DI69</f>
        <v>1.2999999999999972</v>
      </c>
      <c r="DJ78" s="320">
        <f>DI78+DH78</f>
        <v>-17.400000000000006</v>
      </c>
      <c r="DK78" s="608">
        <f>DG78+DJ78</f>
        <v>-39.5</v>
      </c>
      <c r="DL78" s="344">
        <f>-DL69</f>
        <v>-15.4</v>
      </c>
      <c r="DM78" s="320">
        <f>-DM69</f>
        <v>-14.3</v>
      </c>
      <c r="DN78" s="320">
        <f>DM78+DL78</f>
        <v>-29.700000000000003</v>
      </c>
      <c r="DO78" s="320">
        <f>-DO69</f>
        <v>-17</v>
      </c>
      <c r="DP78" s="281">
        <f>-DP69</f>
        <v>17.200000000000003</v>
      </c>
      <c r="DQ78" s="251">
        <f>+DP78+DO78</f>
        <v>0.20000000000000284</v>
      </c>
      <c r="DR78" s="590">
        <f>DN78+DQ78</f>
        <v>-29.5</v>
      </c>
      <c r="DS78" s="282">
        <f>-DS69</f>
        <v>-4.3</v>
      </c>
      <c r="DT78" s="282">
        <f>-DT69</f>
        <v>-17.3</v>
      </c>
      <c r="DU78" s="282">
        <f>DT78+DS78</f>
        <v>-21.6</v>
      </c>
      <c r="DV78" s="282">
        <f>-DV69</f>
        <v>-28.099999999999998</v>
      </c>
      <c r="DW78" s="282">
        <f>-DW69</f>
        <v>-9.5999999999999979</v>
      </c>
      <c r="DX78" s="282">
        <f>+DW78+DV78</f>
        <v>-37.699999999999996</v>
      </c>
      <c r="DY78" s="590">
        <f>DU78+DX78</f>
        <v>-59.3</v>
      </c>
      <c r="DZ78" s="282">
        <f>-DZ69</f>
        <v>-18.7</v>
      </c>
      <c r="EA78" s="282">
        <f>-EA69</f>
        <v>-12.8</v>
      </c>
      <c r="EB78" s="282">
        <f>EA78+DZ78</f>
        <v>-31.5</v>
      </c>
      <c r="EC78" s="282">
        <f>-EC69</f>
        <v>-29</v>
      </c>
      <c r="ED78" s="282">
        <f>-ED69</f>
        <v>27.6</v>
      </c>
      <c r="EE78" s="282">
        <f>+ED78+EC78</f>
        <v>-1.3999999999999986</v>
      </c>
      <c r="EF78" s="590">
        <f>EB78+EE78</f>
        <v>-32.9</v>
      </c>
      <c r="EG78" s="282">
        <f>-EG69</f>
        <v>-24.7</v>
      </c>
      <c r="EH78" s="282">
        <f>-EH69</f>
        <v>-17.7</v>
      </c>
      <c r="EI78" s="282">
        <f>EH78+EG78</f>
        <v>-42.4</v>
      </c>
      <c r="EJ78" s="282">
        <f>-EJ69</f>
        <v>-13.699999999999996</v>
      </c>
      <c r="EK78" s="282">
        <f>-EK69</f>
        <v>32.999999999999993</v>
      </c>
      <c r="EL78" s="282">
        <f>+EK78+EJ78</f>
        <v>19.299999999999997</v>
      </c>
      <c r="EM78" s="590">
        <f>EI78+EL78</f>
        <v>-23.1</v>
      </c>
      <c r="EN78" s="540">
        <f>-EN69</f>
        <v>10</v>
      </c>
      <c r="EO78" s="282">
        <f>-EO69</f>
        <v>14.199999999999989</v>
      </c>
      <c r="EP78" s="282">
        <f>EO78+EN78</f>
        <v>24.199999999999989</v>
      </c>
      <c r="EQ78" s="547">
        <f>-EQ69</f>
        <v>-12.2</v>
      </c>
      <c r="ER78" s="320"/>
      <c r="ES78" s="320">
        <f>ER78+EQ78</f>
        <v>-12.2</v>
      </c>
      <c r="ET78" s="583">
        <f>EP78+ES78</f>
        <v>11.999999999999989</v>
      </c>
      <c r="EU78" s="320"/>
      <c r="EV78" s="320"/>
      <c r="EW78" s="320">
        <f>EV78+EU78</f>
        <v>0</v>
      </c>
      <c r="EX78" s="320"/>
      <c r="EY78" s="320"/>
      <c r="EZ78" s="320">
        <f>EY78+EX78</f>
        <v>0</v>
      </c>
      <c r="FA78" s="583">
        <f>EW78+EZ78</f>
        <v>0</v>
      </c>
      <c r="FB78" s="320"/>
      <c r="FC78" s="320"/>
      <c r="FD78" s="320">
        <f>FC78+FB78</f>
        <v>0</v>
      </c>
      <c r="FE78" s="320"/>
      <c r="FF78" s="320"/>
      <c r="FG78" s="320">
        <f>FF78+FE78</f>
        <v>0</v>
      </c>
      <c r="FH78" s="583">
        <f>FD78+FG78</f>
        <v>0</v>
      </c>
      <c r="FI78" s="320"/>
      <c r="FJ78" s="320"/>
      <c r="FK78" s="320">
        <f>FJ78+FI78</f>
        <v>0</v>
      </c>
      <c r="FL78" s="320"/>
      <c r="FM78" s="320"/>
      <c r="FN78" s="320">
        <f>FM78+FL78</f>
        <v>0</v>
      </c>
      <c r="FO78" s="583">
        <f>FK78+FN78</f>
        <v>0</v>
      </c>
      <c r="FP78" s="320"/>
      <c r="FQ78" s="320"/>
      <c r="FR78" s="320">
        <f>FQ78+FP78</f>
        <v>0</v>
      </c>
      <c r="FS78" s="320"/>
      <c r="FT78" s="320"/>
      <c r="FU78" s="320">
        <f>FT78+FS78</f>
        <v>0</v>
      </c>
      <c r="FV78" s="583">
        <f>FR78+FU78</f>
        <v>0</v>
      </c>
    </row>
    <row r="79" spans="1:280" s="247" customFormat="1" ht="14.95" customHeight="1" outlineLevel="1" x14ac:dyDescent="0.3">
      <c r="A79" s="302"/>
      <c r="B79" s="378" t="s">
        <v>446</v>
      </c>
      <c r="C79" s="280" t="s">
        <v>226</v>
      </c>
      <c r="D79" s="322">
        <f t="shared" ref="D79:T79" si="152">D72+D77+D78</f>
        <v>55.899999999999984</v>
      </c>
      <c r="E79" s="322">
        <f t="shared" si="152"/>
        <v>47.6</v>
      </c>
      <c r="F79" s="322">
        <f t="shared" si="152"/>
        <v>104.10000000000002</v>
      </c>
      <c r="G79" s="322">
        <f t="shared" si="152"/>
        <v>40.700000000000017</v>
      </c>
      <c r="H79" s="322">
        <f t="shared" si="152"/>
        <v>-650.9</v>
      </c>
      <c r="I79" s="322">
        <f t="shared" si="152"/>
        <v>-571.59999999999991</v>
      </c>
      <c r="J79" s="322">
        <f t="shared" si="152"/>
        <v>-527.4</v>
      </c>
      <c r="K79" s="322">
        <f t="shared" si="152"/>
        <v>35.9</v>
      </c>
      <c r="L79" s="322">
        <f t="shared" si="152"/>
        <v>21.100000000000009</v>
      </c>
      <c r="M79" s="322">
        <f t="shared" si="152"/>
        <v>57.000000000000021</v>
      </c>
      <c r="N79" s="322">
        <f t="shared" si="152"/>
        <v>-8</v>
      </c>
      <c r="O79" s="322">
        <f t="shared" si="152"/>
        <v>-234.9</v>
      </c>
      <c r="P79" s="322">
        <f t="shared" si="152"/>
        <v>-242.90000000000003</v>
      </c>
      <c r="Q79" s="322">
        <f t="shared" si="152"/>
        <v>-185.90000000000006</v>
      </c>
      <c r="R79" s="322">
        <f t="shared" si="152"/>
        <v>39.100000000000009</v>
      </c>
      <c r="S79" s="322">
        <f t="shared" si="152"/>
        <v>19.100000000000019</v>
      </c>
      <c r="T79" s="322">
        <f t="shared" si="152"/>
        <v>58.200000000000017</v>
      </c>
      <c r="U79" s="322">
        <f>U72+U77+U78-U66</f>
        <v>17.099999999999994</v>
      </c>
      <c r="V79" s="322">
        <f t="shared" ref="V79:CG79" si="153">V72+V77+V78</f>
        <v>-145.30000000000001</v>
      </c>
      <c r="W79" s="322">
        <f t="shared" si="153"/>
        <v>-56.300000000000011</v>
      </c>
      <c r="X79" s="322">
        <f t="shared" si="153"/>
        <v>-72.000000000000057</v>
      </c>
      <c r="Y79" s="322">
        <f t="shared" si="153"/>
        <v>1.399999999999983</v>
      </c>
      <c r="Z79" s="322">
        <f t="shared" si="153"/>
        <v>153.5</v>
      </c>
      <c r="AA79" s="322">
        <f t="shared" si="153"/>
        <v>154.9</v>
      </c>
      <c r="AB79" s="322">
        <f t="shared" si="153"/>
        <v>110.99999999999999</v>
      </c>
      <c r="AC79" s="322">
        <f t="shared" si="153"/>
        <v>-144.4</v>
      </c>
      <c r="AD79" s="322">
        <f t="shared" si="153"/>
        <v>-18.599999999999994</v>
      </c>
      <c r="AE79" s="322">
        <f t="shared" si="153"/>
        <v>136.30000000000001</v>
      </c>
      <c r="AF79" s="322">
        <f t="shared" si="153"/>
        <v>-77.899999999999991</v>
      </c>
      <c r="AG79" s="322">
        <f t="shared" si="153"/>
        <v>-19.599999999999994</v>
      </c>
      <c r="AH79" s="322">
        <f t="shared" si="153"/>
        <v>-97.500000000000028</v>
      </c>
      <c r="AI79" s="322">
        <f t="shared" si="153"/>
        <v>14.899999999999997</v>
      </c>
      <c r="AJ79" s="322">
        <f t="shared" si="153"/>
        <v>-2.3000000000000194</v>
      </c>
      <c r="AK79" s="322">
        <f t="shared" si="153"/>
        <v>12.599999999999987</v>
      </c>
      <c r="AL79" s="322">
        <f t="shared" si="153"/>
        <v>-84.899999999999991</v>
      </c>
      <c r="AM79" s="322">
        <f t="shared" si="153"/>
        <v>104.9</v>
      </c>
      <c r="AN79" s="322">
        <f t="shared" si="153"/>
        <v>-423.7</v>
      </c>
      <c r="AO79" s="322">
        <f t="shared" si="153"/>
        <v>-318.8</v>
      </c>
      <c r="AP79" s="322">
        <f t="shared" si="153"/>
        <v>-26.4</v>
      </c>
      <c r="AQ79" s="322">
        <f t="shared" si="153"/>
        <v>-1.8000000000000043</v>
      </c>
      <c r="AR79" s="322">
        <f t="shared" si="153"/>
        <v>-28.200000000000003</v>
      </c>
      <c r="AS79" s="322">
        <f t="shared" si="153"/>
        <v>-347</v>
      </c>
      <c r="AT79" s="322">
        <f t="shared" si="153"/>
        <v>0.29999999999998861</v>
      </c>
      <c r="AU79" s="322">
        <f t="shared" si="153"/>
        <v>126.8</v>
      </c>
      <c r="AV79" s="322">
        <f t="shared" si="153"/>
        <v>127.09999999999998</v>
      </c>
      <c r="AW79" s="322">
        <f t="shared" si="153"/>
        <v>-6.6</v>
      </c>
      <c r="AX79" s="322">
        <f t="shared" si="153"/>
        <v>483.8</v>
      </c>
      <c r="AY79" s="322">
        <f t="shared" si="153"/>
        <v>477.2</v>
      </c>
      <c r="AZ79" s="297">
        <f t="shared" si="153"/>
        <v>604.29999999999995</v>
      </c>
      <c r="BA79" s="297">
        <f t="shared" si="153"/>
        <v>68.499999999999986</v>
      </c>
      <c r="BB79" s="297">
        <f t="shared" si="153"/>
        <v>15.000000000000004</v>
      </c>
      <c r="BC79" s="297">
        <f t="shared" si="153"/>
        <v>83.499999999999986</v>
      </c>
      <c r="BD79" s="297">
        <f t="shared" si="153"/>
        <v>31.500000000000007</v>
      </c>
      <c r="BE79" s="297">
        <f t="shared" si="153"/>
        <v>-69.499999999999972</v>
      </c>
      <c r="BF79" s="297">
        <f t="shared" si="153"/>
        <v>-38.000000000000007</v>
      </c>
      <c r="BG79" s="297">
        <f t="shared" si="153"/>
        <v>45.500000000000028</v>
      </c>
      <c r="BH79" s="297">
        <f t="shared" si="153"/>
        <v>142.19999999999999</v>
      </c>
      <c r="BI79" s="297">
        <f t="shared" si="153"/>
        <v>51.900000000000006</v>
      </c>
      <c r="BJ79" s="297">
        <f t="shared" si="153"/>
        <v>194.10000000000002</v>
      </c>
      <c r="BK79" s="297">
        <f t="shared" si="153"/>
        <v>92.2</v>
      </c>
      <c r="BL79" s="297">
        <f t="shared" si="153"/>
        <v>137</v>
      </c>
      <c r="BM79" s="297">
        <f t="shared" si="153"/>
        <v>229.2</v>
      </c>
      <c r="BN79" s="297">
        <f t="shared" si="153"/>
        <v>423.29999999999995</v>
      </c>
      <c r="BO79" s="297">
        <f t="shared" si="153"/>
        <v>28.899999999999995</v>
      </c>
      <c r="BP79" s="297">
        <f t="shared" si="153"/>
        <v>127.2</v>
      </c>
      <c r="BQ79" s="297">
        <f t="shared" si="153"/>
        <v>156.10000000000005</v>
      </c>
      <c r="BR79" s="297">
        <f t="shared" si="153"/>
        <v>107.5</v>
      </c>
      <c r="BS79" s="297">
        <f t="shared" si="153"/>
        <v>27.70000000000001</v>
      </c>
      <c r="BT79" s="297">
        <f t="shared" si="153"/>
        <v>135.20000000000005</v>
      </c>
      <c r="BU79" s="297">
        <f t="shared" si="153"/>
        <v>291.3</v>
      </c>
      <c r="BV79" s="297">
        <f t="shared" si="153"/>
        <v>60</v>
      </c>
      <c r="BW79" s="297">
        <f t="shared" si="153"/>
        <v>130.20000000000005</v>
      </c>
      <c r="BX79" s="297">
        <f t="shared" si="153"/>
        <v>190.20000000000007</v>
      </c>
      <c r="BY79" s="297">
        <f t="shared" si="153"/>
        <v>25.400000000000013</v>
      </c>
      <c r="BZ79" s="297">
        <f t="shared" si="153"/>
        <v>29.099999999999977</v>
      </c>
      <c r="CA79" s="297">
        <f t="shared" si="153"/>
        <v>54.5</v>
      </c>
      <c r="CB79" s="297">
        <f t="shared" si="153"/>
        <v>242.60000000000011</v>
      </c>
      <c r="CC79" s="297">
        <f t="shared" si="153"/>
        <v>87.1</v>
      </c>
      <c r="CD79" s="297">
        <f t="shared" si="153"/>
        <v>57.000000000000014</v>
      </c>
      <c r="CE79" s="297">
        <f t="shared" si="153"/>
        <v>144.10000000000002</v>
      </c>
      <c r="CF79" s="297">
        <f t="shared" si="153"/>
        <v>87.90000000000002</v>
      </c>
      <c r="CG79" s="297">
        <f t="shared" si="153"/>
        <v>43.39999999999997</v>
      </c>
      <c r="CH79" s="297">
        <f t="shared" ref="CH79:DQ79" si="154">CH72+CH77+CH78</f>
        <v>131.29999999999998</v>
      </c>
      <c r="CI79" s="297">
        <f t="shared" si="154"/>
        <v>275.40000000000003</v>
      </c>
      <c r="CJ79" s="297">
        <f t="shared" si="154"/>
        <v>57.6</v>
      </c>
      <c r="CK79" s="297">
        <f t="shared" si="154"/>
        <v>66.100000000000009</v>
      </c>
      <c r="CL79" s="297">
        <f t="shared" si="154"/>
        <v>121.99999999999997</v>
      </c>
      <c r="CM79" s="297">
        <f t="shared" si="154"/>
        <v>79.399999999999963</v>
      </c>
      <c r="CN79" s="297">
        <f t="shared" si="154"/>
        <v>-57.299999999999969</v>
      </c>
      <c r="CO79" s="297">
        <f t="shared" si="154"/>
        <v>22.099999999999966</v>
      </c>
      <c r="CP79" s="345">
        <f t="shared" si="154"/>
        <v>144.09999999999994</v>
      </c>
      <c r="CQ79" s="345">
        <f t="shared" si="154"/>
        <v>90.6</v>
      </c>
      <c r="CR79" s="345">
        <f t="shared" si="154"/>
        <v>69.5</v>
      </c>
      <c r="CS79" s="345">
        <f t="shared" si="154"/>
        <v>160.1</v>
      </c>
      <c r="CT79" s="345">
        <f t="shared" si="154"/>
        <v>67.899999999999991</v>
      </c>
      <c r="CU79" s="345">
        <f t="shared" si="154"/>
        <v>73.799999999999983</v>
      </c>
      <c r="CV79" s="345">
        <f t="shared" si="154"/>
        <v>141.69999999999999</v>
      </c>
      <c r="CW79" s="345">
        <f t="shared" si="154"/>
        <v>301.8</v>
      </c>
      <c r="CX79" s="345">
        <f t="shared" si="154"/>
        <v>86.500000000000043</v>
      </c>
      <c r="CY79" s="345">
        <f t="shared" si="154"/>
        <v>103.09999999999997</v>
      </c>
      <c r="CZ79" s="345">
        <f t="shared" si="154"/>
        <v>189.59999999999997</v>
      </c>
      <c r="DA79" s="345">
        <f t="shared" si="154"/>
        <v>77.100000000000009</v>
      </c>
      <c r="DB79" s="345">
        <f>DB72+DB77+DB78</f>
        <v>2.1999999999999602</v>
      </c>
      <c r="DC79" s="345">
        <f>DC72+DC77+DC78</f>
        <v>79.300000000000011</v>
      </c>
      <c r="DD79" s="655">
        <f>DD72+DD77+DD78</f>
        <v>268.89999999999998</v>
      </c>
      <c r="DE79" s="297">
        <f>DE72+DE77+DE78</f>
        <v>9.4000000000000128</v>
      </c>
      <c r="DF79" s="297">
        <f t="shared" ref="DF79:DK79" si="155">DF72+DF77+DF78</f>
        <v>86.800000000000011</v>
      </c>
      <c r="DG79" s="345">
        <f t="shared" si="155"/>
        <v>96.200000000000017</v>
      </c>
      <c r="DH79" s="345">
        <f t="shared" si="155"/>
        <v>68.59999999999998</v>
      </c>
      <c r="DI79" s="345">
        <f t="shared" si="155"/>
        <v>98</v>
      </c>
      <c r="DJ79" s="345">
        <f t="shared" si="155"/>
        <v>166.60000000000005</v>
      </c>
      <c r="DK79" s="655">
        <f t="shared" si="155"/>
        <v>262.80000000000018</v>
      </c>
      <c r="DL79" s="348">
        <f>DL72+DL77+DL78</f>
        <v>121.30000000000001</v>
      </c>
      <c r="DM79" s="345">
        <f>DM72+DM77+DM78</f>
        <v>150.39999999999998</v>
      </c>
      <c r="DN79" s="297">
        <f t="shared" si="154"/>
        <v>271.70000000000005</v>
      </c>
      <c r="DO79" s="297">
        <f>DO72+DO77+DO78</f>
        <v>135.60000000000002</v>
      </c>
      <c r="DP79" s="297">
        <f>DP72+DP77+DP78</f>
        <v>52.000000000000014</v>
      </c>
      <c r="DQ79" s="297">
        <f t="shared" si="154"/>
        <v>187.40000000000009</v>
      </c>
      <c r="DR79" s="591">
        <f>DR72+DR77+DR78</f>
        <v>459.09999999999991</v>
      </c>
      <c r="DS79" s="299">
        <f>DS72+DS77+DS78</f>
        <v>162.9</v>
      </c>
      <c r="DT79" s="299">
        <f>DT72+DT77+DT78</f>
        <v>154.20000000000002</v>
      </c>
      <c r="DU79" s="299">
        <f t="shared" ref="DU79:FV79" si="156">DU72+DU77+DU78</f>
        <v>317.10000000000008</v>
      </c>
      <c r="DV79" s="306">
        <f t="shared" ref="DV79:EM79" si="157">DV72+DV77+DV78</f>
        <v>101.49999999999997</v>
      </c>
      <c r="DW79" s="299">
        <f t="shared" si="157"/>
        <v>80.400000000000034</v>
      </c>
      <c r="DX79" s="299">
        <f t="shared" si="157"/>
        <v>194.89999999999992</v>
      </c>
      <c r="DY79" s="591">
        <f t="shared" si="157"/>
        <v>512.1</v>
      </c>
      <c r="DZ79" s="299">
        <f t="shared" si="157"/>
        <v>147.60000000000005</v>
      </c>
      <c r="EA79" s="299">
        <f t="shared" si="157"/>
        <v>151.6999999999999</v>
      </c>
      <c r="EB79" s="299">
        <f t="shared" si="157"/>
        <v>299.2999999999999</v>
      </c>
      <c r="EC79" s="299">
        <f t="shared" si="157"/>
        <v>149.90000000000003</v>
      </c>
      <c r="ED79" s="299">
        <f t="shared" si="157"/>
        <v>55.300000000000047</v>
      </c>
      <c r="EE79" s="299">
        <f t="shared" si="157"/>
        <v>205.3</v>
      </c>
      <c r="EF79" s="591">
        <f t="shared" si="157"/>
        <v>510.20000000000027</v>
      </c>
      <c r="EG79" s="299">
        <f t="shared" si="157"/>
        <v>144.30000000000004</v>
      </c>
      <c r="EH79" s="299">
        <f t="shared" si="157"/>
        <v>71.199999999999946</v>
      </c>
      <c r="EI79" s="299">
        <f t="shared" si="157"/>
        <v>215.50000000000009</v>
      </c>
      <c r="EJ79" s="299">
        <f t="shared" si="157"/>
        <v>132.4</v>
      </c>
      <c r="EK79" s="299">
        <f t="shared" si="157"/>
        <v>42.499999999999964</v>
      </c>
      <c r="EL79" s="299">
        <f t="shared" si="157"/>
        <v>174.99999999999994</v>
      </c>
      <c r="EM79" s="591">
        <f t="shared" si="157"/>
        <v>424.79999999999995</v>
      </c>
      <c r="EN79" s="330">
        <f t="shared" ref="EN79:EP79" si="158">EN72+EN77+EN78</f>
        <v>104.4</v>
      </c>
      <c r="EO79" s="299">
        <f t="shared" si="158"/>
        <v>-59.600000000000023</v>
      </c>
      <c r="EP79" s="299">
        <f t="shared" si="158"/>
        <v>34</v>
      </c>
      <c r="EQ79" s="719">
        <v>68.7</v>
      </c>
      <c r="ER79" s="345">
        <f t="shared" si="156"/>
        <v>174.19981295399353</v>
      </c>
      <c r="ES79" s="345">
        <f t="shared" si="156"/>
        <v>257.66721295399356</v>
      </c>
      <c r="ET79" s="595">
        <f t="shared" si="156"/>
        <v>276.1998129539935</v>
      </c>
      <c r="EU79" s="345">
        <f t="shared" si="156"/>
        <v>180.39633145931072</v>
      </c>
      <c r="EV79" s="345">
        <f t="shared" si="156"/>
        <v>178.75069026603586</v>
      </c>
      <c r="EW79" s="345">
        <f t="shared" si="156"/>
        <v>359.14702172534658</v>
      </c>
      <c r="EX79" s="345">
        <f t="shared" si="156"/>
        <v>189.17814775042601</v>
      </c>
      <c r="EY79" s="345">
        <f t="shared" si="156"/>
        <v>221.69040207156581</v>
      </c>
      <c r="EZ79" s="345">
        <f t="shared" si="156"/>
        <v>410.86854982199191</v>
      </c>
      <c r="FA79" s="595">
        <f t="shared" si="156"/>
        <v>770.01557154733871</v>
      </c>
      <c r="FB79" s="345">
        <f t="shared" si="156"/>
        <v>220.56368980489898</v>
      </c>
      <c r="FC79" s="345">
        <f t="shared" si="156"/>
        <v>224.85456638107755</v>
      </c>
      <c r="FD79" s="345">
        <f t="shared" si="156"/>
        <v>445.41825618597653</v>
      </c>
      <c r="FE79" s="345">
        <f t="shared" si="156"/>
        <v>243.60413698367893</v>
      </c>
      <c r="FF79" s="345">
        <f t="shared" si="156"/>
        <v>268.39608381595724</v>
      </c>
      <c r="FG79" s="345">
        <f t="shared" si="156"/>
        <v>512.00022079963628</v>
      </c>
      <c r="FH79" s="595">
        <f t="shared" si="156"/>
        <v>957.41847698561264</v>
      </c>
      <c r="FI79" s="345">
        <f t="shared" si="156"/>
        <v>264.03154169768374</v>
      </c>
      <c r="FJ79" s="345">
        <f t="shared" si="156"/>
        <v>262.23793117405404</v>
      </c>
      <c r="FK79" s="345">
        <f t="shared" si="156"/>
        <v>526.26947287173789</v>
      </c>
      <c r="FL79" s="345">
        <f t="shared" si="156"/>
        <v>281.12962926407738</v>
      </c>
      <c r="FM79" s="345">
        <f t="shared" si="156"/>
        <v>304.86604163712792</v>
      </c>
      <c r="FN79" s="345">
        <f t="shared" si="156"/>
        <v>585.99567090120513</v>
      </c>
      <c r="FO79" s="595">
        <f t="shared" si="156"/>
        <v>1112.2651437729432</v>
      </c>
      <c r="FP79" s="345">
        <f t="shared" si="156"/>
        <v>304.12518448599531</v>
      </c>
      <c r="FQ79" s="345">
        <f t="shared" si="156"/>
        <v>308.82845986245104</v>
      </c>
      <c r="FR79" s="345">
        <f t="shared" si="156"/>
        <v>612.95364434844635</v>
      </c>
      <c r="FS79" s="345">
        <f t="shared" si="156"/>
        <v>328.03519854137579</v>
      </c>
      <c r="FT79" s="345">
        <f t="shared" si="156"/>
        <v>351.28297443391011</v>
      </c>
      <c r="FU79" s="345">
        <f t="shared" si="156"/>
        <v>679.31817297528596</v>
      </c>
      <c r="FV79" s="595">
        <f t="shared" si="156"/>
        <v>1292.2718173237326</v>
      </c>
      <c r="FW79" s="632"/>
      <c r="FX79" s="639"/>
      <c r="FY79" s="639"/>
      <c r="FZ79" s="639"/>
      <c r="GA79" s="639"/>
      <c r="GB79"/>
      <c r="GC79"/>
      <c r="GD79"/>
      <c r="GE79"/>
      <c r="GF79"/>
      <c r="GG79"/>
      <c r="GH79" s="532"/>
      <c r="GI79" s="532"/>
      <c r="GJ79" s="532"/>
      <c r="GK79" s="532"/>
      <c r="GL79" s="532"/>
      <c r="GM79" s="532"/>
      <c r="GN79" s="532"/>
      <c r="GO79" s="532"/>
      <c r="GP79" s="532"/>
      <c r="GQ79" s="532"/>
      <c r="GR79" s="532"/>
      <c r="GS79" s="532"/>
      <c r="GT79" s="532"/>
      <c r="GU79" s="532"/>
      <c r="GV79" s="532"/>
      <c r="GW79" s="532"/>
      <c r="GX79" s="532"/>
      <c r="GY79" s="532"/>
      <c r="GZ79" s="532"/>
      <c r="HA79" s="532"/>
      <c r="HB79" s="532"/>
      <c r="HC79" s="532"/>
      <c r="HD79" s="532"/>
      <c r="HE79" s="532"/>
      <c r="HF79" s="532"/>
      <c r="HG79" s="532"/>
      <c r="HH79" s="532"/>
      <c r="HI79" s="532"/>
      <c r="HJ79" s="532"/>
      <c r="HK79" s="532"/>
      <c r="HL79" s="532"/>
      <c r="HM79" s="532"/>
      <c r="HN79" s="532"/>
      <c r="HO79" s="532"/>
      <c r="HP79" s="532"/>
      <c r="HQ79" s="532"/>
      <c r="HR79" s="532"/>
      <c r="HS79" s="532"/>
      <c r="HT79" s="532"/>
      <c r="HU79" s="532"/>
      <c r="HV79" s="532"/>
      <c r="HW79" s="532"/>
      <c r="HX79" s="532"/>
      <c r="HY79" s="532"/>
      <c r="HZ79" s="532"/>
      <c r="IA79" s="532"/>
      <c r="IB79" s="532"/>
      <c r="IC79" s="532"/>
      <c r="ID79" s="532"/>
      <c r="IE79" s="532"/>
      <c r="IF79" s="532"/>
      <c r="IG79" s="532"/>
      <c r="IH79" s="532"/>
      <c r="II79" s="532"/>
      <c r="IJ79" s="532"/>
      <c r="IK79" s="532"/>
      <c r="IL79" s="532"/>
      <c r="IM79" s="532"/>
      <c r="IN79" s="532"/>
      <c r="IO79" s="532"/>
      <c r="IP79" s="532"/>
      <c r="IQ79" s="532"/>
      <c r="IR79" s="532"/>
      <c r="IS79" s="532"/>
      <c r="IT79" s="532"/>
      <c r="IU79" s="532"/>
      <c r="IV79" s="532"/>
      <c r="IW79" s="532"/>
      <c r="IX79" s="532"/>
      <c r="IY79" s="532"/>
      <c r="IZ79" s="532"/>
      <c r="JA79" s="532"/>
      <c r="JB79" s="532"/>
      <c r="JC79" s="532"/>
      <c r="JD79" s="532"/>
      <c r="JE79" s="532"/>
      <c r="JF79" s="532"/>
      <c r="JG79" s="532"/>
      <c r="JH79" s="532"/>
      <c r="JI79" s="532"/>
      <c r="JJ79" s="532"/>
      <c r="JK79" s="532"/>
      <c r="JL79" s="532"/>
      <c r="JM79" s="532"/>
      <c r="JN79" s="532"/>
      <c r="JO79" s="532"/>
      <c r="JP79" s="532"/>
      <c r="JQ79" s="532"/>
      <c r="JR79" s="532"/>
      <c r="JS79" s="532"/>
      <c r="JT79" s="532"/>
    </row>
    <row r="80" spans="1:280" ht="12.05" customHeight="1" x14ac:dyDescent="0.3">
      <c r="A80" s="273" t="s">
        <v>447</v>
      </c>
      <c r="B80" s="393"/>
      <c r="C80" s="394"/>
      <c r="D80" s="395"/>
      <c r="E80" s="395"/>
      <c r="F80" s="395"/>
      <c r="G80" s="395"/>
      <c r="H80" s="395"/>
      <c r="I80" s="395"/>
      <c r="J80" s="395"/>
      <c r="K80" s="395"/>
      <c r="L80" s="395"/>
      <c r="M80" s="395"/>
      <c r="N80" s="395"/>
      <c r="O80" s="395"/>
      <c r="P80" s="395"/>
      <c r="Q80" s="395"/>
      <c r="R80" s="395"/>
      <c r="S80" s="395"/>
      <c r="T80" s="395"/>
      <c r="U80" s="395"/>
      <c r="V80" s="395"/>
      <c r="W80" s="395"/>
      <c r="X80" s="395"/>
      <c r="Y80" s="395"/>
      <c r="Z80" s="395"/>
      <c r="AA80" s="395"/>
      <c r="AB80" s="395"/>
      <c r="AC80" s="395"/>
      <c r="AD80" s="395"/>
      <c r="AE80" s="395"/>
      <c r="AF80" s="395"/>
      <c r="AG80" s="395"/>
      <c r="AH80" s="395"/>
      <c r="AI80" s="395"/>
      <c r="AJ80" s="395"/>
      <c r="AK80" s="395"/>
      <c r="AL80" s="395"/>
      <c r="AM80" s="395"/>
      <c r="AN80" s="395"/>
      <c r="AO80" s="395"/>
      <c r="AP80" s="395"/>
      <c r="AQ80" s="395"/>
      <c r="AR80" s="395"/>
      <c r="AS80" s="395"/>
      <c r="AT80" s="395"/>
      <c r="AU80" s="395"/>
      <c r="AV80" s="395"/>
      <c r="AW80" s="395"/>
      <c r="AX80" s="395"/>
      <c r="AY80" s="395"/>
      <c r="AZ80" s="395"/>
      <c r="BA80" s="395"/>
      <c r="BB80" s="395"/>
      <c r="BC80" s="395"/>
      <c r="BD80" s="395"/>
      <c r="BE80" s="395"/>
      <c r="BF80" s="395"/>
      <c r="BG80" s="395"/>
      <c r="BH80" s="395"/>
      <c r="BI80" s="395"/>
      <c r="BJ80" s="395"/>
      <c r="BK80" s="395"/>
      <c r="BL80" s="395"/>
      <c r="BM80" s="395"/>
      <c r="BN80" s="395"/>
      <c r="BO80" s="395"/>
      <c r="BP80" s="395"/>
      <c r="BQ80" s="275"/>
      <c r="BR80" s="275"/>
      <c r="BS80" s="275"/>
      <c r="BT80" s="275"/>
      <c r="BU80" s="275"/>
      <c r="BV80" s="275"/>
      <c r="BW80" s="275"/>
      <c r="BX80" s="275"/>
      <c r="BY80" s="275"/>
      <c r="BZ80" s="275"/>
      <c r="CA80" s="275"/>
      <c r="CB80" s="275"/>
      <c r="CC80" s="275"/>
      <c r="CD80" s="275"/>
      <c r="CE80" s="275"/>
      <c r="CF80" s="275"/>
      <c r="CG80" s="275"/>
      <c r="CH80" s="275"/>
      <c r="CI80" s="275"/>
      <c r="CJ80" s="275"/>
      <c r="CK80" s="275"/>
      <c r="CL80" s="275"/>
      <c r="CM80" s="275"/>
      <c r="CN80" s="275"/>
      <c r="CO80" s="275"/>
      <c r="CP80" s="275"/>
      <c r="CQ80" s="275"/>
      <c r="CR80" s="275"/>
      <c r="CS80" s="275"/>
      <c r="CT80" s="275"/>
      <c r="CU80" s="275"/>
      <c r="CV80" s="275"/>
      <c r="CW80" s="395"/>
      <c r="CX80" s="275"/>
      <c r="CY80" s="275"/>
      <c r="CZ80" s="395"/>
      <c r="DA80" s="275"/>
      <c r="DB80" s="275"/>
      <c r="DC80" s="275"/>
      <c r="DD80" s="574"/>
      <c r="DE80" s="275"/>
      <c r="DF80" s="275"/>
      <c r="DG80" s="395"/>
      <c r="DH80" s="275"/>
      <c r="DI80" s="275"/>
      <c r="DJ80" s="275"/>
      <c r="DK80" s="574"/>
      <c r="DL80" s="353"/>
      <c r="DM80" s="275"/>
      <c r="DN80" s="395"/>
      <c r="DO80" s="277"/>
      <c r="DP80" s="277"/>
      <c r="DQ80" s="277"/>
      <c r="DR80" s="574"/>
      <c r="DS80" s="275"/>
      <c r="DT80" s="275"/>
      <c r="DU80" s="395"/>
      <c r="DV80" s="277"/>
      <c r="DW80" s="277"/>
      <c r="DX80" s="277"/>
      <c r="DY80" s="574"/>
      <c r="DZ80" s="275"/>
      <c r="EA80" s="275"/>
      <c r="EB80" s="395"/>
      <c r="EC80" s="277"/>
      <c r="ED80" s="277"/>
      <c r="EE80" s="277"/>
      <c r="EF80" s="574"/>
      <c r="EG80" s="275"/>
      <c r="EH80" s="275"/>
      <c r="EI80" s="395"/>
      <c r="EJ80" s="277"/>
      <c r="EK80" s="277"/>
      <c r="EL80" s="277"/>
      <c r="EM80" s="574"/>
      <c r="EN80" s="275"/>
      <c r="EO80" s="275"/>
      <c r="EP80" s="395"/>
      <c r="EQ80" s="353"/>
      <c r="ER80" s="275"/>
      <c r="ES80" s="275"/>
      <c r="EU80" s="275"/>
      <c r="EV80" s="275"/>
      <c r="EW80" s="275"/>
      <c r="EX80" s="275"/>
      <c r="EY80" s="275"/>
      <c r="EZ80" s="275"/>
      <c r="FB80" s="275"/>
      <c r="FC80" s="275"/>
      <c r="FD80" s="275"/>
      <c r="FE80" s="275"/>
      <c r="FF80" s="275"/>
      <c r="FG80" s="275"/>
      <c r="FI80" s="275"/>
      <c r="FJ80" s="275"/>
      <c r="FK80" s="275"/>
      <c r="FL80" s="275"/>
      <c r="FM80" s="275"/>
      <c r="FN80" s="275"/>
      <c r="FP80" s="275"/>
      <c r="FQ80" s="275"/>
      <c r="FR80" s="275"/>
      <c r="FS80" s="275"/>
      <c r="FT80" s="275"/>
      <c r="FU80" s="275"/>
    </row>
    <row r="81" spans="2:178" outlineLevel="1" x14ac:dyDescent="0.3">
      <c r="B81" s="396" t="s">
        <v>448</v>
      </c>
      <c r="C81" s="280"/>
      <c r="BU81" s="397"/>
      <c r="CI81" s="397"/>
    </row>
    <row r="82" spans="2:178" outlineLevel="1" x14ac:dyDescent="0.3">
      <c r="B82" s="279" t="s">
        <v>120</v>
      </c>
      <c r="C82" s="280" t="s">
        <v>413</v>
      </c>
      <c r="K82" s="349">
        <f t="shared" ref="K82:AP82" si="159">K10/D10-1</f>
        <v>0.2135652173913043</v>
      </c>
      <c r="L82" s="349">
        <f t="shared" si="159"/>
        <v>0.10279765777488614</v>
      </c>
      <c r="M82" s="349">
        <f t="shared" si="159"/>
        <v>0.15632879475542105</v>
      </c>
      <c r="N82" s="349">
        <f t="shared" si="159"/>
        <v>-4.4981537428667284E-2</v>
      </c>
      <c r="O82" s="349">
        <f t="shared" si="159"/>
        <v>-0.10964373464373478</v>
      </c>
      <c r="P82" s="349">
        <f t="shared" si="159"/>
        <v>-7.8748997594226156E-2</v>
      </c>
      <c r="Q82" s="349">
        <f t="shared" si="159"/>
        <v>3.6030860144451671E-2</v>
      </c>
      <c r="R82" s="349">
        <f t="shared" si="159"/>
        <v>1.2324448265978782E-2</v>
      </c>
      <c r="S82" s="349">
        <f t="shared" si="159"/>
        <v>-7.3746312684365822E-2</v>
      </c>
      <c r="T82" s="349">
        <f t="shared" si="159"/>
        <v>-3.009158307893578E-2</v>
      </c>
      <c r="U82" s="349">
        <f t="shared" si="159"/>
        <v>-7.2407732864674945E-2</v>
      </c>
      <c r="V82" s="349">
        <f t="shared" si="159"/>
        <v>-0.17419799931010682</v>
      </c>
      <c r="W82" s="349">
        <f t="shared" si="159"/>
        <v>-0.12378133704735383</v>
      </c>
      <c r="X82" s="349">
        <f t="shared" si="159"/>
        <v>-7.2724391982888381E-2</v>
      </c>
      <c r="Y82" s="349">
        <f t="shared" si="159"/>
        <v>-0.20243488108720276</v>
      </c>
      <c r="Z82" s="349">
        <f t="shared" si="159"/>
        <v>-0.16242038216560506</v>
      </c>
      <c r="AA82" s="349">
        <f t="shared" si="159"/>
        <v>-0.18360311750599523</v>
      </c>
      <c r="AB82" s="349">
        <f t="shared" si="159"/>
        <v>-0.25767336112163686</v>
      </c>
      <c r="AC82" s="349">
        <f t="shared" si="159"/>
        <v>-0.21177944862155396</v>
      </c>
      <c r="AD82" s="349">
        <f t="shared" si="159"/>
        <v>-0.23584343333995617</v>
      </c>
      <c r="AE82" s="349">
        <f t="shared" si="159"/>
        <v>-0.2060657838530543</v>
      </c>
      <c r="AF82" s="349">
        <f t="shared" si="159"/>
        <v>-0.207667731629393</v>
      </c>
      <c r="AG82" s="349">
        <f t="shared" si="159"/>
        <v>-0.12927756653992395</v>
      </c>
      <c r="AH82" s="349">
        <f t="shared" si="159"/>
        <v>-0.16981824857719852</v>
      </c>
      <c r="AI82" s="349">
        <f t="shared" si="159"/>
        <v>-8.5758039816232867E-2</v>
      </c>
      <c r="AJ82" s="349">
        <f t="shared" si="159"/>
        <v>4.2925278219396068E-2</v>
      </c>
      <c r="AK82" s="349">
        <f t="shared" si="159"/>
        <v>-2.2620904836193612E-2</v>
      </c>
      <c r="AL82" s="349">
        <f t="shared" si="159"/>
        <v>-0.1088991714193478</v>
      </c>
      <c r="AM82" s="349">
        <f t="shared" si="159"/>
        <v>4.3906810035842403E-2</v>
      </c>
      <c r="AN82" s="349">
        <f t="shared" si="159"/>
        <v>-0.12358078602620093</v>
      </c>
      <c r="AO82" s="349">
        <f t="shared" si="159"/>
        <v>-4.0911101282618323E-2</v>
      </c>
      <c r="AP82" s="349">
        <f t="shared" si="159"/>
        <v>1.9432160804019993E-2</v>
      </c>
      <c r="AQ82" s="349">
        <f t="shared" ref="AQ82:BV82" si="160">AQ10/AJ10-1</f>
        <v>-3.0373359268836331E-2</v>
      </c>
      <c r="AR82" s="349">
        <f t="shared" si="160"/>
        <v>-6.6431952756237367E-3</v>
      </c>
      <c r="AS82" s="349">
        <f t="shared" si="160"/>
        <v>-2.5355847245630891E-2</v>
      </c>
      <c r="AT82" s="349">
        <f t="shared" si="160"/>
        <v>-8.884120171673815E-2</v>
      </c>
      <c r="AU82" s="349">
        <f t="shared" si="160"/>
        <v>0.10363726955655217</v>
      </c>
      <c r="AV82" s="349">
        <f t="shared" si="160"/>
        <v>2.3057412958271684E-4</v>
      </c>
      <c r="AW82" s="349">
        <f t="shared" si="160"/>
        <v>2.5849995864833275E-2</v>
      </c>
      <c r="AX82" s="349">
        <f t="shared" si="160"/>
        <v>0.11569639038968038</v>
      </c>
      <c r="AY82" s="349">
        <f t="shared" si="160"/>
        <v>7.1764795178257845E-2</v>
      </c>
      <c r="AZ82" s="349">
        <f t="shared" si="160"/>
        <v>3.3325589182800375E-2</v>
      </c>
      <c r="BA82" s="349">
        <f t="shared" si="160"/>
        <v>0.13612812058407897</v>
      </c>
      <c r="BB82" s="349">
        <f t="shared" si="160"/>
        <v>3.2957110609480811E-2</v>
      </c>
      <c r="BC82" s="349">
        <f t="shared" si="160"/>
        <v>8.3448593822037731E-2</v>
      </c>
      <c r="BD82" s="349">
        <f t="shared" si="160"/>
        <v>0.1548318206086492</v>
      </c>
      <c r="BE82" s="349">
        <f t="shared" si="160"/>
        <v>6.8107092531705105E-2</v>
      </c>
      <c r="BF82" s="349">
        <f t="shared" si="160"/>
        <v>0.10869565217391308</v>
      </c>
      <c r="BG82" s="349">
        <f t="shared" si="160"/>
        <v>9.5563549160671446E-2</v>
      </c>
      <c r="BH82" s="349">
        <f t="shared" si="160"/>
        <v>0.11194029850746268</v>
      </c>
      <c r="BI82" s="349">
        <f t="shared" si="160"/>
        <v>0.25524475524475521</v>
      </c>
      <c r="BJ82" s="349">
        <f t="shared" si="160"/>
        <v>0.1817021276595745</v>
      </c>
      <c r="BK82" s="349">
        <f t="shared" si="160"/>
        <v>0.16319926028663878</v>
      </c>
      <c r="BL82" s="349">
        <f t="shared" si="160"/>
        <v>0.21635883905013209</v>
      </c>
      <c r="BM82" s="349">
        <f t="shared" si="160"/>
        <v>0.19044399368942977</v>
      </c>
      <c r="BN82" s="349">
        <f t="shared" si="160"/>
        <v>0.18594724745540092</v>
      </c>
      <c r="BO82" s="349">
        <f t="shared" si="160"/>
        <v>0.14914243102162561</v>
      </c>
      <c r="BP82" s="349">
        <f t="shared" si="160"/>
        <v>0.12012534818941512</v>
      </c>
      <c r="BQ82" s="349">
        <f t="shared" si="160"/>
        <v>0.13413755851638465</v>
      </c>
      <c r="BR82" s="349">
        <f t="shared" si="160"/>
        <v>0.12519872813990474</v>
      </c>
      <c r="BS82" s="349">
        <f t="shared" si="160"/>
        <v>0.12725958062183662</v>
      </c>
      <c r="BT82" s="349">
        <f t="shared" si="160"/>
        <v>0.12627792502839852</v>
      </c>
      <c r="BU82" s="349">
        <f t="shared" si="160"/>
        <v>0.13030638612033996</v>
      </c>
      <c r="BV82" s="349">
        <f t="shared" si="160"/>
        <v>4.7696301103179684E-2</v>
      </c>
      <c r="BW82" s="349">
        <f t="shared" ref="BW82:DB82" si="161">BW10/BP10-1</f>
        <v>8.299658066521598E-2</v>
      </c>
      <c r="BX82" s="349">
        <f t="shared" si="161"/>
        <v>6.572471820923953E-2</v>
      </c>
      <c r="BY82" s="349">
        <f t="shared" si="161"/>
        <v>0.12327799364182268</v>
      </c>
      <c r="BZ82" s="349">
        <f t="shared" si="161"/>
        <v>0.10904425914047455</v>
      </c>
      <c r="CA82" s="349">
        <f t="shared" si="161"/>
        <v>0.11581778450159663</v>
      </c>
      <c r="CB82" s="349">
        <f t="shared" si="161"/>
        <v>9.0055519268451789E-2</v>
      </c>
      <c r="CC82" s="349">
        <f t="shared" si="161"/>
        <v>0.1467946732734593</v>
      </c>
      <c r="CD82" s="349">
        <f t="shared" si="161"/>
        <v>0.10361653272101035</v>
      </c>
      <c r="CE82" s="349">
        <f t="shared" si="161"/>
        <v>0.12438552063161024</v>
      </c>
      <c r="CF82" s="349">
        <f t="shared" si="161"/>
        <v>0.10345911949685527</v>
      </c>
      <c r="CG82" s="349">
        <f t="shared" si="161"/>
        <v>0.12116830537883172</v>
      </c>
      <c r="CH82" s="349">
        <f t="shared" si="161"/>
        <v>0.11268454353720991</v>
      </c>
      <c r="CI82" s="349">
        <f t="shared" si="161"/>
        <v>0.11856789753576513</v>
      </c>
      <c r="CJ82" s="349">
        <f t="shared" si="161"/>
        <v>6.1571698622738369E-2</v>
      </c>
      <c r="CK82" s="349">
        <f t="shared" si="161"/>
        <v>3.5370611183355161E-2</v>
      </c>
      <c r="CL82" s="349">
        <f t="shared" si="161"/>
        <v>4.8224695283519026E-2</v>
      </c>
      <c r="CM82" s="349">
        <f t="shared" si="161"/>
        <v>7.3810202336848096E-2</v>
      </c>
      <c r="CN82" s="349">
        <f t="shared" si="161"/>
        <v>5.77766314160435E-2</v>
      </c>
      <c r="CO82" s="349">
        <f t="shared" si="161"/>
        <v>6.5393988627132638E-2</v>
      </c>
      <c r="CP82" s="349">
        <f t="shared" si="161"/>
        <v>5.6716218025981258E-2</v>
      </c>
      <c r="CQ82" s="349">
        <f t="shared" si="161"/>
        <v>0.10353599592978879</v>
      </c>
      <c r="CR82" s="349">
        <f t="shared" si="161"/>
        <v>9.4197437829691033E-2</v>
      </c>
      <c r="CS82" s="349">
        <f t="shared" si="161"/>
        <v>9.8837209302325535E-2</v>
      </c>
      <c r="CT82" s="349">
        <f t="shared" si="161"/>
        <v>2.3089171974522316E-2</v>
      </c>
      <c r="CU82" s="349">
        <f t="shared" si="161"/>
        <v>2.9017312850524224E-2</v>
      </c>
      <c r="CV82" s="349">
        <f t="shared" si="161"/>
        <v>2.6178675816495023E-2</v>
      </c>
      <c r="CW82" s="349">
        <f t="shared" si="161"/>
        <v>6.2606932387047731E-2</v>
      </c>
      <c r="CX82" s="349">
        <f t="shared" si="161"/>
        <v>4.264638082065475E-2</v>
      </c>
      <c r="CY82" s="349">
        <f t="shared" si="161"/>
        <v>5.509641873278226E-2</v>
      </c>
      <c r="CZ82" s="349">
        <f t="shared" si="161"/>
        <v>4.8884288014722888E-2</v>
      </c>
      <c r="DA82" s="349">
        <f t="shared" si="161"/>
        <v>0.11543450064850846</v>
      </c>
      <c r="DB82" s="349">
        <f t="shared" si="161"/>
        <v>0.12440758293838861</v>
      </c>
      <c r="DC82" s="349">
        <f t="shared" ref="DC82:EH82" si="162">DC10/CV10-1</f>
        <v>0.12012383900928802</v>
      </c>
      <c r="DD82" s="573">
        <f t="shared" si="162"/>
        <v>8.3189218200250492E-2</v>
      </c>
      <c r="DE82" s="350">
        <f t="shared" si="162"/>
        <v>-1.1054609772275237E-3</v>
      </c>
      <c r="DF82" s="350">
        <f t="shared" si="162"/>
        <v>0.12053959965187122</v>
      </c>
      <c r="DG82" s="349">
        <f t="shared" si="162"/>
        <v>6.0203969733523266E-2</v>
      </c>
      <c r="DH82" s="349">
        <f t="shared" si="162"/>
        <v>0.20488372093023255</v>
      </c>
      <c r="DI82" s="349">
        <f t="shared" si="162"/>
        <v>0.17028451001053746</v>
      </c>
      <c r="DJ82" s="349">
        <f t="shared" si="162"/>
        <v>0.18673300165837481</v>
      </c>
      <c r="DK82" s="573">
        <f t="shared" si="162"/>
        <v>0.12321074653160102</v>
      </c>
      <c r="DL82" s="351">
        <f t="shared" si="162"/>
        <v>0.27733510402833117</v>
      </c>
      <c r="DM82" s="350">
        <f t="shared" si="162"/>
        <v>0.23359223300970866</v>
      </c>
      <c r="DN82" s="349">
        <f t="shared" si="162"/>
        <v>0.25403392635498556</v>
      </c>
      <c r="DO82" s="350">
        <f t="shared" si="162"/>
        <v>0.24474039760663957</v>
      </c>
      <c r="DP82" s="349">
        <f t="shared" si="162"/>
        <v>0.24977489645236806</v>
      </c>
      <c r="DQ82" s="349">
        <f t="shared" si="162"/>
        <v>0.24734488541084398</v>
      </c>
      <c r="DR82" s="573">
        <f t="shared" si="162"/>
        <v>0.25051465542593876</v>
      </c>
      <c r="DS82" s="350">
        <f t="shared" si="162"/>
        <v>0.28244671634032237</v>
      </c>
      <c r="DT82" s="350">
        <f t="shared" si="162"/>
        <v>0.18148906028647893</v>
      </c>
      <c r="DU82" s="350">
        <f t="shared" si="162"/>
        <v>0.22954470471791488</v>
      </c>
      <c r="DV82" s="350">
        <f t="shared" si="162"/>
        <v>7.7531400217090152E-4</v>
      </c>
      <c r="DW82" s="349">
        <f t="shared" si="162"/>
        <v>-6.123919308357384E-2</v>
      </c>
      <c r="DX82" s="349">
        <f t="shared" si="162"/>
        <v>-3.136903428187332E-2</v>
      </c>
      <c r="DY82" s="573">
        <f t="shared" si="162"/>
        <v>9.2619448908399571E-2</v>
      </c>
      <c r="DZ82" s="350">
        <f t="shared" si="162"/>
        <v>-6.1207944872314624E-2</v>
      </c>
      <c r="EA82" s="350">
        <f t="shared" si="162"/>
        <v>-2.1582733812949728E-2</v>
      </c>
      <c r="EB82" s="350">
        <f t="shared" si="162"/>
        <v>-4.1255785872409079E-2</v>
      </c>
      <c r="EC82" s="350">
        <f t="shared" si="162"/>
        <v>0.12643321970870791</v>
      </c>
      <c r="ED82" s="349">
        <f t="shared" si="162"/>
        <v>0.12847275518035373</v>
      </c>
      <c r="EE82" s="349">
        <f t="shared" si="162"/>
        <v>0.127457783946334</v>
      </c>
      <c r="EF82" s="573">
        <f t="shared" si="162"/>
        <v>3.7236332328885124E-2</v>
      </c>
      <c r="EG82" s="350">
        <f t="shared" si="162"/>
        <v>4.9654576856649424E-2</v>
      </c>
      <c r="EH82" s="350">
        <f t="shared" si="162"/>
        <v>-5.2559912854030499E-2</v>
      </c>
      <c r="EI82" s="350">
        <f t="shared" ref="EI82:FN82" si="163">EI10/EB10-1</f>
        <v>-2.8687377553875404E-3</v>
      </c>
      <c r="EJ82" s="350">
        <f t="shared" si="163"/>
        <v>-1.0591471801925767E-2</v>
      </c>
      <c r="EK82" s="350">
        <f t="shared" si="163"/>
        <v>-2.217083786724694E-2</v>
      </c>
      <c r="EL82" s="349">
        <f t="shared" si="163"/>
        <v>-1.6413623307345082E-2</v>
      </c>
      <c r="EM82" s="573">
        <f t="shared" si="163"/>
        <v>-9.7184754790067274E-3</v>
      </c>
      <c r="EN82" s="350">
        <f t="shared" si="163"/>
        <v>-0.1199780611545318</v>
      </c>
      <c r="EO82" s="350">
        <f t="shared" ref="EO82:EO83" si="164">EO10/EH10-1</f>
        <v>0.10089106064961206</v>
      </c>
      <c r="EP82" s="350">
        <f t="shared" ref="EP82:EP83" si="165">EP10/EI10-1</f>
        <v>-1.213949898252753E-2</v>
      </c>
      <c r="EQ82" s="351">
        <f t="shared" si="163"/>
        <v>9.5926595300987128E-2</v>
      </c>
      <c r="ER82" s="349">
        <f t="shared" si="163"/>
        <v>0.11528832275238932</v>
      </c>
      <c r="ES82" s="349">
        <f t="shared" si="163"/>
        <v>0.15477716258287622</v>
      </c>
      <c r="ET82" s="581">
        <f t="shared" si="163"/>
        <v>4.700198205800743E-2</v>
      </c>
      <c r="EU82" s="349">
        <f t="shared" si="163"/>
        <v>0.2195149640026397</v>
      </c>
      <c r="EV82" s="349">
        <f t="shared" si="163"/>
        <v>0.17265034641320698</v>
      </c>
      <c r="EW82" s="349">
        <f t="shared" si="163"/>
        <v>0.1940153922783141</v>
      </c>
      <c r="EX82" s="349">
        <f t="shared" si="163"/>
        <v>0.15921213275765234</v>
      </c>
      <c r="EY82" s="349">
        <f t="shared" si="163"/>
        <v>9.2957350822046259E-2</v>
      </c>
      <c r="EZ82" s="349">
        <f t="shared" si="163"/>
        <v>7.7865222145795165E-2</v>
      </c>
      <c r="FA82" s="581">
        <f t="shared" si="163"/>
        <v>0.15783590001894177</v>
      </c>
      <c r="FB82" s="349">
        <f t="shared" si="163"/>
        <v>9.7929989852681754E-2</v>
      </c>
      <c r="FC82" s="349">
        <f t="shared" si="163"/>
        <v>0.10044605089804093</v>
      </c>
      <c r="FD82" s="349">
        <f t="shared" si="163"/>
        <v>9.9274510863802012E-2</v>
      </c>
      <c r="FE82" s="349">
        <f t="shared" si="163"/>
        <v>0.10146576468410595</v>
      </c>
      <c r="FF82" s="349">
        <f t="shared" si="163"/>
        <v>9.7600311176109233E-2</v>
      </c>
      <c r="FG82" s="349">
        <f t="shared" si="163"/>
        <v>9.9573519634055918E-2</v>
      </c>
      <c r="FH82" s="581">
        <f t="shared" si="163"/>
        <v>9.9428718006012717E-2</v>
      </c>
      <c r="FI82" s="349">
        <f t="shared" si="163"/>
        <v>9.3808163727845395E-2</v>
      </c>
      <c r="FJ82" s="349">
        <f t="shared" si="163"/>
        <v>9.5802405779121802E-2</v>
      </c>
      <c r="FK82" s="349">
        <f t="shared" si="163"/>
        <v>9.4874973259858164E-2</v>
      </c>
      <c r="FL82" s="349">
        <f t="shared" si="163"/>
        <v>9.6492298596587034E-2</v>
      </c>
      <c r="FM82" s="349">
        <f t="shared" si="163"/>
        <v>9.3453162976599558E-2</v>
      </c>
      <c r="FN82" s="349">
        <f t="shared" si="163"/>
        <v>9.5007228499206731E-2</v>
      </c>
      <c r="FO82" s="581">
        <f t="shared" ref="FO82:FV82" si="166">FO10/FH10-1</f>
        <v>9.4943189949939555E-2</v>
      </c>
      <c r="FP82" s="349">
        <f t="shared" si="166"/>
        <v>8.7847012894254117E-2</v>
      </c>
      <c r="FQ82" s="349">
        <f t="shared" si="166"/>
        <v>8.9540602319829965E-2</v>
      </c>
      <c r="FR82" s="349">
        <f t="shared" si="166"/>
        <v>8.8753757273173584E-2</v>
      </c>
      <c r="FS82" s="349">
        <f t="shared" si="166"/>
        <v>9.0090889048149103E-2</v>
      </c>
      <c r="FT82" s="349">
        <f t="shared" si="166"/>
        <v>8.7517325494639309E-2</v>
      </c>
      <c r="FU82" s="349">
        <f t="shared" si="166"/>
        <v>8.8835104978919333E-2</v>
      </c>
      <c r="FV82" s="581">
        <f t="shared" si="166"/>
        <v>8.8795718527882483E-2</v>
      </c>
    </row>
    <row r="83" spans="2:178" outlineLevel="1" x14ac:dyDescent="0.3">
      <c r="B83" s="279" t="s">
        <v>122</v>
      </c>
      <c r="C83" s="280" t="s">
        <v>413</v>
      </c>
      <c r="K83" s="349">
        <f t="shared" ref="K83:AP83" si="167">K13/D13-1</f>
        <v>-4.0518638573743937E-2</v>
      </c>
      <c r="L83" s="349">
        <f t="shared" si="167"/>
        <v>4.7244094488188004E-3</v>
      </c>
      <c r="M83" s="349">
        <f t="shared" si="167"/>
        <v>-1.7571884984025621E-2</v>
      </c>
      <c r="N83" s="349">
        <f t="shared" si="167"/>
        <v>8.4175084175084347E-2</v>
      </c>
      <c r="O83" s="349">
        <f t="shared" si="167"/>
        <v>0.12412587412587395</v>
      </c>
      <c r="P83" s="349">
        <f t="shared" si="167"/>
        <v>0.10377358490566024</v>
      </c>
      <c r="Q83" s="349">
        <f t="shared" si="167"/>
        <v>4.0942928039702231E-2</v>
      </c>
      <c r="R83" s="349">
        <f t="shared" si="167"/>
        <v>0.20270270270270263</v>
      </c>
      <c r="S83" s="349">
        <f t="shared" si="167"/>
        <v>0.19278996865203757</v>
      </c>
      <c r="T83" s="349">
        <f t="shared" si="167"/>
        <v>0.19756097560975627</v>
      </c>
      <c r="U83" s="349">
        <f t="shared" si="167"/>
        <v>0.20341614906832284</v>
      </c>
      <c r="V83" s="349">
        <f t="shared" si="167"/>
        <v>0.14307931570762067</v>
      </c>
      <c r="W83" s="349">
        <f t="shared" si="167"/>
        <v>0.17327117327117336</v>
      </c>
      <c r="X83" s="349">
        <f t="shared" si="167"/>
        <v>0.18514104092173223</v>
      </c>
      <c r="Y83" s="349">
        <f t="shared" si="167"/>
        <v>0.16994382022471899</v>
      </c>
      <c r="Z83" s="349">
        <f t="shared" si="167"/>
        <v>3.6793692509855536E-2</v>
      </c>
      <c r="AA83" s="349">
        <f t="shared" si="167"/>
        <v>0.10115410726408669</v>
      </c>
      <c r="AB83" s="349">
        <f t="shared" si="167"/>
        <v>-0.24516129032258061</v>
      </c>
      <c r="AC83" s="349">
        <f t="shared" si="167"/>
        <v>-0.28435374149659864</v>
      </c>
      <c r="AD83" s="349">
        <f t="shared" si="167"/>
        <v>-0.26423841059602649</v>
      </c>
      <c r="AE83" s="349">
        <f t="shared" si="167"/>
        <v>-8.3808246731478353E-2</v>
      </c>
      <c r="AF83" s="349">
        <f t="shared" si="167"/>
        <v>-0.26410564225690281</v>
      </c>
      <c r="AG83" s="349">
        <f t="shared" si="167"/>
        <v>-4.6894803548795938E-2</v>
      </c>
      <c r="AH83" s="349">
        <f t="shared" si="167"/>
        <v>-0.158446362515413</v>
      </c>
      <c r="AI83" s="349">
        <f t="shared" si="167"/>
        <v>0.40000000000000013</v>
      </c>
      <c r="AJ83" s="349">
        <f t="shared" si="167"/>
        <v>0.4847908745247147</v>
      </c>
      <c r="AK83" s="349">
        <f t="shared" si="167"/>
        <v>0.44014401440144013</v>
      </c>
      <c r="AL83" s="349">
        <f t="shared" si="167"/>
        <v>8.4888401024515225E-2</v>
      </c>
      <c r="AM83" s="349">
        <f t="shared" si="167"/>
        <v>0.39314845024469847</v>
      </c>
      <c r="AN83" s="349">
        <f t="shared" si="167"/>
        <v>0.15558510638297873</v>
      </c>
      <c r="AO83" s="349">
        <f t="shared" si="167"/>
        <v>0.26227106227106245</v>
      </c>
      <c r="AP83" s="349">
        <f t="shared" si="167"/>
        <v>0.14159947718828114</v>
      </c>
      <c r="AQ83" s="349">
        <f t="shared" ref="AQ83:BV83" si="168">AQ13/AJ13-1</f>
        <v>3.5522067544430991E-2</v>
      </c>
      <c r="AR83" s="349">
        <f t="shared" si="168"/>
        <v>8.9820441605876766E-2</v>
      </c>
      <c r="AS83" s="349">
        <f t="shared" si="168"/>
        <v>0.16921170541969754</v>
      </c>
      <c r="AT83" s="349">
        <f t="shared" si="168"/>
        <v>0.18618266978922704</v>
      </c>
      <c r="AU83" s="349">
        <f t="shared" si="168"/>
        <v>0.26697353279631741</v>
      </c>
      <c r="AV83" s="349">
        <f t="shared" si="168"/>
        <v>0.22692977365060929</v>
      </c>
      <c r="AW83" s="349">
        <f t="shared" si="168"/>
        <v>2.3562284187566229E-2</v>
      </c>
      <c r="AX83" s="349">
        <f t="shared" si="168"/>
        <v>0.19197361358104881</v>
      </c>
      <c r="AY83" s="349">
        <f t="shared" si="168"/>
        <v>0.10167230689016082</v>
      </c>
      <c r="AZ83" s="349">
        <f t="shared" si="168"/>
        <v>0.16392684988106909</v>
      </c>
      <c r="BA83" s="349">
        <f t="shared" si="168"/>
        <v>-5.6268509378084919E-2</v>
      </c>
      <c r="BB83" s="349">
        <f t="shared" si="168"/>
        <v>-6.3578564940962812E-2</v>
      </c>
      <c r="BC83" s="349">
        <f t="shared" si="168"/>
        <v>-6.0075685903500431E-2</v>
      </c>
      <c r="BD83" s="349">
        <f t="shared" si="168"/>
        <v>7.1055381400209061E-2</v>
      </c>
      <c r="BE83" s="349">
        <f t="shared" si="168"/>
        <v>-2.0746887966804906E-3</v>
      </c>
      <c r="BF83" s="349">
        <f t="shared" si="168"/>
        <v>3.4357105674127864E-2</v>
      </c>
      <c r="BG83" s="349">
        <f t="shared" si="168"/>
        <v>-1.5117719950433761E-2</v>
      </c>
      <c r="BH83" s="349">
        <f t="shared" si="168"/>
        <v>6.2761506276150625E-2</v>
      </c>
      <c r="BI83" s="349">
        <f t="shared" si="168"/>
        <v>-6.7895247332685482E-3</v>
      </c>
      <c r="BJ83" s="349">
        <f t="shared" si="168"/>
        <v>2.6673376950176131E-2</v>
      </c>
      <c r="BK83" s="349">
        <f t="shared" si="168"/>
        <v>-3.3170731707317103E-2</v>
      </c>
      <c r="BL83" s="349">
        <f t="shared" si="168"/>
        <v>-1.0395010395011228E-3</v>
      </c>
      <c r="BM83" s="349">
        <f t="shared" si="168"/>
        <v>-1.7614494212380483E-2</v>
      </c>
      <c r="BN83" s="349">
        <f t="shared" si="168"/>
        <v>4.5294413688978796E-3</v>
      </c>
      <c r="BO83" s="349">
        <f t="shared" si="168"/>
        <v>3.6417322834645605E-2</v>
      </c>
      <c r="BP83" s="349">
        <f t="shared" si="168"/>
        <v>0.126953125</v>
      </c>
      <c r="BQ83" s="349">
        <f t="shared" si="168"/>
        <v>8.1862745098039147E-2</v>
      </c>
      <c r="BR83" s="349">
        <f t="shared" si="168"/>
        <v>3.0272452068617506E-2</v>
      </c>
      <c r="BS83" s="349">
        <f t="shared" si="168"/>
        <v>-6.2434963579603986E-3</v>
      </c>
      <c r="BT83" s="349">
        <f t="shared" si="168"/>
        <v>1.2295081967213184E-2</v>
      </c>
      <c r="BU83" s="349">
        <f t="shared" si="168"/>
        <v>4.7845691382765398E-2</v>
      </c>
      <c r="BV83" s="349">
        <f t="shared" si="168"/>
        <v>-3.8936372269705588E-2</v>
      </c>
      <c r="BW83" s="349">
        <f t="shared" ref="BW83:CP83" si="169">BW13/BP13-1</f>
        <v>-0.14731369150779894</v>
      </c>
      <c r="BX83" s="349">
        <f t="shared" si="169"/>
        <v>-9.5604893520616074E-2</v>
      </c>
      <c r="BY83" s="349">
        <f t="shared" si="169"/>
        <v>-8.9128305582761969E-2</v>
      </c>
      <c r="BZ83" s="349">
        <f t="shared" si="169"/>
        <v>-9.0052356020942304E-2</v>
      </c>
      <c r="CA83" s="349">
        <f t="shared" si="169"/>
        <v>-8.9574898785425017E-2</v>
      </c>
      <c r="CB83" s="349">
        <f t="shared" si="169"/>
        <v>-9.2756394931866937E-2</v>
      </c>
      <c r="CC83" s="349">
        <f t="shared" si="169"/>
        <v>1.679841897233203E-2</v>
      </c>
      <c r="CD83" s="349">
        <f t="shared" si="169"/>
        <v>8.3333333333333259E-2</v>
      </c>
      <c r="CE83" s="349">
        <f t="shared" si="169"/>
        <v>4.9599198396793387E-2</v>
      </c>
      <c r="CF83" s="349">
        <f t="shared" si="169"/>
        <v>6.9892473118279508E-2</v>
      </c>
      <c r="CG83" s="349">
        <f t="shared" si="169"/>
        <v>0.18296892980437263</v>
      </c>
      <c r="CH83" s="349">
        <f t="shared" si="169"/>
        <v>0.1245136186770428</v>
      </c>
      <c r="CI83" s="349">
        <f t="shared" si="169"/>
        <v>8.5111989459815574E-2</v>
      </c>
      <c r="CJ83" s="349">
        <f t="shared" si="169"/>
        <v>7.6773566569484863E-2</v>
      </c>
      <c r="CK83" s="349">
        <f t="shared" si="169"/>
        <v>0.16228893058161353</v>
      </c>
      <c r="CL83" s="349">
        <f t="shared" si="169"/>
        <v>0.12028639618138426</v>
      </c>
      <c r="CM83" s="349">
        <f t="shared" si="169"/>
        <v>0.15075376884422109</v>
      </c>
      <c r="CN83" s="349">
        <f t="shared" si="169"/>
        <v>9.4357976653696607E-2</v>
      </c>
      <c r="CO83" s="349">
        <f t="shared" si="169"/>
        <v>0.12209589718240221</v>
      </c>
      <c r="CP83" s="349">
        <f t="shared" si="169"/>
        <v>0.12117532782904306</v>
      </c>
      <c r="CQ83" s="349">
        <f t="shared" ref="CQ83:DV83" si="170">CQ11/CJ11-1</f>
        <v>0.15255905511811019</v>
      </c>
      <c r="CR83" s="349">
        <f t="shared" si="170"/>
        <v>3.4391534391534417E-2</v>
      </c>
      <c r="CS83" s="349">
        <f t="shared" si="170"/>
        <v>9.023255813953468E-2</v>
      </c>
      <c r="CT83" s="349">
        <f t="shared" si="170"/>
        <v>4.5584045584045496E-2</v>
      </c>
      <c r="CU83" s="349">
        <f t="shared" si="170"/>
        <v>-2.6641294005708915E-2</v>
      </c>
      <c r="CV83" s="349">
        <f t="shared" si="170"/>
        <v>9.5057034220531467E-3</v>
      </c>
      <c r="CW83" s="349">
        <f t="shared" si="170"/>
        <v>5.0305594734367576E-2</v>
      </c>
      <c r="CX83" s="349">
        <f t="shared" si="170"/>
        <v>-7.7711357813834314E-2</v>
      </c>
      <c r="CY83" s="349">
        <f t="shared" si="170"/>
        <v>-4.0068201193520947E-2</v>
      </c>
      <c r="CZ83" s="349">
        <f t="shared" si="170"/>
        <v>-5.8873720136518704E-2</v>
      </c>
      <c r="DA83" s="349">
        <f t="shared" si="170"/>
        <v>-7.3569482288828314E-2</v>
      </c>
      <c r="DB83" s="349">
        <f t="shared" si="170"/>
        <v>-6.3538611925708754E-2</v>
      </c>
      <c r="DC83" s="349">
        <f t="shared" si="170"/>
        <v>-6.8738229755178737E-2</v>
      </c>
      <c r="DD83" s="573">
        <f t="shared" si="170"/>
        <v>-6.3563115487914046E-2</v>
      </c>
      <c r="DE83" s="350">
        <f t="shared" si="170"/>
        <v>-0.15462962962962967</v>
      </c>
      <c r="DF83" s="350">
        <f t="shared" si="170"/>
        <v>8.4369449378330463E-2</v>
      </c>
      <c r="DG83" s="349">
        <f t="shared" si="170"/>
        <v>-3.2638259292837812E-2</v>
      </c>
      <c r="DH83" s="349">
        <f t="shared" si="170"/>
        <v>0.16764705882352926</v>
      </c>
      <c r="DI83" s="349">
        <f t="shared" si="170"/>
        <v>0.31210855949895633</v>
      </c>
      <c r="DJ83" s="349">
        <f t="shared" si="170"/>
        <v>0.23761375126390294</v>
      </c>
      <c r="DK83" s="573">
        <f t="shared" si="170"/>
        <v>9.512428298279163E-2</v>
      </c>
      <c r="DL83" s="351">
        <f t="shared" si="170"/>
        <v>0.55312157721796296</v>
      </c>
      <c r="DM83" s="350">
        <f t="shared" si="170"/>
        <v>0.18263718263718265</v>
      </c>
      <c r="DN83" s="349">
        <f t="shared" si="170"/>
        <v>0.34114339268978489</v>
      </c>
      <c r="DO83" s="350">
        <f t="shared" si="170"/>
        <v>0.20319059613769963</v>
      </c>
      <c r="DP83" s="349">
        <f t="shared" si="170"/>
        <v>0.15672235481304608</v>
      </c>
      <c r="DQ83" s="349">
        <f t="shared" si="170"/>
        <v>0.17933006535947671</v>
      </c>
      <c r="DR83" s="573">
        <f t="shared" si="170"/>
        <v>0.2546922741161064</v>
      </c>
      <c r="DS83" s="350">
        <f t="shared" si="170"/>
        <v>7.0521861777150807E-3</v>
      </c>
      <c r="DT83" s="350">
        <f t="shared" si="170"/>
        <v>-6.9252077562320657E-4</v>
      </c>
      <c r="DU83" s="350">
        <f t="shared" si="170"/>
        <v>3.1446540880502027E-3</v>
      </c>
      <c r="DV83" s="350">
        <f t="shared" si="170"/>
        <v>-0.21632937892533155</v>
      </c>
      <c r="DW83" s="349">
        <f t="shared" ref="DW83:FB83" si="171">DW11/DP11-1</f>
        <v>-3.8514442916092961E-2</v>
      </c>
      <c r="DX83" s="349">
        <f t="shared" si="171"/>
        <v>-0.12677519916868696</v>
      </c>
      <c r="DY83" s="573">
        <f t="shared" si="171"/>
        <v>-6.2097756131501036E-2</v>
      </c>
      <c r="DZ83" s="350">
        <f t="shared" si="171"/>
        <v>-1.8907563025210239E-2</v>
      </c>
      <c r="EA83" s="350">
        <f t="shared" si="171"/>
        <v>2.1483021483021503E-2</v>
      </c>
      <c r="EB83" s="350">
        <f t="shared" si="171"/>
        <v>1.3932427725529273E-3</v>
      </c>
      <c r="EC83" s="350">
        <f t="shared" si="171"/>
        <v>0.19145146927871792</v>
      </c>
      <c r="ED83" s="349">
        <f t="shared" si="171"/>
        <v>1.216022889842594E-2</v>
      </c>
      <c r="EE83" s="349">
        <f t="shared" si="171"/>
        <v>9.2026973423244396E-2</v>
      </c>
      <c r="EF83" s="573">
        <f t="shared" si="171"/>
        <v>4.37685459940651E-2</v>
      </c>
      <c r="EG83" s="350">
        <f t="shared" si="171"/>
        <v>-3.4261241970021339E-2</v>
      </c>
      <c r="EH83" s="350">
        <f t="shared" si="171"/>
        <v>6.7842605156038793E-3</v>
      </c>
      <c r="EI83" s="350">
        <f t="shared" si="171"/>
        <v>-1.3217391304347625E-2</v>
      </c>
      <c r="EJ83" s="350">
        <f t="shared" si="171"/>
        <v>-0.11733931240657713</v>
      </c>
      <c r="EK83" s="350">
        <f t="shared" si="171"/>
        <v>-0.16537102473498244</v>
      </c>
      <c r="EL83" s="349">
        <f t="shared" si="171"/>
        <v>-0.14202687976752648</v>
      </c>
      <c r="EM83" s="573">
        <f t="shared" si="171"/>
        <v>-7.6226012793176978E-2</v>
      </c>
      <c r="EN83" s="350">
        <f t="shared" si="171"/>
        <v>-0.10125646711012581</v>
      </c>
      <c r="EO83" s="350">
        <f t="shared" si="164"/>
        <v>-0.10444743935309975</v>
      </c>
      <c r="EP83" s="350">
        <f t="shared" si="165"/>
        <v>-0.10292562566090957</v>
      </c>
      <c r="EQ83" s="351">
        <f t="shared" si="171"/>
        <v>7.1126164267570013E-2</v>
      </c>
      <c r="ER83" s="349">
        <f t="shared" si="171"/>
        <v>9.0525839384301587E-2</v>
      </c>
      <c r="ES83" s="349">
        <f t="shared" si="171"/>
        <v>8.0826001825935689E-2</v>
      </c>
      <c r="ET83" s="581">
        <f t="shared" si="171"/>
        <v>-1.944392838760145E-2</v>
      </c>
      <c r="EU83" s="349">
        <f t="shared" si="171"/>
        <v>0.11877575799396256</v>
      </c>
      <c r="EV83" s="349">
        <f t="shared" si="171"/>
        <v>0.12084306147199153</v>
      </c>
      <c r="EW83" s="349">
        <f t="shared" si="171"/>
        <v>0.11985530468248928</v>
      </c>
      <c r="EX83" s="349">
        <f t="shared" si="171"/>
        <v>0.11186701129670529</v>
      </c>
      <c r="EY83" s="349">
        <f t="shared" si="171"/>
        <v>0.13192054884722104</v>
      </c>
      <c r="EZ83" s="349">
        <f t="shared" si="171"/>
        <v>0.12198376497997887</v>
      </c>
      <c r="FA83" s="581">
        <f t="shared" si="171"/>
        <v>0.1209211863198616</v>
      </c>
      <c r="FB83" s="349">
        <f t="shared" si="171"/>
        <v>0.15086872631753545</v>
      </c>
      <c r="FC83" s="349">
        <f t="shared" ref="FC83:FV83" si="172">FC11/EV11-1</f>
        <v>0.15086872631753545</v>
      </c>
      <c r="FD83" s="349">
        <f t="shared" si="172"/>
        <v>0.15086872631753523</v>
      </c>
      <c r="FE83" s="349">
        <f t="shared" si="172"/>
        <v>0.1053735066389605</v>
      </c>
      <c r="FF83" s="349">
        <f t="shared" si="172"/>
        <v>0.10595823421110784</v>
      </c>
      <c r="FG83" s="349">
        <f t="shared" si="172"/>
        <v>0.10567110677471492</v>
      </c>
      <c r="FH83" s="581">
        <f t="shared" si="172"/>
        <v>0.12821339155310629</v>
      </c>
      <c r="FI83" s="349">
        <f t="shared" si="172"/>
        <v>9.346452368853031E-2</v>
      </c>
      <c r="FJ83" s="349">
        <f t="shared" si="172"/>
        <v>3.1811337006313556E-2</v>
      </c>
      <c r="FK83" s="349">
        <f t="shared" si="172"/>
        <v>6.1240807830317046E-2</v>
      </c>
      <c r="FL83" s="349">
        <f t="shared" si="172"/>
        <v>3.1811337006313778E-2</v>
      </c>
      <c r="FM83" s="349">
        <f t="shared" si="172"/>
        <v>3.1811337006313556E-2</v>
      </c>
      <c r="FN83" s="349">
        <f t="shared" si="172"/>
        <v>3.1811337006313556E-2</v>
      </c>
      <c r="FO83" s="581">
        <f t="shared" si="172"/>
        <v>4.6784010746521387E-2</v>
      </c>
      <c r="FP83" s="349">
        <f t="shared" si="172"/>
        <v>2.1603306413579437E-2</v>
      </c>
      <c r="FQ83" s="349">
        <f t="shared" si="172"/>
        <v>4.8026100705957919E-2</v>
      </c>
      <c r="FR83" s="349">
        <f t="shared" si="172"/>
        <v>3.5030498068176819E-2</v>
      </c>
      <c r="FS83" s="349">
        <f t="shared" si="172"/>
        <v>4.8026100705957697E-2</v>
      </c>
      <c r="FT83" s="349">
        <f t="shared" si="172"/>
        <v>4.8026100705957919E-2</v>
      </c>
      <c r="FU83" s="349">
        <f t="shared" si="172"/>
        <v>4.8026100705957697E-2</v>
      </c>
      <c r="FV83" s="581">
        <f t="shared" si="172"/>
        <v>4.1323085678870441E-2</v>
      </c>
    </row>
    <row r="84" spans="2:178" outlineLevel="1" x14ac:dyDescent="0.3">
      <c r="B84" s="279" t="s">
        <v>49</v>
      </c>
      <c r="C84" s="280" t="s">
        <v>413</v>
      </c>
      <c r="K84" s="349">
        <f t="shared" ref="K84:Q86" si="173">K15/D15-1</f>
        <v>-0.27450980392156854</v>
      </c>
      <c r="L84" s="349">
        <f t="shared" si="173"/>
        <v>0.50877192982456121</v>
      </c>
      <c r="M84" s="349">
        <f t="shared" si="173"/>
        <v>6.2893081761006275E-3</v>
      </c>
      <c r="N84" s="349">
        <f t="shared" si="173"/>
        <v>0.14814814814814814</v>
      </c>
      <c r="O84" s="349">
        <f t="shared" si="173"/>
        <v>-4.2857142857143371E-2</v>
      </c>
      <c r="P84" s="349">
        <f t="shared" si="173"/>
        <v>4.0322580645161032E-2</v>
      </c>
      <c r="Q84" s="349">
        <f t="shared" si="173"/>
        <v>2.1201413427561766E-2</v>
      </c>
      <c r="R84" s="349"/>
      <c r="S84" s="349"/>
      <c r="T84" s="349"/>
      <c r="U84" s="349"/>
      <c r="V84" s="349"/>
      <c r="W84" s="349"/>
      <c r="X84" s="349"/>
      <c r="Y84" s="349"/>
      <c r="Z84" s="349"/>
      <c r="AA84" s="349"/>
      <c r="AB84" s="349"/>
      <c r="AC84" s="349"/>
      <c r="AD84" s="349"/>
      <c r="AE84" s="349"/>
      <c r="AF84" s="349"/>
      <c r="AG84" s="349"/>
      <c r="AH84" s="349"/>
      <c r="AI84" s="349"/>
      <c r="AJ84" s="349"/>
      <c r="AK84" s="349"/>
      <c r="AL84" s="349"/>
      <c r="AM84" s="349"/>
      <c r="AN84" s="349"/>
      <c r="AO84" s="349"/>
      <c r="AP84" s="349"/>
      <c r="AQ84" s="349"/>
      <c r="AR84" s="349"/>
      <c r="AS84" s="349"/>
      <c r="AT84" s="349"/>
      <c r="AU84" s="349"/>
      <c r="AV84" s="349"/>
      <c r="AW84" s="349"/>
      <c r="AX84" s="349"/>
      <c r="AY84" s="349"/>
      <c r="AZ84" s="349"/>
      <c r="BA84" s="349"/>
      <c r="BB84" s="349"/>
      <c r="BC84" s="349"/>
      <c r="BD84" s="349"/>
      <c r="BE84" s="349"/>
      <c r="BF84" s="349"/>
      <c r="BG84" s="349"/>
      <c r="BH84" s="349"/>
      <c r="BI84" s="349"/>
      <c r="BJ84" s="349"/>
      <c r="BK84" s="349"/>
      <c r="BL84" s="349"/>
      <c r="BM84" s="349"/>
      <c r="BN84" s="349"/>
      <c r="BO84" s="349"/>
      <c r="BP84" s="349"/>
      <c r="BQ84" s="349"/>
      <c r="BR84" s="349"/>
      <c r="BS84" s="349"/>
      <c r="BT84" s="349"/>
      <c r="BU84" s="349"/>
      <c r="BV84" s="349"/>
      <c r="BW84" s="349"/>
      <c r="BX84" s="349"/>
      <c r="BY84" s="349"/>
      <c r="BZ84" s="349"/>
      <c r="CA84" s="349"/>
      <c r="CB84" s="349"/>
      <c r="CC84" s="349"/>
      <c r="CD84" s="349"/>
      <c r="CE84" s="349"/>
      <c r="CF84" s="349"/>
      <c r="CG84" s="349"/>
      <c r="CH84" s="349"/>
      <c r="CI84" s="397"/>
      <c r="CJ84" s="349"/>
      <c r="CK84" s="349"/>
      <c r="CL84" s="349"/>
      <c r="CM84" s="349"/>
      <c r="CN84" s="349"/>
      <c r="CO84" s="349"/>
      <c r="CP84" s="397"/>
      <c r="CQ84" s="349"/>
      <c r="CR84" s="349"/>
      <c r="CS84" s="349"/>
      <c r="CT84" s="349"/>
      <c r="CU84" s="349"/>
      <c r="CV84" s="349"/>
      <c r="CW84" s="349"/>
      <c r="CX84" s="349"/>
      <c r="CY84" s="349"/>
      <c r="CZ84" s="349"/>
      <c r="DA84" s="349"/>
      <c r="DB84" s="349"/>
      <c r="DC84" s="349"/>
      <c r="DD84" s="573"/>
      <c r="DE84" s="350"/>
      <c r="DF84" s="350"/>
      <c r="DG84" s="349"/>
      <c r="DH84" s="349"/>
      <c r="DI84" s="349"/>
      <c r="DJ84" s="349"/>
      <c r="DK84" s="573"/>
      <c r="DL84" s="351"/>
      <c r="DM84" s="350"/>
      <c r="DN84" s="349"/>
      <c r="DO84" s="350"/>
      <c r="DP84" s="349"/>
      <c r="DQ84" s="349"/>
      <c r="DR84" s="573"/>
      <c r="DS84" s="350"/>
      <c r="DT84" s="350"/>
      <c r="DU84" s="350"/>
      <c r="DV84" s="350"/>
      <c r="DW84" s="349"/>
      <c r="DX84" s="349"/>
      <c r="DY84" s="573"/>
      <c r="DZ84" s="350"/>
      <c r="EA84" s="350"/>
      <c r="EB84" s="350"/>
      <c r="EC84" s="350"/>
      <c r="ED84" s="349"/>
      <c r="EE84" s="349"/>
      <c r="EF84" s="573"/>
      <c r="EG84" s="350"/>
      <c r="EH84" s="350"/>
      <c r="EI84" s="350"/>
      <c r="EJ84" s="350"/>
      <c r="EK84" s="350"/>
      <c r="EL84" s="349"/>
      <c r="EM84" s="573"/>
      <c r="EN84" s="350"/>
      <c r="EO84" s="350"/>
      <c r="EP84" s="350"/>
      <c r="EQ84" s="351"/>
      <c r="ER84" s="349"/>
      <c r="ES84" s="349"/>
      <c r="ET84" s="581"/>
      <c r="EU84" s="349"/>
      <c r="EV84" s="349"/>
      <c r="EW84" s="349"/>
      <c r="EX84" s="349"/>
      <c r="EY84" s="349"/>
      <c r="EZ84" s="349"/>
      <c r="FA84" s="581"/>
      <c r="FB84" s="349"/>
      <c r="FC84" s="349"/>
      <c r="FD84" s="349"/>
      <c r="FE84" s="349"/>
      <c r="FF84" s="349"/>
      <c r="FG84" s="349"/>
      <c r="FH84" s="581"/>
      <c r="FI84" s="349"/>
      <c r="FJ84" s="349"/>
      <c r="FK84" s="349"/>
      <c r="FL84" s="349"/>
      <c r="FM84" s="349"/>
      <c r="FN84" s="349"/>
      <c r="FO84" s="581"/>
      <c r="FP84" s="349"/>
      <c r="FQ84" s="349"/>
      <c r="FR84" s="349"/>
      <c r="FS84" s="349"/>
      <c r="FT84" s="349"/>
      <c r="FU84" s="349"/>
      <c r="FV84" s="581"/>
    </row>
    <row r="85" spans="2:178" outlineLevel="1" x14ac:dyDescent="0.3">
      <c r="B85" s="279" t="s">
        <v>449</v>
      </c>
      <c r="C85" s="280" t="s">
        <v>413</v>
      </c>
      <c r="K85" s="349">
        <f t="shared" si="173"/>
        <v>0.15609348914858079</v>
      </c>
      <c r="L85" s="349">
        <f t="shared" si="173"/>
        <v>9.2405735528412247E-2</v>
      </c>
      <c r="M85" s="349">
        <f t="shared" si="173"/>
        <v>0.12350543478260856</v>
      </c>
      <c r="N85" s="349">
        <f t="shared" si="173"/>
        <v>-2.095395643782727E-2</v>
      </c>
      <c r="O85" s="349">
        <f t="shared" si="173"/>
        <v>-7.4140584915341257E-2</v>
      </c>
      <c r="P85" s="349">
        <f t="shared" si="173"/>
        <v>-4.8504983388704459E-2</v>
      </c>
      <c r="Q85" s="349">
        <f t="shared" si="173"/>
        <v>3.6546859254282804E-2</v>
      </c>
      <c r="R85" s="349">
        <f t="shared" ref="R85:AA86" si="174">R16/K16-1</f>
        <v>2.1419975932611468E-2</v>
      </c>
      <c r="S85" s="349">
        <f t="shared" si="174"/>
        <v>-5.1774428779776449E-2</v>
      </c>
      <c r="T85" s="349">
        <f t="shared" si="174"/>
        <v>-1.4995767323739195E-2</v>
      </c>
      <c r="U85" s="349">
        <f t="shared" si="174"/>
        <v>-3.8580681498169511E-2</v>
      </c>
      <c r="V85" s="349">
        <f t="shared" si="174"/>
        <v>-0.13300083125519535</v>
      </c>
      <c r="W85" s="349">
        <f t="shared" si="174"/>
        <v>-8.6173184357541843E-2</v>
      </c>
      <c r="X85" s="349">
        <f t="shared" si="174"/>
        <v>-4.802644370989706E-2</v>
      </c>
      <c r="Y85" s="349">
        <f t="shared" si="174"/>
        <v>-0.13996229971724783</v>
      </c>
      <c r="Z85" s="349">
        <f t="shared" si="174"/>
        <v>-0.12355806203537567</v>
      </c>
      <c r="AA85" s="349">
        <f t="shared" si="174"/>
        <v>-0.13210558624923252</v>
      </c>
      <c r="AB85" s="349">
        <f t="shared" ref="AB85:AK86" si="175">AB16/U16-1</f>
        <v>-0.25483304042179256</v>
      </c>
      <c r="AC85" s="349">
        <f t="shared" si="175"/>
        <v>-0.2288271013103228</v>
      </c>
      <c r="AD85" s="349">
        <f t="shared" si="175"/>
        <v>-0.24239645422589018</v>
      </c>
      <c r="AE85" s="349">
        <f t="shared" si="175"/>
        <v>-0.18123638344226578</v>
      </c>
      <c r="AF85" s="349">
        <f t="shared" si="175"/>
        <v>-0.22054794520547949</v>
      </c>
      <c r="AG85" s="349">
        <f t="shared" si="175"/>
        <v>-0.11026615969581743</v>
      </c>
      <c r="AH85" s="349">
        <f t="shared" si="175"/>
        <v>-0.16720894044419299</v>
      </c>
      <c r="AI85" s="349">
        <f t="shared" si="175"/>
        <v>2.5943396226415061E-2</v>
      </c>
      <c r="AJ85" s="349">
        <f t="shared" si="175"/>
        <v>0.13924575217571489</v>
      </c>
      <c r="AK85" s="349">
        <f t="shared" si="175"/>
        <v>8.109743796651192E-2</v>
      </c>
      <c r="AL85" s="349">
        <f t="shared" ref="AL85:AU86" si="176">AL16/AE16-1</f>
        <v>-6.4859471145850667E-2</v>
      </c>
      <c r="AM85" s="349">
        <f t="shared" si="176"/>
        <v>0.11915641476274152</v>
      </c>
      <c r="AN85" s="349">
        <f t="shared" si="176"/>
        <v>-5.4569362261669863E-2</v>
      </c>
      <c r="AO85" s="349">
        <f t="shared" si="176"/>
        <v>2.9386784440292191E-2</v>
      </c>
      <c r="AP85" s="349">
        <f t="shared" si="176"/>
        <v>5.7767422152184666E-2</v>
      </c>
      <c r="AQ85" s="349">
        <f t="shared" si="176"/>
        <v>-1.1652250377907958E-2</v>
      </c>
      <c r="AR85" s="349">
        <f t="shared" si="176"/>
        <v>2.2157293436897429E-2</v>
      </c>
      <c r="AS85" s="349">
        <f t="shared" si="176"/>
        <v>2.5941751336327146E-2</v>
      </c>
      <c r="AT85" s="349">
        <f t="shared" si="176"/>
        <v>-1.5075376884421954E-2</v>
      </c>
      <c r="AU85" s="349">
        <f t="shared" si="176"/>
        <v>0.15299026425591089</v>
      </c>
      <c r="AV85" s="349">
        <f t="shared" ref="AV85:BE86" si="177">AV16/AO16-1</f>
        <v>6.468646864686467E-2</v>
      </c>
      <c r="AW85" s="349">
        <f t="shared" si="177"/>
        <v>2.5075233961462384E-2</v>
      </c>
      <c r="AX85" s="349">
        <f t="shared" si="177"/>
        <v>0.13840135081138172</v>
      </c>
      <c r="AY85" s="349">
        <f t="shared" si="177"/>
        <v>8.1285162937104527E-2</v>
      </c>
      <c r="AZ85" s="349">
        <f t="shared" si="177"/>
        <v>7.2566984225957309E-2</v>
      </c>
      <c r="BA85" s="349">
        <f t="shared" si="177"/>
        <v>8.3227040816326259E-2</v>
      </c>
      <c r="BB85" s="349">
        <f t="shared" si="177"/>
        <v>8.443908323281013E-3</v>
      </c>
      <c r="BC85" s="349">
        <f t="shared" si="177"/>
        <v>4.479231246125237E-2</v>
      </c>
      <c r="BD85" s="349">
        <f t="shared" si="177"/>
        <v>0.1321554770318023</v>
      </c>
      <c r="BE85" s="349">
        <f t="shared" si="177"/>
        <v>5.6579372777239012E-2</v>
      </c>
      <c r="BF85" s="349">
        <f t="shared" ref="BF85:BO86" si="178">BF16/AY16-1</f>
        <v>9.2689515448252546E-2</v>
      </c>
      <c r="BG85" s="349">
        <f t="shared" si="178"/>
        <v>6.771717171717162E-2</v>
      </c>
      <c r="BH85" s="349">
        <f t="shared" si="178"/>
        <v>9.5672652340300202E-2</v>
      </c>
      <c r="BI85" s="349">
        <f t="shared" si="178"/>
        <v>0.17224880382775121</v>
      </c>
      <c r="BJ85" s="349">
        <f t="shared" si="178"/>
        <v>0.13365969440735781</v>
      </c>
      <c r="BK85" s="349">
        <f t="shared" si="178"/>
        <v>0.10237203495630443</v>
      </c>
      <c r="BL85" s="349">
        <f t="shared" si="178"/>
        <v>0.15177478580171355</v>
      </c>
      <c r="BM85" s="349">
        <f t="shared" si="178"/>
        <v>0.12731767614338696</v>
      </c>
      <c r="BN85" s="349">
        <f t="shared" si="178"/>
        <v>0.13055324301823967</v>
      </c>
      <c r="BO85" s="349">
        <f t="shared" si="178"/>
        <v>0.11982804943578751</v>
      </c>
      <c r="BP85" s="349">
        <f t="shared" ref="BP85:BY86" si="179">BP16/BI16-1</f>
        <v>0.12346938775510208</v>
      </c>
      <c r="BQ85" s="349">
        <f t="shared" si="179"/>
        <v>0.12169589112797707</v>
      </c>
      <c r="BR85" s="349">
        <f t="shared" si="179"/>
        <v>9.9660249150623104E-2</v>
      </c>
      <c r="BS85" s="349">
        <f t="shared" si="179"/>
        <v>9.2720510095642972E-2</v>
      </c>
      <c r="BT85" s="349">
        <f t="shared" si="179"/>
        <v>9.6080043859649189E-2</v>
      </c>
      <c r="BU85" s="349">
        <f t="shared" si="179"/>
        <v>0.10918462980318666</v>
      </c>
      <c r="BV85" s="349">
        <f t="shared" si="179"/>
        <v>2.7591170825335798E-2</v>
      </c>
      <c r="BW85" s="349">
        <f t="shared" si="179"/>
        <v>2.2479564032697352E-2</v>
      </c>
      <c r="BX85" s="349">
        <f t="shared" si="179"/>
        <v>2.4965002333177999E-2</v>
      </c>
      <c r="BY85" s="349">
        <f t="shared" si="179"/>
        <v>6.5653964984551783E-2</v>
      </c>
      <c r="BZ85" s="349">
        <f t="shared" ref="BZ85:CI86" si="180">BZ16/BS16-1</f>
        <v>5.9567225869195273E-2</v>
      </c>
      <c r="CA85" s="349">
        <f t="shared" si="180"/>
        <v>6.2523446292359397E-2</v>
      </c>
      <c r="CB85" s="349">
        <f t="shared" si="180"/>
        <v>4.3092522179974502E-2</v>
      </c>
      <c r="CC85" s="349">
        <f t="shared" si="180"/>
        <v>0.11533971515293051</v>
      </c>
      <c r="CD85" s="349">
        <f t="shared" si="180"/>
        <v>0.10104374861203658</v>
      </c>
      <c r="CE85" s="349">
        <f t="shared" si="180"/>
        <v>0.10801274755292511</v>
      </c>
      <c r="CF85" s="349">
        <f t="shared" si="180"/>
        <v>9.6400096641700905E-2</v>
      </c>
      <c r="CG85" s="349">
        <f t="shared" si="180"/>
        <v>0.13423588802202824</v>
      </c>
      <c r="CH85" s="349">
        <f t="shared" si="180"/>
        <v>0.11580557843944916</v>
      </c>
      <c r="CI85" s="349">
        <f t="shared" si="180"/>
        <v>0.1118440085633281</v>
      </c>
      <c r="CJ85" s="349">
        <f t="shared" ref="CJ85:CS86" si="181">CJ16/CC16-1</f>
        <v>0.27548670713837109</v>
      </c>
      <c r="CK85" s="349">
        <f t="shared" si="181"/>
        <v>0.28922952803549795</v>
      </c>
      <c r="CL85" s="349">
        <f t="shared" si="181"/>
        <v>0.28248587570621475</v>
      </c>
      <c r="CM85" s="349">
        <f t="shared" si="181"/>
        <v>0.32304980167474673</v>
      </c>
      <c r="CN85" s="349">
        <f t="shared" si="181"/>
        <v>0.27655270078899452</v>
      </c>
      <c r="CO85" s="349">
        <f t="shared" si="181"/>
        <v>0.29880814260099164</v>
      </c>
      <c r="CP85" s="349">
        <f t="shared" si="181"/>
        <v>0.29053913405495413</v>
      </c>
      <c r="CQ85" s="349">
        <f t="shared" si="181"/>
        <v>6.8439192516001945E-2</v>
      </c>
      <c r="CR85" s="349">
        <f t="shared" si="181"/>
        <v>8.4480600750937995E-3</v>
      </c>
      <c r="CS85" s="349">
        <f t="shared" si="181"/>
        <v>3.7725270324389326E-2</v>
      </c>
      <c r="CT85" s="349">
        <f t="shared" ref="CT85:DC86" si="182">CT16/CM16-1</f>
        <v>-2.3650899400399772E-2</v>
      </c>
      <c r="CU85" s="349">
        <f t="shared" si="182"/>
        <v>-9.8256735340729318E-3</v>
      </c>
      <c r="CV85" s="349">
        <f t="shared" si="182"/>
        <v>-1.6566509663797357E-2</v>
      </c>
      <c r="CW85" s="349">
        <f t="shared" si="182"/>
        <v>1.0766563167869725E-2</v>
      </c>
      <c r="CX85" s="349">
        <f t="shared" si="182"/>
        <v>8.9093701996927344E-3</v>
      </c>
      <c r="CY85" s="349">
        <f t="shared" si="182"/>
        <v>2.4045919950357098E-2</v>
      </c>
      <c r="CZ85" s="349">
        <f t="shared" si="182"/>
        <v>1.6440259339302044E-2</v>
      </c>
      <c r="DA85" s="349">
        <f t="shared" si="182"/>
        <v>5.2030023882634113E-2</v>
      </c>
      <c r="DB85" s="349">
        <f t="shared" si="182"/>
        <v>7.7624839948783553E-2</v>
      </c>
      <c r="DC85" s="349">
        <f t="shared" si="182"/>
        <v>6.5235342691989828E-2</v>
      </c>
      <c r="DD85" s="573">
        <f t="shared" ref="DD85:DM86" si="183">DD16/CW16-1</f>
        <v>4.0014362084098032E-2</v>
      </c>
      <c r="DE85" s="350">
        <f t="shared" si="183"/>
        <v>-4.6437271619975684E-2</v>
      </c>
      <c r="DF85" s="350">
        <f t="shared" si="183"/>
        <v>0.11619451598242692</v>
      </c>
      <c r="DG85" s="349">
        <f t="shared" si="183"/>
        <v>3.5082390462449764E-2</v>
      </c>
      <c r="DH85" s="349">
        <f t="shared" si="183"/>
        <v>0.1976649910815631</v>
      </c>
      <c r="DI85" s="349">
        <f t="shared" si="183"/>
        <v>0.19857418684093298</v>
      </c>
      <c r="DJ85" s="349">
        <f t="shared" si="183"/>
        <v>0.19813953488372116</v>
      </c>
      <c r="DK85" s="573">
        <f t="shared" si="183"/>
        <v>0.11576968813533317</v>
      </c>
      <c r="DL85" s="351">
        <f t="shared" si="183"/>
        <v>0.34647932300814333</v>
      </c>
      <c r="DM85" s="350">
        <f t="shared" si="183"/>
        <v>0.22584147665580878</v>
      </c>
      <c r="DN85" s="349">
        <f t="shared" ref="DN85:DW86" si="184">DN16/DG16-1</f>
        <v>0.28127063311569245</v>
      </c>
      <c r="DO85" s="350">
        <f t="shared" si="184"/>
        <v>0.21852152721364737</v>
      </c>
      <c r="DP85" s="349">
        <f t="shared" si="184"/>
        <v>0.19975216852540267</v>
      </c>
      <c r="DQ85" s="349">
        <f t="shared" si="184"/>
        <v>0.20872153209109734</v>
      </c>
      <c r="DR85" s="573">
        <f t="shared" si="184"/>
        <v>0.24272011551552231</v>
      </c>
      <c r="DS85" s="350">
        <f t="shared" si="184"/>
        <v>0.18688485710897673</v>
      </c>
      <c r="DT85" s="350">
        <f t="shared" si="184"/>
        <v>0.10451727192205507</v>
      </c>
      <c r="DU85" s="350">
        <f t="shared" si="184"/>
        <v>0.14428857715430854</v>
      </c>
      <c r="DV85" s="350">
        <f t="shared" si="184"/>
        <v>-4.355555555555557E-2</v>
      </c>
      <c r="DW85" s="349">
        <f t="shared" si="184"/>
        <v>-5.2055360462714417E-2</v>
      </c>
      <c r="DX85" s="349">
        <f t="shared" ref="DX85:EG86" si="185">DX16/DQ16-1</f>
        <v>-4.7960603789744094E-2</v>
      </c>
      <c r="DY85" s="573">
        <f t="shared" si="185"/>
        <v>4.4927656513680247E-2</v>
      </c>
      <c r="DZ85" s="350">
        <f t="shared" si="185"/>
        <v>-4.6558097712059321E-2</v>
      </c>
      <c r="EA85" s="350">
        <f t="shared" si="185"/>
        <v>1.202886928628466E-3</v>
      </c>
      <c r="EB85" s="350">
        <f t="shared" si="185"/>
        <v>-2.2717037778333893E-2</v>
      </c>
      <c r="EC85" s="350">
        <f t="shared" si="185"/>
        <v>0.1363847583643123</v>
      </c>
      <c r="ED85" s="349">
        <f t="shared" si="185"/>
        <v>9.5009806057964941E-2</v>
      </c>
      <c r="EE85" s="349">
        <f t="shared" si="185"/>
        <v>0.11503429663780529</v>
      </c>
      <c r="EF85" s="573">
        <f t="shared" si="185"/>
        <v>4.214873845013356E-2</v>
      </c>
      <c r="EG85" s="350">
        <f t="shared" si="185"/>
        <v>3.9400607775332608E-2</v>
      </c>
      <c r="EH85" s="350">
        <f t="shared" ref="EH85:EQ86" si="186">EH16/EA16-1</f>
        <v>-3.8045654785742844E-2</v>
      </c>
      <c r="EI85" s="350">
        <f t="shared" si="186"/>
        <v>-2.0480262147359873E-4</v>
      </c>
      <c r="EJ85" s="350">
        <f t="shared" si="186"/>
        <v>-2.5454917194847604E-2</v>
      </c>
      <c r="EK85" s="350">
        <f t="shared" si="186"/>
        <v>-3.3333333333333326E-2</v>
      </c>
      <c r="EL85" s="349">
        <f t="shared" si="186"/>
        <v>-2.9447357805566843E-2</v>
      </c>
      <c r="EM85" s="573">
        <f t="shared" si="186"/>
        <v>-1.4937885831872388E-2</v>
      </c>
      <c r="EN85" s="350">
        <f t="shared" si="186"/>
        <v>-9.2751285411835749E-2</v>
      </c>
      <c r="EO85" s="350">
        <f t="shared" ref="EO85:EO86" si="187">EO16/EH16-1</f>
        <v>0.34492089925062452</v>
      </c>
      <c r="EP85" s="350">
        <f t="shared" ref="EP85:EP86" si="188">EP16/EI16-1</f>
        <v>-8.3986275413528988E-3</v>
      </c>
      <c r="EQ85" s="351">
        <f t="shared" si="186"/>
        <v>0.30053498374069032</v>
      </c>
      <c r="ER85" s="349">
        <f t="shared" ref="ER85:FA86" si="189">ER16/EK16-1</f>
        <v>0.45691575590116185</v>
      </c>
      <c r="ES85" s="349">
        <f t="shared" si="189"/>
        <v>0.41620604574915765</v>
      </c>
      <c r="ET85" s="581">
        <f t="shared" si="189"/>
        <v>0.25010797082088421</v>
      </c>
      <c r="EU85" s="349">
        <f t="shared" si="189"/>
        <v>0.5533208041165858</v>
      </c>
      <c r="EV85" s="349">
        <f t="shared" si="189"/>
        <v>0.12897056475599733</v>
      </c>
      <c r="EW85" s="349">
        <f t="shared" si="189"/>
        <v>0.47533396446946008</v>
      </c>
      <c r="EX85" s="349">
        <f t="shared" si="189"/>
        <v>0.12764316024421651</v>
      </c>
      <c r="EY85" s="349">
        <f t="shared" si="189"/>
        <v>8.4715103921155777E-2</v>
      </c>
      <c r="EZ85" s="349">
        <f t="shared" si="189"/>
        <v>7.6098334980102766E-2</v>
      </c>
      <c r="FA85" s="581">
        <f t="shared" si="189"/>
        <v>0.19448922077771402</v>
      </c>
      <c r="FB85" s="349">
        <f t="shared" ref="FB85:FK86" si="190">FB16/EU16-1</f>
        <v>9.2415904311147212E-2</v>
      </c>
      <c r="FC85" s="349">
        <f t="shared" si="190"/>
        <v>0.10641740276307599</v>
      </c>
      <c r="FD85" s="349">
        <f t="shared" si="190"/>
        <v>9.956619809774736E-2</v>
      </c>
      <c r="FE85" s="349">
        <f t="shared" si="190"/>
        <v>0.1061448743409743</v>
      </c>
      <c r="FF85" s="349">
        <f t="shared" si="190"/>
        <v>9.8472876692607958E-2</v>
      </c>
      <c r="FG85" s="349">
        <f t="shared" si="190"/>
        <v>0.10212939514676656</v>
      </c>
      <c r="FH85" s="581">
        <f t="shared" si="190"/>
        <v>0.10086476533696764</v>
      </c>
      <c r="FI85" s="349">
        <f t="shared" si="190"/>
        <v>7.9428587812839568E-2</v>
      </c>
      <c r="FJ85" s="349">
        <f t="shared" si="190"/>
        <v>7.4549543246853478E-2</v>
      </c>
      <c r="FK85" s="349">
        <f t="shared" si="190"/>
        <v>7.6921429419694487E-2</v>
      </c>
      <c r="FL85" s="349">
        <f t="shared" ref="FL85:FU86" si="191">FL16/FE16-1</f>
        <v>7.2777951666452845E-2</v>
      </c>
      <c r="FM85" s="349">
        <f t="shared" si="191"/>
        <v>6.5906050434765051E-2</v>
      </c>
      <c r="FN85" s="349">
        <f t="shared" si="191"/>
        <v>6.9193171071873172E-2</v>
      </c>
      <c r="FO85" s="581">
        <f t="shared" si="191"/>
        <v>7.300164038803536E-2</v>
      </c>
      <c r="FP85" s="349">
        <f t="shared" si="191"/>
        <v>6.991886966024885E-2</v>
      </c>
      <c r="FQ85" s="349">
        <f t="shared" si="191"/>
        <v>7.6933945317602559E-2</v>
      </c>
      <c r="FR85" s="349">
        <f t="shared" si="191"/>
        <v>7.3515715058242392E-2</v>
      </c>
      <c r="FS85" s="349">
        <f t="shared" si="191"/>
        <v>8.0372708462690623E-2</v>
      </c>
      <c r="FT85" s="349">
        <f t="shared" si="191"/>
        <v>7.6540618787005021E-2</v>
      </c>
      <c r="FU85" s="349">
        <f t="shared" si="191"/>
        <v>7.8379814984962382E-2</v>
      </c>
      <c r="FV85" s="581">
        <f t="shared" ref="FV85:FV86" si="192">FV16/FO16-1</f>
        <v>7.5974040299650936E-2</v>
      </c>
    </row>
    <row r="86" spans="2:178" outlineLevel="1" x14ac:dyDescent="0.3">
      <c r="B86" s="279" t="s">
        <v>450</v>
      </c>
      <c r="C86" s="280" t="s">
        <v>413</v>
      </c>
      <c r="K86" s="349">
        <f t="shared" si="173"/>
        <v>0.15609348914858079</v>
      </c>
      <c r="L86" s="349">
        <f t="shared" si="173"/>
        <v>9.0668080593849565E-2</v>
      </c>
      <c r="M86" s="349">
        <f t="shared" si="173"/>
        <v>0.12259027966331781</v>
      </c>
      <c r="N86" s="349">
        <f t="shared" si="173"/>
        <v>-2.095395643782727E-2</v>
      </c>
      <c r="O86" s="349">
        <f t="shared" si="173"/>
        <v>-7.2713257965056566E-2</v>
      </c>
      <c r="P86" s="349">
        <f t="shared" si="173"/>
        <v>-4.7745710865806701E-2</v>
      </c>
      <c r="Q86" s="349">
        <f t="shared" si="173"/>
        <v>3.6546859254282804E-2</v>
      </c>
      <c r="R86" s="349">
        <f t="shared" si="174"/>
        <v>2.1419975932611468E-2</v>
      </c>
      <c r="S86" s="349">
        <f t="shared" si="174"/>
        <v>-5.1774428779776449E-2</v>
      </c>
      <c r="T86" s="349">
        <f t="shared" si="174"/>
        <v>-1.4995767323739195E-2</v>
      </c>
      <c r="U86" s="349">
        <f t="shared" si="174"/>
        <v>-3.8580681498169511E-2</v>
      </c>
      <c r="V86" s="349">
        <f t="shared" si="174"/>
        <v>-0.13300083125519535</v>
      </c>
      <c r="W86" s="349">
        <f t="shared" si="174"/>
        <v>-8.6173184357541843E-2</v>
      </c>
      <c r="X86" s="349">
        <f t="shared" si="174"/>
        <v>-4.802644370989706E-2</v>
      </c>
      <c r="Y86" s="349">
        <f t="shared" si="174"/>
        <v>-0.13996229971724783</v>
      </c>
      <c r="Z86" s="349">
        <f t="shared" si="174"/>
        <v>-0.12355806203537567</v>
      </c>
      <c r="AA86" s="349">
        <f t="shared" si="174"/>
        <v>-0.13210558624923252</v>
      </c>
      <c r="AB86" s="349">
        <f t="shared" si="175"/>
        <v>-0.25483304042179256</v>
      </c>
      <c r="AC86" s="349">
        <f t="shared" si="175"/>
        <v>-0.2761265580057527</v>
      </c>
      <c r="AD86" s="349">
        <f t="shared" si="175"/>
        <v>-0.26501604768454823</v>
      </c>
      <c r="AE86" s="349">
        <f t="shared" si="175"/>
        <v>-0.19131263616557737</v>
      </c>
      <c r="AF86" s="349">
        <f t="shared" si="175"/>
        <v>-0.20739726027397254</v>
      </c>
      <c r="AG86" s="349">
        <f t="shared" si="175"/>
        <v>-0.11319099151798773</v>
      </c>
      <c r="AH86" s="349">
        <f t="shared" si="175"/>
        <v>-0.1618333569104542</v>
      </c>
      <c r="AI86" s="349">
        <f t="shared" si="175"/>
        <v>3.459119496855334E-2</v>
      </c>
      <c r="AJ86" s="349">
        <f t="shared" si="175"/>
        <v>0.21501103752759398</v>
      </c>
      <c r="AK86" s="349">
        <f t="shared" si="175"/>
        <v>0.11956747764608022</v>
      </c>
      <c r="AL86" s="349">
        <f t="shared" si="176"/>
        <v>-4.7903687489476376E-2</v>
      </c>
      <c r="AM86" s="349">
        <f t="shared" si="176"/>
        <v>8.5378499827168941E-2</v>
      </c>
      <c r="AN86" s="349">
        <f t="shared" si="176"/>
        <v>-6.1015831134564436E-2</v>
      </c>
      <c r="AO86" s="349">
        <f t="shared" si="176"/>
        <v>1.0464135021097221E-2</v>
      </c>
      <c r="AP86" s="349">
        <f t="shared" si="176"/>
        <v>5.9184259808967354E-2</v>
      </c>
      <c r="AQ86" s="349">
        <f t="shared" si="176"/>
        <v>-9.4593155119437888E-3</v>
      </c>
      <c r="AR86" s="349">
        <f t="shared" si="176"/>
        <v>2.4097499169452696E-2</v>
      </c>
      <c r="AS86" s="349">
        <f t="shared" si="176"/>
        <v>1.6954720623250097E-2</v>
      </c>
      <c r="AT86" s="349">
        <f t="shared" si="176"/>
        <v>-6.050955414012682E-3</v>
      </c>
      <c r="AU86" s="349">
        <f t="shared" si="176"/>
        <v>0.16297857393747783</v>
      </c>
      <c r="AV86" s="349">
        <f t="shared" si="177"/>
        <v>7.4327710038416539E-2</v>
      </c>
      <c r="AW86" s="349">
        <f t="shared" si="177"/>
        <v>2.05278653467591E-2</v>
      </c>
      <c r="AX86" s="349">
        <f t="shared" si="177"/>
        <v>0.14748230413593832</v>
      </c>
      <c r="AY86" s="349">
        <f t="shared" si="177"/>
        <v>8.3293551481968819E-2</v>
      </c>
      <c r="AZ86" s="349">
        <f t="shared" si="177"/>
        <v>7.8626157178987466E-2</v>
      </c>
      <c r="BA86" s="349">
        <f t="shared" si="177"/>
        <v>8.9714834988785297E-2</v>
      </c>
      <c r="BB86" s="349">
        <f t="shared" si="177"/>
        <v>1.0872848082150277E-2</v>
      </c>
      <c r="BC86" s="349">
        <f t="shared" si="177"/>
        <v>4.912935323383083E-2</v>
      </c>
      <c r="BD86" s="349">
        <f t="shared" si="177"/>
        <v>0.12794376098418292</v>
      </c>
      <c r="BE86" s="349">
        <f t="shared" si="177"/>
        <v>5.5946291560102335E-2</v>
      </c>
      <c r="BF86" s="349">
        <f t="shared" si="178"/>
        <v>9.0239410681399512E-2</v>
      </c>
      <c r="BG86" s="349">
        <f t="shared" si="178"/>
        <v>6.8923821039903244E-2</v>
      </c>
      <c r="BH86" s="349">
        <f t="shared" si="178"/>
        <v>9.4678035871802679E-2</v>
      </c>
      <c r="BI86" s="349">
        <f t="shared" si="178"/>
        <v>0.17149686286226484</v>
      </c>
      <c r="BJ86" s="349">
        <f t="shared" si="178"/>
        <v>0.13278008298755162</v>
      </c>
      <c r="BK86" s="349">
        <f t="shared" si="178"/>
        <v>0.10439389217824857</v>
      </c>
      <c r="BL86" s="349">
        <f t="shared" si="178"/>
        <v>0.15016651528913116</v>
      </c>
      <c r="BM86" s="349">
        <f t="shared" si="178"/>
        <v>0.12761056511056523</v>
      </c>
      <c r="BN86" s="349">
        <f t="shared" si="178"/>
        <v>0.13024132730015081</v>
      </c>
      <c r="BO86" s="349">
        <f t="shared" si="178"/>
        <v>0.10958904109589063</v>
      </c>
      <c r="BP86" s="349">
        <f t="shared" si="179"/>
        <v>0.12318286151491975</v>
      </c>
      <c r="BQ86" s="349">
        <f t="shared" si="179"/>
        <v>0.11656200941915218</v>
      </c>
      <c r="BR86" s="349">
        <f t="shared" si="179"/>
        <v>9.5372460496614186E-2</v>
      </c>
      <c r="BS86" s="349">
        <f t="shared" si="179"/>
        <v>9.1866280600157779E-2</v>
      </c>
      <c r="BT86" s="349">
        <f t="shared" si="179"/>
        <v>9.3558491079939854E-2</v>
      </c>
      <c r="BU86" s="349">
        <f t="shared" si="179"/>
        <v>0.1052912524187628</v>
      </c>
      <c r="BV86" s="349">
        <f t="shared" si="179"/>
        <v>4.3330912611958095E-2</v>
      </c>
      <c r="BW86" s="349">
        <f t="shared" si="179"/>
        <v>2.1117166212533789E-2</v>
      </c>
      <c r="BX86" s="349">
        <f t="shared" si="179"/>
        <v>3.1868775629759982E-2</v>
      </c>
      <c r="BY86" s="349">
        <f t="shared" si="179"/>
        <v>7.1097372488407862E-2</v>
      </c>
      <c r="BZ86" s="349">
        <f t="shared" si="180"/>
        <v>4.6046287367406125E-2</v>
      </c>
      <c r="CA86" s="349">
        <f t="shared" si="180"/>
        <v>5.8156911581568771E-2</v>
      </c>
      <c r="CB86" s="349">
        <f t="shared" si="180"/>
        <v>4.4612134017506744E-2</v>
      </c>
      <c r="CC86" s="349">
        <f t="shared" si="180"/>
        <v>0.10672853828306295</v>
      </c>
      <c r="CD86" s="349">
        <f t="shared" si="180"/>
        <v>0.10362463864798777</v>
      </c>
      <c r="CE86" s="349">
        <f t="shared" si="180"/>
        <v>0.10514363574429431</v>
      </c>
      <c r="CF86" s="349">
        <f t="shared" si="180"/>
        <v>9.4757094757094817E-2</v>
      </c>
      <c r="CG86" s="349">
        <f t="shared" si="180"/>
        <v>0.13943304908965182</v>
      </c>
      <c r="CH86" s="349">
        <f t="shared" si="180"/>
        <v>0.11757090737907494</v>
      </c>
      <c r="CI86" s="349">
        <f t="shared" si="180"/>
        <v>0.1112459546925566</v>
      </c>
      <c r="CJ86" s="349">
        <f t="shared" si="181"/>
        <v>0.27651991614255755</v>
      </c>
      <c r="CK86" s="349">
        <f t="shared" si="181"/>
        <v>0.28793068708442449</v>
      </c>
      <c r="CL86" s="349">
        <f t="shared" si="181"/>
        <v>0.28233843624781674</v>
      </c>
      <c r="CM86" s="349">
        <f t="shared" si="181"/>
        <v>0.32029876977152916</v>
      </c>
      <c r="CN86" s="349">
        <f t="shared" si="181"/>
        <v>0.2773058252427183</v>
      </c>
      <c r="CO86" s="349">
        <f t="shared" si="181"/>
        <v>0.29791491154170191</v>
      </c>
      <c r="CP86" s="349">
        <f t="shared" si="181"/>
        <v>0.29003068282281941</v>
      </c>
      <c r="CQ86" s="349">
        <f t="shared" si="181"/>
        <v>6.9469535227459467E-2</v>
      </c>
      <c r="CR86" s="349">
        <f t="shared" si="181"/>
        <v>8.6045056320400715E-3</v>
      </c>
      <c r="CS86" s="349">
        <f t="shared" si="181"/>
        <v>3.8298213284192029E-2</v>
      </c>
      <c r="CT86" s="349">
        <f t="shared" si="182"/>
        <v>-2.4958402662229817E-2</v>
      </c>
      <c r="CU86" s="349">
        <f t="shared" si="182"/>
        <v>-1.0609659540775973E-2</v>
      </c>
      <c r="CV86" s="349">
        <f t="shared" si="182"/>
        <v>-1.7606490872211E-2</v>
      </c>
      <c r="CW86" s="349">
        <f t="shared" si="182"/>
        <v>1.0521647988390059E-2</v>
      </c>
      <c r="CX86" s="349">
        <f t="shared" si="182"/>
        <v>8.292383292383132E-3</v>
      </c>
      <c r="CY86" s="349">
        <f t="shared" si="182"/>
        <v>2.4042190165968869E-2</v>
      </c>
      <c r="CZ86" s="349">
        <f t="shared" si="182"/>
        <v>1.6127787637934876E-2</v>
      </c>
      <c r="DA86" s="349">
        <f t="shared" si="182"/>
        <v>5.2389078498293884E-2</v>
      </c>
      <c r="DB86" s="349">
        <f t="shared" si="182"/>
        <v>7.7624839948783553E-2</v>
      </c>
      <c r="DC86" s="349">
        <f t="shared" si="182"/>
        <v>6.5411298315163346E-2</v>
      </c>
      <c r="DD86" s="573">
        <f t="shared" si="183"/>
        <v>3.9932979614632824E-2</v>
      </c>
      <c r="DE86" s="350">
        <f t="shared" si="183"/>
        <v>-4.5842217484008407E-2</v>
      </c>
      <c r="DF86" s="350">
        <f t="shared" si="183"/>
        <v>0.11632838533777656</v>
      </c>
      <c r="DG86" s="349">
        <f t="shared" si="183"/>
        <v>3.5464763061968441E-2</v>
      </c>
      <c r="DH86" s="349">
        <f t="shared" si="183"/>
        <v>0.1976649910815631</v>
      </c>
      <c r="DI86" s="349">
        <f t="shared" si="183"/>
        <v>0.19798009802465488</v>
      </c>
      <c r="DJ86" s="349">
        <f t="shared" si="183"/>
        <v>0.1978294573643411</v>
      </c>
      <c r="DK86" s="573">
        <f t="shared" si="183"/>
        <v>0.11581249040969777</v>
      </c>
      <c r="DL86" s="351">
        <f t="shared" si="183"/>
        <v>0.34636871508379907</v>
      </c>
      <c r="DM86" s="350">
        <f t="shared" si="183"/>
        <v>0.22550881953867008</v>
      </c>
      <c r="DN86" s="349">
        <f t="shared" si="184"/>
        <v>0.28104143747708132</v>
      </c>
      <c r="DO86" s="350">
        <f t="shared" si="184"/>
        <v>0.21852152721364737</v>
      </c>
      <c r="DP86" s="349">
        <f t="shared" si="184"/>
        <v>0.20009918175055774</v>
      </c>
      <c r="DQ86" s="349">
        <f t="shared" si="184"/>
        <v>0.20890499611700752</v>
      </c>
      <c r="DR86" s="573">
        <f t="shared" si="184"/>
        <v>0.24272011551552231</v>
      </c>
      <c r="DS86" s="350">
        <f t="shared" si="184"/>
        <v>0.18684054534676942</v>
      </c>
      <c r="DT86" s="350">
        <f t="shared" si="184"/>
        <v>0.10451727192205507</v>
      </c>
      <c r="DU86" s="350">
        <f t="shared" si="184"/>
        <v>0.14427205587679626</v>
      </c>
      <c r="DV86" s="350">
        <f t="shared" si="184"/>
        <v>-4.355555555555557E-2</v>
      </c>
      <c r="DW86" s="349">
        <f t="shared" si="184"/>
        <v>-5.2066115702479432E-2</v>
      </c>
      <c r="DX86" s="349">
        <f t="shared" si="185"/>
        <v>-4.7965738758029897E-2</v>
      </c>
      <c r="DY86" s="573">
        <f t="shared" si="185"/>
        <v>4.4927656513680247E-2</v>
      </c>
      <c r="DZ86" s="350">
        <f t="shared" si="185"/>
        <v>-4.67485765657778E-2</v>
      </c>
      <c r="EA86" s="350">
        <f t="shared" si="185"/>
        <v>1.202886928628466E-3</v>
      </c>
      <c r="EB86" s="350">
        <f t="shared" si="185"/>
        <v>-2.2814829639265732E-2</v>
      </c>
      <c r="EC86" s="350">
        <f t="shared" si="185"/>
        <v>0.1363847583643123</v>
      </c>
      <c r="ED86" s="349">
        <f t="shared" si="185"/>
        <v>9.5248474280732687E-2</v>
      </c>
      <c r="EE86" s="349">
        <f t="shared" si="185"/>
        <v>0.11515969410706273</v>
      </c>
      <c r="EF86" s="573">
        <f t="shared" si="185"/>
        <v>4.214873845013356E-2</v>
      </c>
      <c r="EG86" s="350">
        <f t="shared" si="185"/>
        <v>3.9400607775332608E-2</v>
      </c>
      <c r="EH86" s="350">
        <f t="shared" si="186"/>
        <v>-3.8045654785742844E-2</v>
      </c>
      <c r="EI86" s="350">
        <f t="shared" si="186"/>
        <v>-2.0480262147359873E-4</v>
      </c>
      <c r="EJ86" s="350">
        <f t="shared" si="186"/>
        <v>-2.5454917194847604E-2</v>
      </c>
      <c r="EK86" s="350">
        <f t="shared" si="186"/>
        <v>-3.3333333333333326E-2</v>
      </c>
      <c r="EL86" s="349">
        <f t="shared" si="186"/>
        <v>-2.9447357805566843E-2</v>
      </c>
      <c r="EM86" s="573">
        <f t="shared" si="186"/>
        <v>-1.4937885831872388E-2</v>
      </c>
      <c r="EN86" s="350">
        <f t="shared" si="186"/>
        <v>-9.2751285411835749E-2</v>
      </c>
      <c r="EO86" s="350">
        <f t="shared" si="187"/>
        <v>0.34492089925062452</v>
      </c>
      <c r="EP86" s="350">
        <f t="shared" si="188"/>
        <v>-8.3986275413528988E-3</v>
      </c>
      <c r="EQ86" s="351">
        <f t="shared" si="186"/>
        <v>0.30053498374069032</v>
      </c>
      <c r="ER86" s="349">
        <f t="shared" si="189"/>
        <v>0.45691575590116185</v>
      </c>
      <c r="ES86" s="349">
        <f t="shared" si="189"/>
        <v>0.41620604574915765</v>
      </c>
      <c r="ET86" s="581">
        <f t="shared" si="189"/>
        <v>0.25010797082088421</v>
      </c>
      <c r="EU86" s="349">
        <f t="shared" si="189"/>
        <v>0.5533208041165858</v>
      </c>
      <c r="EV86" s="349">
        <f t="shared" si="189"/>
        <v>0.12897056475599733</v>
      </c>
      <c r="EW86" s="349">
        <f t="shared" si="189"/>
        <v>0.47533396446946008</v>
      </c>
      <c r="EX86" s="349">
        <f t="shared" si="189"/>
        <v>0.12764316024421651</v>
      </c>
      <c r="EY86" s="349">
        <f t="shared" si="189"/>
        <v>8.4715103921155777E-2</v>
      </c>
      <c r="EZ86" s="349">
        <f t="shared" si="189"/>
        <v>7.6098334980102766E-2</v>
      </c>
      <c r="FA86" s="581">
        <f t="shared" si="189"/>
        <v>0.19448922077771402</v>
      </c>
      <c r="FB86" s="349">
        <f t="shared" si="190"/>
        <v>9.2415904311147212E-2</v>
      </c>
      <c r="FC86" s="349">
        <f t="shared" si="190"/>
        <v>0.10641740276307599</v>
      </c>
      <c r="FD86" s="349">
        <f t="shared" si="190"/>
        <v>9.956619809774736E-2</v>
      </c>
      <c r="FE86" s="349">
        <f t="shared" si="190"/>
        <v>0.1061448743409743</v>
      </c>
      <c r="FF86" s="349">
        <f t="shared" si="190"/>
        <v>9.8472876692607958E-2</v>
      </c>
      <c r="FG86" s="349">
        <f t="shared" si="190"/>
        <v>0.10212939514676656</v>
      </c>
      <c r="FH86" s="581">
        <f t="shared" si="190"/>
        <v>0.10086476533696764</v>
      </c>
      <c r="FI86" s="349">
        <f t="shared" si="190"/>
        <v>7.9428587812839568E-2</v>
      </c>
      <c r="FJ86" s="349">
        <f t="shared" si="190"/>
        <v>7.4549543246853478E-2</v>
      </c>
      <c r="FK86" s="349">
        <f t="shared" si="190"/>
        <v>7.6921429419694487E-2</v>
      </c>
      <c r="FL86" s="349">
        <f t="shared" si="191"/>
        <v>7.2777951666452845E-2</v>
      </c>
      <c r="FM86" s="349">
        <f t="shared" si="191"/>
        <v>6.5906050434765051E-2</v>
      </c>
      <c r="FN86" s="349">
        <f t="shared" si="191"/>
        <v>6.9193171071873172E-2</v>
      </c>
      <c r="FO86" s="581">
        <f t="shared" si="191"/>
        <v>7.300164038803536E-2</v>
      </c>
      <c r="FP86" s="349">
        <f t="shared" si="191"/>
        <v>6.991886966024885E-2</v>
      </c>
      <c r="FQ86" s="349">
        <f t="shared" si="191"/>
        <v>7.6933945317602559E-2</v>
      </c>
      <c r="FR86" s="349">
        <f t="shared" si="191"/>
        <v>7.3515715058242392E-2</v>
      </c>
      <c r="FS86" s="349">
        <f t="shared" si="191"/>
        <v>8.0372708462690623E-2</v>
      </c>
      <c r="FT86" s="349">
        <f t="shared" si="191"/>
        <v>7.6540618787005021E-2</v>
      </c>
      <c r="FU86" s="349">
        <f t="shared" si="191"/>
        <v>7.8379814984962382E-2</v>
      </c>
      <c r="FV86" s="581">
        <f t="shared" si="192"/>
        <v>7.5974040299650936E-2</v>
      </c>
    </row>
    <row r="87" spans="2:178" outlineLevel="1" x14ac:dyDescent="0.3">
      <c r="B87" s="396" t="s">
        <v>451</v>
      </c>
      <c r="C87" s="280"/>
    </row>
    <row r="88" spans="2:178" outlineLevel="1" x14ac:dyDescent="0.3">
      <c r="B88" s="279" t="s">
        <v>120</v>
      </c>
      <c r="C88" s="280" t="s">
        <v>413</v>
      </c>
      <c r="D88" s="349">
        <f t="shared" ref="D88:AI88" si="193">D39/D10</f>
        <v>0.32730434782608692</v>
      </c>
      <c r="E88" s="349">
        <f t="shared" si="193"/>
        <v>0.2800910865322056</v>
      </c>
      <c r="F88" s="349">
        <f t="shared" si="193"/>
        <v>0.30290805177340729</v>
      </c>
      <c r="G88" s="349">
        <f t="shared" si="193"/>
        <v>0.26753944276602892</v>
      </c>
      <c r="H88" s="349">
        <f t="shared" si="193"/>
        <v>0.25399262899262898</v>
      </c>
      <c r="I88" s="349">
        <f t="shared" si="193"/>
        <v>0.26046511627906976</v>
      </c>
      <c r="J88" s="349">
        <f t="shared" si="193"/>
        <v>0.28118844386080105</v>
      </c>
      <c r="K88" s="349">
        <f t="shared" si="193"/>
        <v>0.29607337345944396</v>
      </c>
      <c r="L88" s="349">
        <f t="shared" si="193"/>
        <v>0.28849557522123892</v>
      </c>
      <c r="M88" s="349">
        <f t="shared" si="193"/>
        <v>0.29233900276202934</v>
      </c>
      <c r="N88" s="349">
        <f t="shared" si="193"/>
        <v>0.26959578207381374</v>
      </c>
      <c r="O88" s="349">
        <f t="shared" si="193"/>
        <v>0.29182476716109002</v>
      </c>
      <c r="P88" s="349">
        <f t="shared" si="193"/>
        <v>0.28081476323119781</v>
      </c>
      <c r="Q88" s="349">
        <f t="shared" si="193"/>
        <v>0.28709498534421296</v>
      </c>
      <c r="R88" s="349">
        <f t="shared" si="193"/>
        <v>0.32021517553793882</v>
      </c>
      <c r="S88" s="349">
        <f t="shared" si="193"/>
        <v>0.26242038216560509</v>
      </c>
      <c r="T88" s="349">
        <f t="shared" si="193"/>
        <v>0.29301558752997597</v>
      </c>
      <c r="U88" s="349">
        <f t="shared" si="193"/>
        <v>0.23986358469117092</v>
      </c>
      <c r="V88" s="349">
        <f t="shared" si="193"/>
        <v>0.1984126984126984</v>
      </c>
      <c r="W88" s="349">
        <f t="shared" si="193"/>
        <v>0.22014702960460958</v>
      </c>
      <c r="X88" s="349">
        <f t="shared" si="193"/>
        <v>0.26168304143528409</v>
      </c>
      <c r="Y88" s="349">
        <f t="shared" si="193"/>
        <v>0.23287184948526801</v>
      </c>
      <c r="Z88" s="349">
        <f t="shared" si="193"/>
        <v>0.232319391634981</v>
      </c>
      <c r="AA88" s="349">
        <f t="shared" si="193"/>
        <v>0.23260510372682205</v>
      </c>
      <c r="AB88" s="349">
        <f t="shared" si="193"/>
        <v>0.20571720265441551</v>
      </c>
      <c r="AC88" s="349">
        <f t="shared" si="193"/>
        <v>0.17117117117117117</v>
      </c>
      <c r="AD88" s="349">
        <f t="shared" si="193"/>
        <v>0.18876755070202805</v>
      </c>
      <c r="AE88" s="349">
        <f t="shared" si="193"/>
        <v>0.21446249865490155</v>
      </c>
      <c r="AF88" s="349">
        <f t="shared" si="193"/>
        <v>0.30824372759856633</v>
      </c>
      <c r="AG88" s="349">
        <f t="shared" si="193"/>
        <v>0.28515283842794759</v>
      </c>
      <c r="AH88" s="349">
        <f t="shared" si="193"/>
        <v>0.29655019902697921</v>
      </c>
      <c r="AI88" s="349">
        <f t="shared" si="193"/>
        <v>0.22110552763819097</v>
      </c>
      <c r="AJ88" s="349">
        <f t="shared" ref="AJ88:BO88" si="194">AJ39/AJ10</f>
        <v>0.17682926829268289</v>
      </c>
      <c r="AK88" s="349">
        <f t="shared" si="194"/>
        <v>0.19792498004788511</v>
      </c>
      <c r="AL88" s="349">
        <f t="shared" si="194"/>
        <v>0.25178118584711989</v>
      </c>
      <c r="AM88" s="349">
        <f t="shared" si="194"/>
        <v>0.2407725321888412</v>
      </c>
      <c r="AN88" s="349">
        <f t="shared" si="194"/>
        <v>0.19631290483308422</v>
      </c>
      <c r="AO88" s="349">
        <f t="shared" si="194"/>
        <v>0.22019829375144109</v>
      </c>
      <c r="AP88" s="349">
        <f t="shared" si="194"/>
        <v>0.14404620870926382</v>
      </c>
      <c r="AQ88" s="349">
        <f t="shared" si="194"/>
        <v>0.20175815420386423</v>
      </c>
      <c r="AR88" s="349">
        <f t="shared" si="194"/>
        <v>0.17353912725525011</v>
      </c>
      <c r="AS88" s="349">
        <f t="shared" si="194"/>
        <v>0.19861162103837279</v>
      </c>
      <c r="AT88" s="349">
        <f t="shared" si="194"/>
        <v>0.22185586434291096</v>
      </c>
      <c r="AU88" s="349">
        <f t="shared" si="194"/>
        <v>0.21038374717832958</v>
      </c>
      <c r="AV88" s="349">
        <f t="shared" si="194"/>
        <v>0.21599815583218074</v>
      </c>
      <c r="AW88" s="349">
        <f t="shared" si="194"/>
        <v>0.16817939135077414</v>
      </c>
      <c r="AX88" s="349">
        <f t="shared" si="194"/>
        <v>0.17191169563175199</v>
      </c>
      <c r="AY88" s="349">
        <f t="shared" si="194"/>
        <v>0.17016491754122934</v>
      </c>
      <c r="AZ88" s="349">
        <f t="shared" si="194"/>
        <v>0.19400479616306956</v>
      </c>
      <c r="BA88" s="349">
        <f t="shared" si="194"/>
        <v>0.20771144278606968</v>
      </c>
      <c r="BB88" s="349">
        <f t="shared" si="194"/>
        <v>0.19667832167832167</v>
      </c>
      <c r="BC88" s="349">
        <f t="shared" si="194"/>
        <v>0.20234042553191489</v>
      </c>
      <c r="BD88" s="349">
        <f t="shared" si="194"/>
        <v>0.14794267221451687</v>
      </c>
      <c r="BE88" s="349">
        <f t="shared" si="194"/>
        <v>0.17018469656992086</v>
      </c>
      <c r="BF88" s="349">
        <f t="shared" si="194"/>
        <v>0.15934189767861168</v>
      </c>
      <c r="BG88" s="349">
        <f t="shared" si="194"/>
        <v>0.18145999781109773</v>
      </c>
      <c r="BH88" s="349">
        <f t="shared" si="194"/>
        <v>0.22259507829977632</v>
      </c>
      <c r="BI88" s="349">
        <f t="shared" si="194"/>
        <v>0.23119777158774377</v>
      </c>
      <c r="BJ88" s="349">
        <f t="shared" si="194"/>
        <v>0.22704357220021609</v>
      </c>
      <c r="BK88" s="349">
        <f t="shared" si="194"/>
        <v>0.21144674085850559</v>
      </c>
      <c r="BL88" s="349">
        <f t="shared" si="194"/>
        <v>0.20173535791757047</v>
      </c>
      <c r="BM88" s="349">
        <f t="shared" si="194"/>
        <v>0.20636122680802724</v>
      </c>
      <c r="BN88" s="349">
        <f t="shared" si="194"/>
        <v>0.21696197858988561</v>
      </c>
      <c r="BO88" s="349">
        <f t="shared" si="194"/>
        <v>0.21868916288124596</v>
      </c>
      <c r="BP88" s="349">
        <f t="shared" ref="BP88:CU88" si="195">BP39/BP10</f>
        <v>0.23189306807584706</v>
      </c>
      <c r="BQ88" s="349">
        <f t="shared" si="195"/>
        <v>0.22543260835053183</v>
      </c>
      <c r="BR88" s="349">
        <f t="shared" si="195"/>
        <v>0.23030731190392087</v>
      </c>
      <c r="BS88" s="349">
        <f t="shared" si="195"/>
        <v>0.26555484284797948</v>
      </c>
      <c r="BT88" s="349">
        <f t="shared" si="195"/>
        <v>0.24878130778282059</v>
      </c>
      <c r="BU88" s="349">
        <f t="shared" si="195"/>
        <v>0.236773350751143</v>
      </c>
      <c r="BV88" s="349">
        <f t="shared" si="195"/>
        <v>0.28182099721275938</v>
      </c>
      <c r="BW88" s="349">
        <f t="shared" si="195"/>
        <v>0.26234213547646384</v>
      </c>
      <c r="BX88" s="349">
        <f t="shared" si="195"/>
        <v>0.27171160434976915</v>
      </c>
      <c r="BY88" s="349">
        <f t="shared" si="195"/>
        <v>0.26540880503144654</v>
      </c>
      <c r="BZ88" s="349">
        <f t="shared" si="195"/>
        <v>0.24696356275303644</v>
      </c>
      <c r="CA88" s="349">
        <f t="shared" si="195"/>
        <v>0.25579993974088583</v>
      </c>
      <c r="CB88" s="349">
        <f t="shared" si="195"/>
        <v>0.26380046438469035</v>
      </c>
      <c r="CC88" s="349">
        <f t="shared" si="195"/>
        <v>0.25546853902241423</v>
      </c>
      <c r="CD88" s="349">
        <f t="shared" si="195"/>
        <v>0.25409622886866062</v>
      </c>
      <c r="CE88" s="349">
        <f t="shared" si="195"/>
        <v>0.25476947535771066</v>
      </c>
      <c r="CF88" s="349">
        <f t="shared" si="195"/>
        <v>0.21516101453405531</v>
      </c>
      <c r="CG88" s="349">
        <f t="shared" si="195"/>
        <v>0.1962857879803972</v>
      </c>
      <c r="CH88" s="349">
        <f t="shared" si="195"/>
        <v>0.20525318169509885</v>
      </c>
      <c r="CI88" s="349">
        <f t="shared" si="195"/>
        <v>0.23027989821882952</v>
      </c>
      <c r="CJ88" s="349">
        <f t="shared" si="195"/>
        <v>0.20300178071737471</v>
      </c>
      <c r="CK88" s="349">
        <f t="shared" si="195"/>
        <v>0.24466214518965085</v>
      </c>
      <c r="CL88" s="349">
        <f t="shared" si="195"/>
        <v>0.22396359959555104</v>
      </c>
      <c r="CM88" s="349">
        <f t="shared" si="195"/>
        <v>0.26884288747346069</v>
      </c>
      <c r="CN88" s="349">
        <f t="shared" si="195"/>
        <v>0.25213362594489147</v>
      </c>
      <c r="CO88" s="349">
        <f t="shared" si="195"/>
        <v>0.2601347058075994</v>
      </c>
      <c r="CP88" s="349">
        <f t="shared" si="195"/>
        <v>0.24199987326531902</v>
      </c>
      <c r="CQ88" s="349">
        <f t="shared" si="195"/>
        <v>0.24711848778238821</v>
      </c>
      <c r="CR88" s="349">
        <f t="shared" si="195"/>
        <v>0.22842056932966023</v>
      </c>
      <c r="CS88" s="349">
        <f t="shared" si="195"/>
        <v>0.23775017253278119</v>
      </c>
      <c r="CT88" s="349">
        <f t="shared" si="195"/>
        <v>0.22334630350194551</v>
      </c>
      <c r="CU88" s="349">
        <f t="shared" si="195"/>
        <v>0.22535545023696682</v>
      </c>
      <c r="CV88" s="349">
        <f t="shared" ref="CV88:EA88" si="196">CV39/CV10</f>
        <v>0.22439628482972135</v>
      </c>
      <c r="CW88" s="349">
        <f t="shared" si="196"/>
        <v>0.23131969706005126</v>
      </c>
      <c r="CX88" s="349">
        <f t="shared" si="196"/>
        <v>0.25093964183064338</v>
      </c>
      <c r="CY88" s="349">
        <f t="shared" si="196"/>
        <v>0.27132288946910355</v>
      </c>
      <c r="CZ88" s="349">
        <f t="shared" si="196"/>
        <v>0.26121285228643487</v>
      </c>
      <c r="DA88" s="349">
        <f t="shared" si="196"/>
        <v>0.2611627906976744</v>
      </c>
      <c r="DB88" s="349">
        <f t="shared" si="196"/>
        <v>0.25289778714436251</v>
      </c>
      <c r="DC88" s="349">
        <f t="shared" si="196"/>
        <v>0.25682697622996131</v>
      </c>
      <c r="DD88" s="573">
        <f t="shared" si="196"/>
        <v>0.25902884827130584</v>
      </c>
      <c r="DE88" s="350">
        <f t="shared" si="196"/>
        <v>0.28972996901283754</v>
      </c>
      <c r="DF88" s="350">
        <f t="shared" si="196"/>
        <v>0.28854368932038832</v>
      </c>
      <c r="DG88" s="349">
        <f t="shared" si="196"/>
        <v>0.28909805544062889</v>
      </c>
      <c r="DH88" s="349">
        <f t="shared" si="196"/>
        <v>0.30032812198417291</v>
      </c>
      <c r="DI88" s="349">
        <f t="shared" si="196"/>
        <v>0.27534665946335313</v>
      </c>
      <c r="DJ88" s="349">
        <f t="shared" si="196"/>
        <v>0.28740450903670578</v>
      </c>
      <c r="DK88" s="573">
        <f t="shared" si="196"/>
        <v>0.28820703852563473</v>
      </c>
      <c r="DL88" s="351">
        <f t="shared" si="196"/>
        <v>0.29336336856697282</v>
      </c>
      <c r="DM88" s="350">
        <f t="shared" si="196"/>
        <v>0.28726585864945697</v>
      </c>
      <c r="DN88" s="349">
        <f t="shared" si="196"/>
        <v>0.29016826129990103</v>
      </c>
      <c r="DO88" s="350">
        <f t="shared" si="196"/>
        <v>0.28423011319584435</v>
      </c>
      <c r="DP88" s="349">
        <f t="shared" si="196"/>
        <v>0.29697406340057636</v>
      </c>
      <c r="DQ88" s="349">
        <f t="shared" si="196"/>
        <v>0.29083576069908135</v>
      </c>
      <c r="DR88" s="573">
        <f t="shared" si="196"/>
        <v>0.2905185591659154</v>
      </c>
      <c r="DS88" s="350">
        <f t="shared" si="196"/>
        <v>0.2591541683556276</v>
      </c>
      <c r="DT88" s="350">
        <f t="shared" si="196"/>
        <v>0.28350652811084465</v>
      </c>
      <c r="DU88" s="350">
        <f t="shared" si="196"/>
        <v>0.27141611323539278</v>
      </c>
      <c r="DV88" s="350">
        <f t="shared" si="196"/>
        <v>0.2697551905794856</v>
      </c>
      <c r="DW88" s="349">
        <f t="shared" si="196"/>
        <v>0.28979278587874141</v>
      </c>
      <c r="DX88" s="349">
        <f t="shared" si="196"/>
        <v>0.27982111188218062</v>
      </c>
      <c r="DY88" s="573">
        <f t="shared" si="196"/>
        <v>0.27532644568804709</v>
      </c>
      <c r="DZ88" s="350">
        <f t="shared" si="196"/>
        <v>0.31318364997121473</v>
      </c>
      <c r="EA88" s="350">
        <f t="shared" si="196"/>
        <v>0.31685729847494554</v>
      </c>
      <c r="EB88" s="350">
        <f t="shared" ref="EB88:FG88" si="197">EB39/EB10</f>
        <v>0.31507136859781698</v>
      </c>
      <c r="EC88" s="350">
        <f t="shared" si="197"/>
        <v>0.32709766162310866</v>
      </c>
      <c r="ED88" s="349">
        <f t="shared" si="197"/>
        <v>0.3169205658324265</v>
      </c>
      <c r="EE88" s="349">
        <f t="shared" si="197"/>
        <v>0.32198057721241963</v>
      </c>
      <c r="EF88" s="573">
        <f t="shared" si="197"/>
        <v>0.31856540084388185</v>
      </c>
      <c r="EG88" s="350">
        <f t="shared" si="197"/>
        <v>0.31166872343342933</v>
      </c>
      <c r="EH88" s="350">
        <f t="shared" si="197"/>
        <v>0.29016958896234551</v>
      </c>
      <c r="EI88" s="350">
        <f t="shared" si="197"/>
        <v>0.30117184758964288</v>
      </c>
      <c r="EJ88" s="350">
        <f t="shared" si="197"/>
        <v>0.29097733907966083</v>
      </c>
      <c r="EK88" s="350">
        <f t="shared" si="197"/>
        <v>0.2815412435665598</v>
      </c>
      <c r="EL88" s="349">
        <f t="shared" si="197"/>
        <v>0.2862606035321929</v>
      </c>
      <c r="EM88" s="573">
        <f t="shared" si="197"/>
        <v>0.2936821150420843</v>
      </c>
      <c r="EN88" s="350">
        <f t="shared" ref="EN88:EP88" si="198">EN39/EN10</f>
        <v>0.25272670613898413</v>
      </c>
      <c r="EO88" s="350">
        <f t="shared" si="198"/>
        <v>0.21671018276762402</v>
      </c>
      <c r="EP88" s="350">
        <f t="shared" si="198"/>
        <v>0.23312970592413698</v>
      </c>
      <c r="EQ88" s="351">
        <f t="shared" ref="EQ88" si="199">EQ39/EQ10</f>
        <v>0.27819358112393761</v>
      </c>
      <c r="ER88" s="349">
        <f t="shared" si="197"/>
        <v>0.26621400207381041</v>
      </c>
      <c r="ES88" s="349">
        <f t="shared" si="197"/>
        <v>0.26987748669969608</v>
      </c>
      <c r="ET88" s="581">
        <f t="shared" si="197"/>
        <v>0.25382772899012279</v>
      </c>
      <c r="EU88" s="349">
        <f t="shared" si="197"/>
        <v>0.25059351268223051</v>
      </c>
      <c r="EV88" s="349">
        <f t="shared" si="197"/>
        <v>0.22850250371570258</v>
      </c>
      <c r="EW88" s="349">
        <f t="shared" si="197"/>
        <v>0.23878862195148595</v>
      </c>
      <c r="EX88" s="349">
        <f t="shared" si="197"/>
        <v>0.27915296783204924</v>
      </c>
      <c r="EY88" s="349">
        <f t="shared" si="197"/>
        <v>0.26447732624648629</v>
      </c>
      <c r="EZ88" s="349">
        <f t="shared" si="197"/>
        <v>0.2719688405131872</v>
      </c>
      <c r="FA88" s="581">
        <f t="shared" si="197"/>
        <v>0.25590058384471637</v>
      </c>
      <c r="FB88" s="349">
        <f t="shared" si="197"/>
        <v>0.25611931759525286</v>
      </c>
      <c r="FC88" s="349">
        <f t="shared" si="197"/>
        <v>0.23319113382348203</v>
      </c>
      <c r="FD88" s="349">
        <f t="shared" si="197"/>
        <v>0.243854003570906</v>
      </c>
      <c r="FE88" s="349">
        <f t="shared" si="197"/>
        <v>0.28410814068249646</v>
      </c>
      <c r="FF88" s="349">
        <f t="shared" si="197"/>
        <v>0.26928315527149693</v>
      </c>
      <c r="FG88" s="349">
        <f t="shared" si="197"/>
        <v>0.27686392874829374</v>
      </c>
      <c r="FH88" s="581">
        <f t="shared" ref="FH88:FV88" si="200">FH39/FH10</f>
        <v>0.26088038261287244</v>
      </c>
      <c r="FI88" s="349">
        <f t="shared" si="200"/>
        <v>0.26162639132714022</v>
      </c>
      <c r="FJ88" s="349">
        <f t="shared" si="200"/>
        <v>0.23797938612306388</v>
      </c>
      <c r="FK88" s="349">
        <f t="shared" si="200"/>
        <v>0.24896583220739366</v>
      </c>
      <c r="FL88" s="349">
        <f t="shared" si="200"/>
        <v>0.28907770327720145</v>
      </c>
      <c r="FM88" s="349">
        <f t="shared" si="200"/>
        <v>0.274152116196205</v>
      </c>
      <c r="FN88" s="349">
        <f t="shared" si="200"/>
        <v>0.28179468341369251</v>
      </c>
      <c r="FO88" s="581">
        <f t="shared" si="200"/>
        <v>0.26589980440279992</v>
      </c>
      <c r="FP88" s="349">
        <f t="shared" si="200"/>
        <v>0.26706929283150194</v>
      </c>
      <c r="FQ88" s="349">
        <f t="shared" si="200"/>
        <v>0.24280940985711211</v>
      </c>
      <c r="FR88" s="349">
        <f t="shared" si="200"/>
        <v>0.2540712132232939</v>
      </c>
      <c r="FS88" s="349">
        <f t="shared" si="200"/>
        <v>0.29405329795294249</v>
      </c>
      <c r="FT88" s="349">
        <f t="shared" si="200"/>
        <v>0.27904705567883753</v>
      </c>
      <c r="FU88" s="349">
        <f t="shared" si="200"/>
        <v>0.28673978397607403</v>
      </c>
      <c r="FV88" s="581">
        <f t="shared" si="200"/>
        <v>0.27092311819143688</v>
      </c>
    </row>
    <row r="89" spans="2:178" outlineLevel="1" x14ac:dyDescent="0.3">
      <c r="B89" s="279" t="s">
        <v>122</v>
      </c>
      <c r="C89" s="280" t="s">
        <v>413</v>
      </c>
      <c r="D89" s="349">
        <f t="shared" ref="D89:AI89" si="201">D42/D13</f>
        <v>0.20097244732576985</v>
      </c>
      <c r="E89" s="349">
        <f t="shared" si="201"/>
        <v>0.1889763779527559</v>
      </c>
      <c r="F89" s="349">
        <f t="shared" si="201"/>
        <v>0.194888178913738</v>
      </c>
      <c r="G89" s="349">
        <f t="shared" si="201"/>
        <v>0.13468013468013468</v>
      </c>
      <c r="H89" s="349">
        <f t="shared" si="201"/>
        <v>0.16258741258741261</v>
      </c>
      <c r="I89" s="349">
        <f t="shared" si="201"/>
        <v>0.14837049742710121</v>
      </c>
      <c r="J89" s="349">
        <f t="shared" si="201"/>
        <v>0.17245657568238212</v>
      </c>
      <c r="K89" s="349">
        <f t="shared" si="201"/>
        <v>0.17398648648648649</v>
      </c>
      <c r="L89" s="349">
        <f t="shared" si="201"/>
        <v>0.18025078369905956</v>
      </c>
      <c r="M89" s="349">
        <f t="shared" si="201"/>
        <v>0.17723577235772359</v>
      </c>
      <c r="N89" s="349">
        <f t="shared" si="201"/>
        <v>0.13664596273291926</v>
      </c>
      <c r="O89" s="349">
        <f t="shared" si="201"/>
        <v>0.13685847589424574</v>
      </c>
      <c r="P89" s="349">
        <f t="shared" si="201"/>
        <v>0.13675213675213677</v>
      </c>
      <c r="Q89" s="349">
        <f t="shared" si="201"/>
        <v>0.15653555820421136</v>
      </c>
      <c r="R89" s="349">
        <f t="shared" si="201"/>
        <v>0.17415730337078653</v>
      </c>
      <c r="S89" s="349">
        <f t="shared" si="201"/>
        <v>0.16294349540078845</v>
      </c>
      <c r="T89" s="349">
        <f t="shared" si="201"/>
        <v>0.16836388323150034</v>
      </c>
      <c r="U89" s="349">
        <f t="shared" si="201"/>
        <v>0.19096774193548388</v>
      </c>
      <c r="V89" s="349">
        <f t="shared" si="201"/>
        <v>0.14557823129251699</v>
      </c>
      <c r="W89" s="349">
        <f t="shared" si="201"/>
        <v>0.16887417218543047</v>
      </c>
      <c r="X89" s="349">
        <f t="shared" si="201"/>
        <v>0.16862219242373447</v>
      </c>
      <c r="Y89" s="349">
        <f t="shared" si="201"/>
        <v>0.18967587034813926</v>
      </c>
      <c r="Z89" s="349">
        <f t="shared" si="201"/>
        <v>0.17870722433460073</v>
      </c>
      <c r="AA89" s="349">
        <f t="shared" si="201"/>
        <v>0.18434032059186189</v>
      </c>
      <c r="AB89" s="349">
        <f t="shared" si="201"/>
        <v>0.17948717948717949</v>
      </c>
      <c r="AC89" s="349">
        <f t="shared" si="201"/>
        <v>0.12737642585551331</v>
      </c>
      <c r="AD89" s="349">
        <f t="shared" si="201"/>
        <v>0.1548154815481548</v>
      </c>
      <c r="AE89" s="349">
        <f t="shared" si="201"/>
        <v>0.17233809001097694</v>
      </c>
      <c r="AF89" s="349">
        <f t="shared" si="201"/>
        <v>0.17781402936378468</v>
      </c>
      <c r="AG89" s="349">
        <f t="shared" si="201"/>
        <v>0.21542553191489361</v>
      </c>
      <c r="AH89" s="349">
        <f t="shared" si="201"/>
        <v>0.19853479853479855</v>
      </c>
      <c r="AI89" s="349">
        <f t="shared" si="201"/>
        <v>0.21123321123321123</v>
      </c>
      <c r="AJ89" s="349">
        <f t="shared" ref="AJ89:BO89" si="202">AJ42/AJ13</f>
        <v>0.18309859154929581</v>
      </c>
      <c r="AK89" s="349">
        <f t="shared" si="202"/>
        <v>0.19750000000000001</v>
      </c>
      <c r="AL89" s="349">
        <f t="shared" si="202"/>
        <v>0.19797639123102867</v>
      </c>
      <c r="AM89" s="349">
        <f t="shared" si="202"/>
        <v>0.25878220140515223</v>
      </c>
      <c r="AN89" s="349">
        <f t="shared" si="202"/>
        <v>0.2059838895281933</v>
      </c>
      <c r="AO89" s="349">
        <f t="shared" si="202"/>
        <v>0.23215322112594311</v>
      </c>
      <c r="AP89" s="349">
        <f t="shared" si="202"/>
        <v>0.21391061320534299</v>
      </c>
      <c r="AQ89" s="349">
        <f t="shared" si="202"/>
        <v>0.23987850729743093</v>
      </c>
      <c r="AR89" s="349">
        <f t="shared" si="202"/>
        <v>0.2259546532611782</v>
      </c>
      <c r="AS89" s="349">
        <f t="shared" si="202"/>
        <v>0.22903541977833181</v>
      </c>
      <c r="AT89" s="349">
        <f t="shared" si="202"/>
        <v>0.22309970384995068</v>
      </c>
      <c r="AU89" s="349">
        <f t="shared" si="202"/>
        <v>0.24704813805631246</v>
      </c>
      <c r="AV89" s="349">
        <f t="shared" si="202"/>
        <v>0.23557237464522235</v>
      </c>
      <c r="AW89" s="349">
        <f t="shared" si="202"/>
        <v>0.21839080459770113</v>
      </c>
      <c r="AX89" s="349">
        <f t="shared" si="202"/>
        <v>0.19605809128630702</v>
      </c>
      <c r="AY89" s="349">
        <f t="shared" si="202"/>
        <v>0.20718375845913584</v>
      </c>
      <c r="AZ89" s="349">
        <f t="shared" si="202"/>
        <v>0.22205700123915736</v>
      </c>
      <c r="BA89" s="349">
        <f t="shared" si="202"/>
        <v>0.19351464435146445</v>
      </c>
      <c r="BB89" s="349">
        <f t="shared" si="202"/>
        <v>0.20950533462657617</v>
      </c>
      <c r="BC89" s="349">
        <f t="shared" si="202"/>
        <v>0.20181177654755916</v>
      </c>
      <c r="BD89" s="349">
        <f t="shared" si="202"/>
        <v>0.1824390243902439</v>
      </c>
      <c r="BE89" s="349">
        <f t="shared" si="202"/>
        <v>0.17047817047817046</v>
      </c>
      <c r="BF89" s="349">
        <f t="shared" si="202"/>
        <v>0.17664821338701558</v>
      </c>
      <c r="BG89" s="349">
        <f t="shared" si="202"/>
        <v>0.18922999496728735</v>
      </c>
      <c r="BH89" s="349">
        <f t="shared" si="202"/>
        <v>0.21259842519685043</v>
      </c>
      <c r="BI89" s="349">
        <f t="shared" si="202"/>
        <v>0.23144531249999997</v>
      </c>
      <c r="BJ89" s="349">
        <f t="shared" si="202"/>
        <v>0.22205882352941175</v>
      </c>
      <c r="BK89" s="349">
        <f t="shared" si="202"/>
        <v>0.22199798183652877</v>
      </c>
      <c r="BL89" s="349">
        <f t="shared" si="202"/>
        <v>0.19458896982310095</v>
      </c>
      <c r="BM89" s="349">
        <f t="shared" si="202"/>
        <v>0.20850409836065575</v>
      </c>
      <c r="BN89" s="349">
        <f t="shared" si="202"/>
        <v>0.21543086172344689</v>
      </c>
      <c r="BO89" s="349">
        <f t="shared" si="202"/>
        <v>0.20892687559354226</v>
      </c>
      <c r="BP89" s="349">
        <f t="shared" ref="BP89:CP89" si="203">BP42/BP13</f>
        <v>0.2339688041594454</v>
      </c>
      <c r="BQ89" s="349">
        <f t="shared" si="203"/>
        <v>0.22202084277299503</v>
      </c>
      <c r="BR89" s="349">
        <f t="shared" si="203"/>
        <v>0.22722820763956905</v>
      </c>
      <c r="BS89" s="349">
        <f t="shared" si="203"/>
        <v>0.18952879581151835</v>
      </c>
      <c r="BT89" s="349">
        <f t="shared" si="203"/>
        <v>0.20900809716599189</v>
      </c>
      <c r="BU89" s="349">
        <f t="shared" si="203"/>
        <v>0.21587377480277314</v>
      </c>
      <c r="BV89" s="349">
        <f t="shared" si="203"/>
        <v>0.19762845849802374</v>
      </c>
      <c r="BW89" s="349">
        <f t="shared" si="203"/>
        <v>0.22560975609756095</v>
      </c>
      <c r="BX89" s="349">
        <f t="shared" si="203"/>
        <v>0.21142284569138275</v>
      </c>
      <c r="BY89" s="349">
        <f t="shared" si="203"/>
        <v>0.17956989247311828</v>
      </c>
      <c r="BZ89" s="349">
        <f t="shared" si="203"/>
        <v>0.2243958573072497</v>
      </c>
      <c r="CA89" s="349">
        <f t="shared" si="203"/>
        <v>0.20122290161200668</v>
      </c>
      <c r="CB89" s="349">
        <f t="shared" si="203"/>
        <v>0.20658761528326747</v>
      </c>
      <c r="CC89" s="349">
        <f t="shared" si="203"/>
        <v>0.23226433430515062</v>
      </c>
      <c r="CD89" s="349">
        <f t="shared" si="203"/>
        <v>0.24108818011257035</v>
      </c>
      <c r="CE89" s="349">
        <f t="shared" si="203"/>
        <v>0.2367541766109785</v>
      </c>
      <c r="CF89" s="349">
        <f t="shared" si="203"/>
        <v>0.2201005025125628</v>
      </c>
      <c r="CG89" s="349">
        <f t="shared" si="203"/>
        <v>0.22957198443579768</v>
      </c>
      <c r="CH89" s="349">
        <f t="shared" si="203"/>
        <v>0.22491349480968856</v>
      </c>
      <c r="CI89" s="349">
        <f t="shared" si="203"/>
        <v>0.23093734822729478</v>
      </c>
      <c r="CJ89" s="349">
        <f t="shared" si="203"/>
        <v>0.23646209386281589</v>
      </c>
      <c r="CK89" s="349">
        <f t="shared" si="203"/>
        <v>0.24858757062146891</v>
      </c>
      <c r="CL89" s="349">
        <f t="shared" si="203"/>
        <v>0.24286322965487858</v>
      </c>
      <c r="CM89" s="349">
        <f t="shared" si="203"/>
        <v>0.22183406113537116</v>
      </c>
      <c r="CN89" s="349">
        <f t="shared" si="203"/>
        <v>0.2311111111111111</v>
      </c>
      <c r="CO89" s="349">
        <f t="shared" si="203"/>
        <v>0.226431718061674</v>
      </c>
      <c r="CP89" s="349">
        <f t="shared" si="203"/>
        <v>0.23478449209443364</v>
      </c>
      <c r="CQ89" s="349">
        <f t="shared" ref="CQ89:DV89" si="204">CQ40/CQ11</f>
        <v>0.24167378309137491</v>
      </c>
      <c r="CR89" s="349">
        <f t="shared" si="204"/>
        <v>0.23444160272804776</v>
      </c>
      <c r="CS89" s="349">
        <f t="shared" si="204"/>
        <v>0.23805460750853244</v>
      </c>
      <c r="CT89" s="349">
        <f t="shared" si="204"/>
        <v>0.21344232515894643</v>
      </c>
      <c r="CU89" s="349">
        <f t="shared" si="204"/>
        <v>0.20039100684261976</v>
      </c>
      <c r="CV89" s="349">
        <f t="shared" si="204"/>
        <v>0.20715630885122413</v>
      </c>
      <c r="CW89" s="349">
        <f t="shared" si="204"/>
        <v>0.22336615935541632</v>
      </c>
      <c r="CX89" s="349">
        <f t="shared" si="204"/>
        <v>0.22962962962962963</v>
      </c>
      <c r="CY89" s="349">
        <f t="shared" si="204"/>
        <v>0.23978685612788633</v>
      </c>
      <c r="CZ89" s="349">
        <f t="shared" si="204"/>
        <v>0.23481414324569355</v>
      </c>
      <c r="DA89" s="349">
        <f t="shared" si="204"/>
        <v>0.22941176470588234</v>
      </c>
      <c r="DB89" s="349">
        <f t="shared" si="204"/>
        <v>0.20459290187891443</v>
      </c>
      <c r="DC89" s="349">
        <f t="shared" si="204"/>
        <v>0.21739130434782608</v>
      </c>
      <c r="DD89" s="573">
        <f t="shared" si="204"/>
        <v>0.22657743785850862</v>
      </c>
      <c r="DE89" s="350">
        <f t="shared" si="204"/>
        <v>0.24424972617743704</v>
      </c>
      <c r="DF89" s="350">
        <f t="shared" si="204"/>
        <v>0.31695331695331697</v>
      </c>
      <c r="DG89" s="349">
        <f t="shared" si="204"/>
        <v>0.2858481724461106</v>
      </c>
      <c r="DH89" s="349">
        <f t="shared" si="204"/>
        <v>0.28127623845507976</v>
      </c>
      <c r="DI89" s="349">
        <f t="shared" si="204"/>
        <v>0.26809864757358776</v>
      </c>
      <c r="DJ89" s="349">
        <f t="shared" si="204"/>
        <v>0.2745098039215686</v>
      </c>
      <c r="DK89" s="573">
        <f t="shared" si="204"/>
        <v>0.27979048450458316</v>
      </c>
      <c r="DL89" s="351">
        <f t="shared" si="204"/>
        <v>0.27362482369534552</v>
      </c>
      <c r="DM89" s="350">
        <f t="shared" si="204"/>
        <v>0.30817174515235457</v>
      </c>
      <c r="DN89" s="349">
        <f t="shared" si="204"/>
        <v>0.29105520614954572</v>
      </c>
      <c r="DO89" s="350">
        <f t="shared" si="204"/>
        <v>0.27285415212840192</v>
      </c>
      <c r="DP89" s="349">
        <f t="shared" si="204"/>
        <v>0.26409903713892735</v>
      </c>
      <c r="DQ89" s="349">
        <f t="shared" si="204"/>
        <v>0.26844475233806731</v>
      </c>
      <c r="DR89" s="573">
        <f t="shared" si="204"/>
        <v>0.27970081753348414</v>
      </c>
      <c r="DS89" s="350">
        <f t="shared" si="204"/>
        <v>0.25630252100840334</v>
      </c>
      <c r="DT89" s="350">
        <f t="shared" si="204"/>
        <v>0.26541926541926536</v>
      </c>
      <c r="DU89" s="350">
        <f t="shared" si="204"/>
        <v>0.26088470916057122</v>
      </c>
      <c r="DV89" s="350">
        <f t="shared" si="204"/>
        <v>0.24577025823686555</v>
      </c>
      <c r="DW89" s="349">
        <f t="shared" ref="DW89:FB89" si="205">DW40/DW11</f>
        <v>0.28826895565092991</v>
      </c>
      <c r="DX89" s="349">
        <f t="shared" si="205"/>
        <v>0.26933756445854817</v>
      </c>
      <c r="DY89" s="573">
        <f t="shared" si="205"/>
        <v>0.26483679525222553</v>
      </c>
      <c r="DZ89" s="350">
        <f t="shared" si="205"/>
        <v>0.33190578158458245</v>
      </c>
      <c r="EA89" s="350">
        <f t="shared" si="205"/>
        <v>0.30122116689280864</v>
      </c>
      <c r="EB89" s="350">
        <f t="shared" si="205"/>
        <v>0.31617391304347831</v>
      </c>
      <c r="EC89" s="350">
        <f t="shared" si="205"/>
        <v>0.27428998505231689</v>
      </c>
      <c r="ED89" s="349">
        <f t="shared" si="205"/>
        <v>0.27208480565371024</v>
      </c>
      <c r="EE89" s="349">
        <f t="shared" si="205"/>
        <v>0.2731565564838358</v>
      </c>
      <c r="EF89" s="573">
        <f t="shared" si="205"/>
        <v>0.2951314854299929</v>
      </c>
      <c r="EG89" s="350">
        <f t="shared" si="205"/>
        <v>0.30450849963045085</v>
      </c>
      <c r="EH89" s="350">
        <f t="shared" si="205"/>
        <v>0.33221024258760107</v>
      </c>
      <c r="EI89" s="350">
        <f t="shared" si="205"/>
        <v>0.31899894254494177</v>
      </c>
      <c r="EJ89" s="350">
        <f t="shared" si="205"/>
        <v>0.29466553767993225</v>
      </c>
      <c r="EK89" s="350">
        <f t="shared" si="205"/>
        <v>0.3048264182895854</v>
      </c>
      <c r="EL89" s="349">
        <f t="shared" si="205"/>
        <v>0.29974597798475883</v>
      </c>
      <c r="EM89" s="573">
        <f t="shared" si="205"/>
        <v>0.31025197153298717</v>
      </c>
      <c r="EN89" s="350">
        <f t="shared" ref="EN89:EP89" si="206">EN40/EN11</f>
        <v>0.31085526315789475</v>
      </c>
      <c r="EO89" s="350">
        <f t="shared" si="206"/>
        <v>0.28592927012791569</v>
      </c>
      <c r="EP89" s="350">
        <f t="shared" si="206"/>
        <v>0.29783889980353634</v>
      </c>
      <c r="EQ89" s="351">
        <f t="shared" ref="EQ89" si="207">EQ40/EQ11</f>
        <v>0.28142292490118576</v>
      </c>
      <c r="ER89" s="349">
        <f t="shared" si="205"/>
        <v>0.29462519936204168</v>
      </c>
      <c r="ES89" s="349">
        <f t="shared" si="205"/>
        <v>0.28808330382151337</v>
      </c>
      <c r="ET89" s="581">
        <f t="shared" si="205"/>
        <v>0.29295353237097232</v>
      </c>
      <c r="EU89" s="349">
        <f t="shared" si="205"/>
        <v>0.31581794195250668</v>
      </c>
      <c r="EV89" s="349">
        <f t="shared" si="205"/>
        <v>0.29092519685039381</v>
      </c>
      <c r="EW89" s="349">
        <f t="shared" si="205"/>
        <v>0.30280747504451172</v>
      </c>
      <c r="EX89" s="349">
        <f t="shared" si="205"/>
        <v>0.28649300155520996</v>
      </c>
      <c r="EY89" s="349">
        <f t="shared" si="205"/>
        <v>0.29962519936204163</v>
      </c>
      <c r="EZ89" s="349">
        <f t="shared" si="205"/>
        <v>0.2931767018563835</v>
      </c>
      <c r="FA89" s="581">
        <f t="shared" si="205"/>
        <v>0.29798004402437539</v>
      </c>
      <c r="FB89" s="349">
        <f t="shared" si="205"/>
        <v>0.32581794195250663</v>
      </c>
      <c r="FC89" s="349">
        <f t="shared" ref="FC89:FV89" si="208">FC40/FC11</f>
        <v>0.30092519685039376</v>
      </c>
      <c r="FD89" s="349">
        <f t="shared" si="208"/>
        <v>0.31280747504451173</v>
      </c>
      <c r="FE89" s="349">
        <f t="shared" si="208"/>
        <v>0.29649300155520997</v>
      </c>
      <c r="FF89" s="349">
        <f t="shared" si="208"/>
        <v>0.30962519936204164</v>
      </c>
      <c r="FG89" s="349">
        <f t="shared" si="208"/>
        <v>0.30317843752056184</v>
      </c>
      <c r="FH89" s="581">
        <f t="shared" si="208"/>
        <v>0.30807735120271784</v>
      </c>
      <c r="FI89" s="349">
        <f t="shared" si="208"/>
        <v>0.33581794195250664</v>
      </c>
      <c r="FJ89" s="349">
        <f t="shared" si="208"/>
        <v>0.31092519685039377</v>
      </c>
      <c r="FK89" s="349">
        <f t="shared" si="208"/>
        <v>0.32316827077857163</v>
      </c>
      <c r="FL89" s="349">
        <f t="shared" si="208"/>
        <v>0.30649300155520992</v>
      </c>
      <c r="FM89" s="349">
        <f t="shared" si="208"/>
        <v>0.3196251993620417</v>
      </c>
      <c r="FN89" s="349">
        <f t="shared" si="208"/>
        <v>0.3131784375205619</v>
      </c>
      <c r="FO89" s="581">
        <f t="shared" si="208"/>
        <v>0.31833110371950085</v>
      </c>
      <c r="FP89" s="349">
        <f t="shared" si="208"/>
        <v>0.33581794195250664</v>
      </c>
      <c r="FQ89" s="349">
        <f t="shared" si="208"/>
        <v>0.33581794195250658</v>
      </c>
      <c r="FR89" s="349">
        <f t="shared" si="208"/>
        <v>0.33581794195250664</v>
      </c>
      <c r="FS89" s="349">
        <f t="shared" si="208"/>
        <v>0.30649300155520998</v>
      </c>
      <c r="FT89" s="349">
        <f t="shared" si="208"/>
        <v>0.30649300155520992</v>
      </c>
      <c r="FU89" s="349">
        <f t="shared" si="208"/>
        <v>0.30649300155520998</v>
      </c>
      <c r="FV89" s="581">
        <f t="shared" si="208"/>
        <v>0.32152714043329905</v>
      </c>
    </row>
    <row r="90" spans="2:178" outlineLevel="1" x14ac:dyDescent="0.3">
      <c r="B90" s="279" t="s">
        <v>452</v>
      </c>
      <c r="C90" s="280" t="s">
        <v>413</v>
      </c>
      <c r="D90" s="398">
        <f t="shared" ref="D90:AI90" si="209">D58</f>
        <v>0.24179187534780189</v>
      </c>
      <c r="E90" s="398">
        <f t="shared" si="209"/>
        <v>0.20254506892895013</v>
      </c>
      <c r="F90" s="398">
        <f t="shared" si="209"/>
        <v>0.22522400217214228</v>
      </c>
      <c r="G90" s="398">
        <f t="shared" si="209"/>
        <v>0.17755720981527442</v>
      </c>
      <c r="H90" s="398">
        <f t="shared" si="209"/>
        <v>-1.7024665981500515</v>
      </c>
      <c r="I90" s="398">
        <f t="shared" si="209"/>
        <v>-0.77776300039898916</v>
      </c>
      <c r="J90" s="398">
        <f t="shared" si="209"/>
        <v>-0.29217332885455155</v>
      </c>
      <c r="K90" s="398">
        <f t="shared" si="209"/>
        <v>0.16582430806257523</v>
      </c>
      <c r="L90" s="398">
        <f t="shared" si="209"/>
        <v>9.9659698590179868E-2</v>
      </c>
      <c r="M90" s="398">
        <f t="shared" si="209"/>
        <v>0.13290603458701175</v>
      </c>
      <c r="N90" s="398">
        <f t="shared" si="209"/>
        <v>5.4350887074063645E-2</v>
      </c>
      <c r="O90" s="398">
        <f t="shared" si="209"/>
        <v>-0.59794957051814912</v>
      </c>
      <c r="P90" s="398">
        <f t="shared" si="209"/>
        <v>-0.27444134078212301</v>
      </c>
      <c r="Q90" s="398">
        <f t="shared" si="209"/>
        <v>-5.6128070516559776E-2</v>
      </c>
      <c r="R90" s="398">
        <f t="shared" si="209"/>
        <v>0.17672007540056556</v>
      </c>
      <c r="S90" s="398">
        <f t="shared" si="209"/>
        <v>0.1145860035888234</v>
      </c>
      <c r="T90" s="398">
        <f t="shared" si="209"/>
        <v>0.14696132596685083</v>
      </c>
      <c r="U90" s="398">
        <f t="shared" si="209"/>
        <v>7.4985354422964251E-2</v>
      </c>
      <c r="V90" s="398">
        <f t="shared" si="209"/>
        <v>-0.58005752636625119</v>
      </c>
      <c r="W90" s="398">
        <f t="shared" si="209"/>
        <v>-0.12593611493198839</v>
      </c>
      <c r="X90" s="398">
        <f t="shared" si="209"/>
        <v>-2.4918300653594776E-2</v>
      </c>
      <c r="Y90" s="398">
        <f t="shared" si="209"/>
        <v>6.2739726027397219E-2</v>
      </c>
      <c r="Z90" s="398">
        <f t="shared" si="209"/>
        <v>0.56215267622111731</v>
      </c>
      <c r="AA90" s="398">
        <f t="shared" si="209"/>
        <v>0.30428632055453381</v>
      </c>
      <c r="AB90" s="398">
        <f t="shared" si="209"/>
        <v>0.46737421383647793</v>
      </c>
      <c r="AC90" s="398">
        <f t="shared" si="209"/>
        <v>-0.83885209713024289</v>
      </c>
      <c r="AD90" s="398">
        <f t="shared" si="209"/>
        <v>-0.11707215637346645</v>
      </c>
      <c r="AE90" s="398">
        <f t="shared" si="209"/>
        <v>0.13369254083178989</v>
      </c>
      <c r="AF90" s="398">
        <f t="shared" si="209"/>
        <v>-0.19737296923608708</v>
      </c>
      <c r="AG90" s="398">
        <f t="shared" si="209"/>
        <v>-2.6385224274406288E-3</v>
      </c>
      <c r="AH90" s="398">
        <f t="shared" si="209"/>
        <v>-9.7721518987341799E-2</v>
      </c>
      <c r="AI90" s="398">
        <f t="shared" si="209"/>
        <v>9.5364741641337389E-2</v>
      </c>
      <c r="AJ90" s="398">
        <f t="shared" ref="AJ90:BO90" si="210">AJ58</f>
        <v>4.2877906976744151E-2</v>
      </c>
      <c r="AK90" s="398">
        <f t="shared" si="210"/>
        <v>6.8536404160475475E-2</v>
      </c>
      <c r="AL90" s="398">
        <f t="shared" si="210"/>
        <v>-1.8569281103545849E-2</v>
      </c>
      <c r="AM90" s="398">
        <f t="shared" si="210"/>
        <v>0.40445859872611467</v>
      </c>
      <c r="AN90" s="398">
        <f t="shared" si="210"/>
        <v>-0.19740077274323845</v>
      </c>
      <c r="AO90" s="398">
        <f t="shared" si="210"/>
        <v>0.1182562218139302</v>
      </c>
      <c r="AP90" s="398">
        <f t="shared" si="210"/>
        <v>-6.0621866166468301E-2</v>
      </c>
      <c r="AQ90" s="398">
        <f t="shared" si="210"/>
        <v>0.18635582177143756</v>
      </c>
      <c r="AR90" s="398">
        <f t="shared" si="210"/>
        <v>6.1482758070046432E-2</v>
      </c>
      <c r="AS90" s="398">
        <f t="shared" si="210"/>
        <v>9.1037612782458713E-2</v>
      </c>
      <c r="AT90" s="398">
        <f t="shared" si="210"/>
        <v>5.3828900993271353E-2</v>
      </c>
      <c r="AU90" s="398">
        <f t="shared" si="210"/>
        <v>0.43189368770764108</v>
      </c>
      <c r="AV90" s="398">
        <f t="shared" si="210"/>
        <v>0.24844527363184074</v>
      </c>
      <c r="AW90" s="398">
        <f t="shared" si="210"/>
        <v>0</v>
      </c>
      <c r="AX90" s="398">
        <f t="shared" si="210"/>
        <v>-1.3746803069053713E-2</v>
      </c>
      <c r="AY90" s="398">
        <f t="shared" si="210"/>
        <v>-7.1990624476812532E-3</v>
      </c>
      <c r="AZ90" s="398">
        <f t="shared" si="210"/>
        <v>0.12535268037081823</v>
      </c>
      <c r="BA90" s="398">
        <f t="shared" si="210"/>
        <v>0.24257571302558079</v>
      </c>
      <c r="BB90" s="398">
        <f t="shared" si="210"/>
        <v>6.8120705109052895E-2</v>
      </c>
      <c r="BC90" s="398">
        <f t="shared" si="210"/>
        <v>0.15604623592175454</v>
      </c>
      <c r="BD90" s="398">
        <f t="shared" si="210"/>
        <v>0.10127765659083827</v>
      </c>
      <c r="BE90" s="398">
        <f t="shared" si="210"/>
        <v>-0.32788374205267934</v>
      </c>
      <c r="BF90" s="398">
        <f t="shared" si="210"/>
        <v>-0.11640049140049141</v>
      </c>
      <c r="BG90" s="398">
        <f t="shared" si="210"/>
        <v>2.2247360482654605E-2</v>
      </c>
      <c r="BH90" s="398">
        <f t="shared" si="210"/>
        <v>0.42143432715551982</v>
      </c>
      <c r="BI90" s="398">
        <f t="shared" si="210"/>
        <v>0.17291507268553943</v>
      </c>
      <c r="BJ90" s="398">
        <f t="shared" si="210"/>
        <v>0.29395604395604397</v>
      </c>
      <c r="BK90" s="398">
        <f t="shared" si="210"/>
        <v>0.26749435665914223</v>
      </c>
      <c r="BL90" s="398">
        <f t="shared" si="210"/>
        <v>0.15109239273493022</v>
      </c>
      <c r="BM90" s="398">
        <f t="shared" si="210"/>
        <v>0.20727223205774195</v>
      </c>
      <c r="BN90" s="398">
        <f t="shared" si="210"/>
        <v>0.25148462000400351</v>
      </c>
      <c r="BO90" s="398">
        <f t="shared" si="210"/>
        <v>0.12200435729847493</v>
      </c>
      <c r="BP90" s="398">
        <f t="shared" ref="BP90:CU90" si="211">BP58</f>
        <v>0.33060853769300641</v>
      </c>
      <c r="BQ90" s="398">
        <f t="shared" si="211"/>
        <v>0.2296426479203281</v>
      </c>
      <c r="BR90" s="398">
        <f t="shared" si="211"/>
        <v>0.32560535806285423</v>
      </c>
      <c r="BS90" s="398">
        <f t="shared" si="211"/>
        <v>3.0376084860173569E-2</v>
      </c>
      <c r="BT90" s="398">
        <f t="shared" si="211"/>
        <v>0.17310087173100872</v>
      </c>
      <c r="BU90" s="398">
        <f t="shared" si="211"/>
        <v>0.20476909145789315</v>
      </c>
      <c r="BV90" s="398">
        <f t="shared" si="211"/>
        <v>0.19605568445475641</v>
      </c>
      <c r="BW90" s="398">
        <f t="shared" si="211"/>
        <v>0.3582388258839227</v>
      </c>
      <c r="BX90" s="398">
        <f t="shared" si="211"/>
        <v>0.27886908141251276</v>
      </c>
      <c r="BY90" s="398">
        <f t="shared" si="211"/>
        <v>0.12530062530062533</v>
      </c>
      <c r="BZ90" s="398">
        <f t="shared" si="211"/>
        <v>0.12975339940078354</v>
      </c>
      <c r="CA90" s="398">
        <f t="shared" si="211"/>
        <v>0.1275744380369542</v>
      </c>
      <c r="CB90" s="398">
        <f t="shared" si="211"/>
        <v>0.20457697642163669</v>
      </c>
      <c r="CC90" s="398">
        <f t="shared" si="211"/>
        <v>0.24696016771488463</v>
      </c>
      <c r="CD90" s="398">
        <f t="shared" si="211"/>
        <v>0.17831956477936731</v>
      </c>
      <c r="CE90" s="398">
        <f t="shared" si="211"/>
        <v>0.21195931367512588</v>
      </c>
      <c r="CF90" s="398">
        <f t="shared" si="211"/>
        <v>0.23879613356766263</v>
      </c>
      <c r="CG90" s="398">
        <f t="shared" si="211"/>
        <v>0.15372168284789636</v>
      </c>
      <c r="CH90" s="398">
        <f t="shared" si="211"/>
        <v>0.19450294860994105</v>
      </c>
      <c r="CI90" s="398">
        <f t="shared" si="211"/>
        <v>0.20333870716105887</v>
      </c>
      <c r="CJ90" s="398">
        <f t="shared" si="211"/>
        <v>0.13828214813598291</v>
      </c>
      <c r="CK90" s="398">
        <f t="shared" si="211"/>
        <v>0.15143929912390491</v>
      </c>
      <c r="CL90" s="398">
        <f t="shared" si="211"/>
        <v>0.1450204310552039</v>
      </c>
      <c r="CM90" s="398">
        <f t="shared" si="211"/>
        <v>0.23860232945091511</v>
      </c>
      <c r="CN90" s="398">
        <f t="shared" si="211"/>
        <v>-0.15122723673792554</v>
      </c>
      <c r="CO90" s="398">
        <f t="shared" si="211"/>
        <v>3.8864097363083154E-2</v>
      </c>
      <c r="CP90" s="398">
        <f t="shared" si="211"/>
        <v>9.2276062243005719E-2</v>
      </c>
      <c r="CQ90" s="398">
        <f t="shared" si="211"/>
        <v>0.20254914004913999</v>
      </c>
      <c r="CR90" s="398">
        <f t="shared" si="211"/>
        <v>0.15433534977508923</v>
      </c>
      <c r="CS90" s="398">
        <f t="shared" si="211"/>
        <v>0.17856316073771125</v>
      </c>
      <c r="CT90" s="398">
        <f t="shared" si="211"/>
        <v>0.16638225255972697</v>
      </c>
      <c r="CU90" s="398">
        <f t="shared" si="211"/>
        <v>4.1933418693982046E-2</v>
      </c>
      <c r="CV90" s="398">
        <f t="shared" ref="CV90:EA90" si="212">CV58</f>
        <v>0.10216385860588037</v>
      </c>
      <c r="CW90" s="398">
        <f t="shared" si="212"/>
        <v>0.14166035026129972</v>
      </c>
      <c r="CX90" s="398">
        <f t="shared" si="212"/>
        <v>0.2017971367651539</v>
      </c>
      <c r="CY90" s="398">
        <f t="shared" si="212"/>
        <v>0.23114207815813387</v>
      </c>
      <c r="CZ90" s="398">
        <f t="shared" si="212"/>
        <v>0.21650972053462939</v>
      </c>
      <c r="DA90" s="398">
        <f t="shared" si="212"/>
        <v>0.14301929625425652</v>
      </c>
      <c r="DB90" s="398">
        <f t="shared" si="212"/>
        <v>-4.5744838853408638E-2</v>
      </c>
      <c r="DC90" s="398">
        <f t="shared" si="212"/>
        <v>4.4496124031007764E-2</v>
      </c>
      <c r="DD90" s="578">
        <f t="shared" si="212"/>
        <v>0.1313871413226945</v>
      </c>
      <c r="DE90" s="398">
        <f t="shared" si="212"/>
        <v>7.9808459696727882E-2</v>
      </c>
      <c r="DF90" s="398">
        <f t="shared" si="212"/>
        <v>0.19877883310719124</v>
      </c>
      <c r="DG90" s="398">
        <f t="shared" si="212"/>
        <v>0.15225522552255225</v>
      </c>
      <c r="DH90" s="398">
        <f t="shared" si="212"/>
        <v>0.17844570809639859</v>
      </c>
      <c r="DI90" s="398">
        <f t="shared" si="212"/>
        <v>0.17964294569799155</v>
      </c>
      <c r="DJ90" s="398">
        <f t="shared" si="212"/>
        <v>0.1790706704633705</v>
      </c>
      <c r="DK90" s="578">
        <f t="shared" si="212"/>
        <v>0.16268436071097056</v>
      </c>
      <c r="DL90" s="399">
        <f t="shared" si="212"/>
        <v>0.21695317131001779</v>
      </c>
      <c r="DM90" s="398">
        <f t="shared" si="212"/>
        <v>0.23804251550044286</v>
      </c>
      <c r="DN90" s="398">
        <f t="shared" si="212"/>
        <v>0.22785824698001944</v>
      </c>
      <c r="DO90" s="398">
        <f t="shared" si="212"/>
        <v>0.22466666666666668</v>
      </c>
      <c r="DP90" s="398">
        <f t="shared" si="212"/>
        <v>8.5123966942148771E-2</v>
      </c>
      <c r="DQ90" s="398">
        <f t="shared" si="212"/>
        <v>0.15235546038543904</v>
      </c>
      <c r="DR90" s="578">
        <f t="shared" si="212"/>
        <v>0.18884001438570286</v>
      </c>
      <c r="DS90" s="398">
        <f t="shared" si="212"/>
        <v>0.2210568374787733</v>
      </c>
      <c r="DT90" s="398">
        <f t="shared" si="212"/>
        <v>0.22714514835605451</v>
      </c>
      <c r="DU90" s="398">
        <f t="shared" si="212"/>
        <v>0.22409566218041727</v>
      </c>
      <c r="DV90" s="398">
        <f t="shared" si="212"/>
        <v>0.18924256505576206</v>
      </c>
      <c r="DW90" s="398">
        <f t="shared" si="212"/>
        <v>0.14243679163034001</v>
      </c>
      <c r="DX90" s="398">
        <f t="shared" si="212"/>
        <v>0.16509221772379662</v>
      </c>
      <c r="DY90" s="578">
        <f t="shared" si="212"/>
        <v>0.19631463291943552</v>
      </c>
      <c r="DZ90" s="398">
        <f t="shared" si="212"/>
        <v>0.24478675468930108</v>
      </c>
      <c r="EA90" s="398">
        <f t="shared" si="212"/>
        <v>0.22366840208249897</v>
      </c>
      <c r="EB90" s="398">
        <f t="shared" ref="EB90:FG90" si="213">EB58</f>
        <v>0.23398699503353637</v>
      </c>
      <c r="EC90" s="398">
        <f t="shared" si="213"/>
        <v>0.23113882641586592</v>
      </c>
      <c r="ED90" s="398">
        <f t="shared" si="213"/>
        <v>8.3880597014925423E-2</v>
      </c>
      <c r="EE90" s="398">
        <f t="shared" si="213"/>
        <v>0.15651472367890282</v>
      </c>
      <c r="EF90" s="578">
        <f t="shared" si="213"/>
        <v>0.19495465284658184</v>
      </c>
      <c r="EG90" s="398">
        <f t="shared" si="213"/>
        <v>0.23792721040427464</v>
      </c>
      <c r="EH90" s="398">
        <f t="shared" si="213"/>
        <v>0.15851373855120729</v>
      </c>
      <c r="EI90" s="398">
        <f>EI58</f>
        <v>0.19885287038459573</v>
      </c>
      <c r="EJ90" s="398">
        <f>EJ58</f>
        <v>0.21619637050246512</v>
      </c>
      <c r="EK90" s="398">
        <f>EK58</f>
        <v>6.330416881111682E-2</v>
      </c>
      <c r="EL90" s="398">
        <f>EL58</f>
        <v>0.13902743142144633</v>
      </c>
      <c r="EM90" s="578">
        <f>EM58</f>
        <v>0.16915538362346874</v>
      </c>
      <c r="EN90" s="398">
        <f t="shared" ref="EN90:EO90" si="214">EN58</f>
        <v>0.15401711301255694</v>
      </c>
      <c r="EO90" s="398">
        <f t="shared" si="214"/>
        <v>1.8572976319455193E-2</v>
      </c>
      <c r="EP90" s="398">
        <f>EP58</f>
        <v>7.8396942622527555E-2</v>
      </c>
      <c r="EQ90" s="399">
        <f t="shared" ref="EQ90" si="215">EQ58</f>
        <v>0.19841909985481529</v>
      </c>
      <c r="ER90" s="398">
        <f t="shared" si="213"/>
        <v>0.19888513813041669</v>
      </c>
      <c r="ES90" s="398">
        <f t="shared" si="213"/>
        <v>0.19918760573206998</v>
      </c>
      <c r="ET90" s="578">
        <f t="shared" si="213"/>
        <v>0.14014021246516314</v>
      </c>
      <c r="EU90" s="398">
        <f t="shared" si="213"/>
        <v>0.20712700313665264</v>
      </c>
      <c r="EV90" s="398">
        <f t="shared" si="213"/>
        <v>0.19460684749643592</v>
      </c>
      <c r="EW90" s="398">
        <f t="shared" si="213"/>
        <v>0.20073320240247636</v>
      </c>
      <c r="EX90" s="398">
        <f t="shared" si="213"/>
        <v>0.21177542850487552</v>
      </c>
      <c r="EY90" s="398">
        <f t="shared" si="213"/>
        <v>0.21843007087755506</v>
      </c>
      <c r="EZ90" s="398">
        <f t="shared" si="213"/>
        <v>0.2152584298321866</v>
      </c>
      <c r="FA90" s="578">
        <f t="shared" si="213"/>
        <v>0.20809197510770491</v>
      </c>
      <c r="FB90" s="398">
        <f t="shared" si="213"/>
        <v>0.21570252839537363</v>
      </c>
      <c r="FC90" s="398">
        <f t="shared" si="213"/>
        <v>0.20481535166516024</v>
      </c>
      <c r="FD90" s="398">
        <f t="shared" si="213"/>
        <v>0.21010801575101287</v>
      </c>
      <c r="FE90" s="398">
        <f t="shared" si="213"/>
        <v>0.22799561194773066</v>
      </c>
      <c r="FF90" s="398">
        <f t="shared" si="213"/>
        <v>0.22574737360083341</v>
      </c>
      <c r="FG90" s="398">
        <f t="shared" si="213"/>
        <v>0.22682280097064864</v>
      </c>
      <c r="FH90" s="578">
        <f t="shared" ref="FH90:FV90" si="216">FH58</f>
        <v>0.21858579027946565</v>
      </c>
      <c r="FI90" s="398">
        <f t="shared" si="216"/>
        <v>0.22669957311209105</v>
      </c>
      <c r="FJ90" s="398">
        <f t="shared" si="216"/>
        <v>0.21116625788011317</v>
      </c>
      <c r="FK90" s="398">
        <f t="shared" si="216"/>
        <v>0.21873516386881289</v>
      </c>
      <c r="FL90" s="398">
        <f t="shared" si="216"/>
        <v>0.23380829662240418</v>
      </c>
      <c r="FM90" s="398">
        <f t="shared" si="216"/>
        <v>0.23034028408636242</v>
      </c>
      <c r="FN90" s="398">
        <f t="shared" si="216"/>
        <v>0.23200474290924111</v>
      </c>
      <c r="FO90" s="578">
        <f t="shared" si="216"/>
        <v>0.2254416340461117</v>
      </c>
      <c r="FP90" s="398">
        <f t="shared" si="216"/>
        <v>0.23311608434302125</v>
      </c>
      <c r="FQ90" s="398">
        <f t="shared" si="216"/>
        <v>0.22016451851987454</v>
      </c>
      <c r="FR90" s="398">
        <f t="shared" si="216"/>
        <v>0.2264542727063478</v>
      </c>
      <c r="FS90" s="398">
        <f t="shared" si="216"/>
        <v>0.24142346272431273</v>
      </c>
      <c r="FT90" s="398">
        <f t="shared" si="216"/>
        <v>0.23645269151008819</v>
      </c>
      <c r="FU90" s="398">
        <f t="shared" si="216"/>
        <v>0.23884280226575832</v>
      </c>
      <c r="FV90" s="578">
        <f t="shared" si="216"/>
        <v>0.23272945823188712</v>
      </c>
    </row>
    <row r="91" spans="2:178" outlineLevel="1" x14ac:dyDescent="0.3">
      <c r="B91" s="279" t="s">
        <v>109</v>
      </c>
      <c r="C91" s="280" t="s">
        <v>413</v>
      </c>
      <c r="D91" s="398">
        <f t="shared" ref="D91:AI91" si="217">D36/D17</f>
        <v>0.2824151363383417</v>
      </c>
      <c r="E91" s="398">
        <f t="shared" si="217"/>
        <v>0.24973488865323434</v>
      </c>
      <c r="F91" s="398">
        <f t="shared" si="217"/>
        <v>0.26920988324735273</v>
      </c>
      <c r="G91" s="398">
        <f t="shared" si="217"/>
        <v>0.22194651226909298</v>
      </c>
      <c r="H91" s="398">
        <f t="shared" si="217"/>
        <v>0.20709146968139774</v>
      </c>
      <c r="I91" s="398">
        <f t="shared" si="217"/>
        <v>0.21425721505519355</v>
      </c>
      <c r="J91" s="398">
        <f t="shared" si="217"/>
        <v>0.21901242861941556</v>
      </c>
      <c r="K91" s="398">
        <f t="shared" si="217"/>
        <v>0.25776173285198556</v>
      </c>
      <c r="L91" s="398">
        <f t="shared" si="217"/>
        <v>0.24647544968400584</v>
      </c>
      <c r="M91" s="398">
        <f t="shared" si="217"/>
        <v>0.2521465715322288</v>
      </c>
      <c r="N91" s="398">
        <f t="shared" si="217"/>
        <v>0.2165587158546888</v>
      </c>
      <c r="O91" s="398">
        <f t="shared" si="217"/>
        <v>0.23302853976170684</v>
      </c>
      <c r="P91" s="398">
        <f t="shared" si="217"/>
        <v>0.22486033519553075</v>
      </c>
      <c r="Q91" s="398">
        <f t="shared" si="217"/>
        <v>0.23954890141940494</v>
      </c>
      <c r="R91" s="398">
        <f t="shared" si="217"/>
        <v>0.28652214891611688</v>
      </c>
      <c r="S91" s="398">
        <f t="shared" si="217"/>
        <v>0.23096641886695721</v>
      </c>
      <c r="T91" s="398">
        <f t="shared" si="217"/>
        <v>0.25991405770411297</v>
      </c>
      <c r="U91" s="398">
        <f t="shared" si="217"/>
        <v>0.21470415934387815</v>
      </c>
      <c r="V91" s="398">
        <f t="shared" si="217"/>
        <v>0.18759987216363058</v>
      </c>
      <c r="W91" s="398">
        <f t="shared" si="217"/>
        <v>0.20174232003668047</v>
      </c>
      <c r="X91" s="398">
        <f t="shared" si="217"/>
        <v>0.23400054466230938</v>
      </c>
      <c r="Y91" s="398">
        <f t="shared" si="217"/>
        <v>0.21780821917808216</v>
      </c>
      <c r="Z91" s="398">
        <f t="shared" si="217"/>
        <v>0.20854050892073706</v>
      </c>
      <c r="AA91" s="398">
        <f t="shared" si="217"/>
        <v>0.21332578865468943</v>
      </c>
      <c r="AB91" s="398">
        <f t="shared" si="217"/>
        <v>0.17531446540880499</v>
      </c>
      <c r="AC91" s="398">
        <f t="shared" si="217"/>
        <v>0.14083885209713026</v>
      </c>
      <c r="AD91" s="398">
        <f t="shared" si="217"/>
        <v>0.15907673112913284</v>
      </c>
      <c r="AE91" s="398">
        <f t="shared" si="217"/>
        <v>0.19136218218555315</v>
      </c>
      <c r="AF91" s="398">
        <f t="shared" si="217"/>
        <v>0.27238161078465262</v>
      </c>
      <c r="AG91" s="398">
        <f t="shared" si="217"/>
        <v>0.25593667546174148</v>
      </c>
      <c r="AH91" s="398">
        <f t="shared" si="217"/>
        <v>0.26396624472573837</v>
      </c>
      <c r="AI91" s="398">
        <f t="shared" si="217"/>
        <v>0.2264437689969605</v>
      </c>
      <c r="AJ91" s="398">
        <f t="shared" ref="AJ91:BO91" si="218">AJ36/AJ17</f>
        <v>0.19767441860465115</v>
      </c>
      <c r="AK91" s="398">
        <f t="shared" si="218"/>
        <v>0.21173848439821694</v>
      </c>
      <c r="AL91" s="398">
        <f t="shared" si="218"/>
        <v>0.23910160049518084</v>
      </c>
      <c r="AM91" s="398">
        <f t="shared" si="218"/>
        <v>0.25573248407643318</v>
      </c>
      <c r="AN91" s="398">
        <f t="shared" si="218"/>
        <v>0.20266947664207932</v>
      </c>
      <c r="AO91" s="398">
        <f t="shared" si="218"/>
        <v>0.23049941540003338</v>
      </c>
      <c r="AP91" s="398">
        <f t="shared" si="218"/>
        <v>0.16536497220557325</v>
      </c>
      <c r="AQ91" s="398">
        <f t="shared" si="218"/>
        <v>0.23037688203240705</v>
      </c>
      <c r="AR91" s="398">
        <f t="shared" si="218"/>
        <v>0.1975065591099722</v>
      </c>
      <c r="AS91" s="398">
        <f t="shared" si="218"/>
        <v>0.21468182040104156</v>
      </c>
      <c r="AT91" s="398">
        <f t="shared" si="218"/>
        <v>0.23389939122076261</v>
      </c>
      <c r="AU91" s="398">
        <f t="shared" si="218"/>
        <v>0.22047719722138326</v>
      </c>
      <c r="AV91" s="398">
        <f t="shared" si="218"/>
        <v>0.22699004975124376</v>
      </c>
      <c r="AW91" s="398">
        <f t="shared" si="218"/>
        <v>0.19261862917398945</v>
      </c>
      <c r="AX91" s="398">
        <f t="shared" si="218"/>
        <v>0.18957800511508949</v>
      </c>
      <c r="AY91" s="398">
        <f t="shared" si="218"/>
        <v>0.19102628494893686</v>
      </c>
      <c r="AZ91" s="398">
        <f t="shared" si="218"/>
        <v>0.20967351874244258</v>
      </c>
      <c r="BA91" s="398">
        <f t="shared" si="218"/>
        <v>0.21493678329902974</v>
      </c>
      <c r="BB91" s="398">
        <f t="shared" si="218"/>
        <v>0.19988048999103677</v>
      </c>
      <c r="BC91" s="398">
        <f t="shared" si="218"/>
        <v>0.20746887966804972</v>
      </c>
      <c r="BD91" s="398">
        <f t="shared" si="218"/>
        <v>0.16204425054534122</v>
      </c>
      <c r="BE91" s="398">
        <f t="shared" si="218"/>
        <v>0.15198304571601576</v>
      </c>
      <c r="BF91" s="398">
        <f t="shared" si="218"/>
        <v>0.1569410319410319</v>
      </c>
      <c r="BG91" s="398">
        <f t="shared" si="218"/>
        <v>0.18265460030165911</v>
      </c>
      <c r="BH91" s="398">
        <f t="shared" si="218"/>
        <v>0.2226698898737578</v>
      </c>
      <c r="BI91" s="398">
        <f t="shared" si="218"/>
        <v>0.22417750573833206</v>
      </c>
      <c r="BJ91" s="398">
        <f t="shared" si="218"/>
        <v>0.22344322344322345</v>
      </c>
      <c r="BK91" s="398">
        <f t="shared" si="218"/>
        <v>0.19977426636568849</v>
      </c>
      <c r="BL91" s="398">
        <f t="shared" si="218"/>
        <v>0.19110292182153196</v>
      </c>
      <c r="BM91" s="398">
        <f t="shared" si="218"/>
        <v>0.19528802941577003</v>
      </c>
      <c r="BN91" s="398">
        <f t="shared" si="218"/>
        <v>0.20964836191365852</v>
      </c>
      <c r="BO91" s="398">
        <f t="shared" si="218"/>
        <v>0.21253933672234326</v>
      </c>
      <c r="BP91" s="398">
        <f t="shared" ref="BP91:CU91" si="219">BP36/BP17</f>
        <v>0.2329700272479564</v>
      </c>
      <c r="BQ91" s="398">
        <f t="shared" si="219"/>
        <v>0.22308142940831874</v>
      </c>
      <c r="BR91" s="398">
        <f t="shared" si="219"/>
        <v>0.21844410097887687</v>
      </c>
      <c r="BS91" s="398">
        <f t="shared" si="219"/>
        <v>0.24035679845708771</v>
      </c>
      <c r="BT91" s="398">
        <f t="shared" si="219"/>
        <v>0.22976338729763385</v>
      </c>
      <c r="BU91" s="398">
        <f t="shared" si="219"/>
        <v>0.22632055538786597</v>
      </c>
      <c r="BV91" s="398">
        <f t="shared" si="219"/>
        <v>0.24988399071925757</v>
      </c>
      <c r="BW91" s="398">
        <f t="shared" si="219"/>
        <v>0.2512786301979098</v>
      </c>
      <c r="BX91" s="398">
        <f t="shared" si="219"/>
        <v>0.25059611672533216</v>
      </c>
      <c r="BY91" s="398">
        <f t="shared" si="219"/>
        <v>0.24362674362674364</v>
      </c>
      <c r="BZ91" s="398">
        <f t="shared" si="219"/>
        <v>0.25489744180686785</v>
      </c>
      <c r="CA91" s="398">
        <f t="shared" si="219"/>
        <v>0.24938213487113098</v>
      </c>
      <c r="CB91" s="398">
        <f t="shared" si="219"/>
        <v>0.25000000000000006</v>
      </c>
      <c r="CC91" s="398">
        <f t="shared" si="219"/>
        <v>0.2454926624737945</v>
      </c>
      <c r="CD91" s="398">
        <f t="shared" si="219"/>
        <v>0.25468466653233934</v>
      </c>
      <c r="CE91" s="398">
        <f t="shared" si="219"/>
        <v>0.25017980067810547</v>
      </c>
      <c r="CF91" s="398">
        <f t="shared" si="219"/>
        <v>0.2111159929701231</v>
      </c>
      <c r="CG91" s="398">
        <f t="shared" si="219"/>
        <v>0.19781553398058246</v>
      </c>
      <c r="CH91" s="398">
        <f t="shared" si="219"/>
        <v>0.20419123841617523</v>
      </c>
      <c r="CI91" s="398">
        <f t="shared" si="219"/>
        <v>0.22746892714129702</v>
      </c>
      <c r="CJ91" s="398">
        <f t="shared" si="219"/>
        <v>0.18114632944654296</v>
      </c>
      <c r="CK91" s="398">
        <f t="shared" si="219"/>
        <v>0.19899874843554446</v>
      </c>
      <c r="CL91" s="398">
        <f t="shared" si="219"/>
        <v>0.19028923964425926</v>
      </c>
      <c r="CM91" s="398">
        <f t="shared" si="219"/>
        <v>0.2001663893510815</v>
      </c>
      <c r="CN91" s="398">
        <f t="shared" si="219"/>
        <v>0.20063341250989711</v>
      </c>
      <c r="CO91" s="398">
        <f t="shared" si="219"/>
        <v>0.20040567951318458</v>
      </c>
      <c r="CP91" s="398">
        <f t="shared" si="219"/>
        <v>0.19531564943965171</v>
      </c>
      <c r="CQ91" s="398">
        <f t="shared" si="219"/>
        <v>0.20638820638820637</v>
      </c>
      <c r="CR91" s="398">
        <f t="shared" si="219"/>
        <v>0.21358771521637976</v>
      </c>
      <c r="CS91" s="398">
        <f t="shared" si="219"/>
        <v>0.20996990508526892</v>
      </c>
      <c r="CT91" s="398">
        <f t="shared" si="219"/>
        <v>0.20546075085324234</v>
      </c>
      <c r="CU91" s="398">
        <f t="shared" si="219"/>
        <v>0.20918693982074263</v>
      </c>
      <c r="CV91" s="398">
        <f t="shared" ref="CV91:EA91" si="220">CV36/CV17</f>
        <v>0.20738354806739343</v>
      </c>
      <c r="CW91" s="398">
        <f t="shared" si="220"/>
        <v>0.20872062871504368</v>
      </c>
      <c r="CX91" s="398">
        <f t="shared" si="220"/>
        <v>0.23758757234236985</v>
      </c>
      <c r="CY91" s="398">
        <f t="shared" si="220"/>
        <v>0.25174189639503175</v>
      </c>
      <c r="CZ91" s="398">
        <f t="shared" si="220"/>
        <v>0.24468408262454436</v>
      </c>
      <c r="DA91" s="398">
        <f t="shared" si="220"/>
        <v>0.22279876763418194</v>
      </c>
      <c r="DB91" s="398">
        <f t="shared" si="220"/>
        <v>0.22723897222634781</v>
      </c>
      <c r="DC91" s="398">
        <f t="shared" si="220"/>
        <v>0.2251162790697675</v>
      </c>
      <c r="DD91" s="578">
        <f t="shared" si="220"/>
        <v>0.23500076722418289</v>
      </c>
      <c r="DE91" s="398">
        <f t="shared" si="220"/>
        <v>0.2491620111731844</v>
      </c>
      <c r="DF91" s="398">
        <f t="shared" si="220"/>
        <v>0.26458616010854813</v>
      </c>
      <c r="DG91" s="398">
        <f t="shared" si="220"/>
        <v>0.25749908324165749</v>
      </c>
      <c r="DH91" s="398">
        <f t="shared" si="220"/>
        <v>0.27335499593826157</v>
      </c>
      <c r="DI91" s="398">
        <f t="shared" si="220"/>
        <v>0.26159186709645421</v>
      </c>
      <c r="DJ91" s="398">
        <f t="shared" si="220"/>
        <v>0.26721460005177328</v>
      </c>
      <c r="DK91" s="578">
        <f t="shared" si="220"/>
        <v>0.26266029497713755</v>
      </c>
      <c r="DL91" s="399">
        <f t="shared" si="220"/>
        <v>0.25951393005334916</v>
      </c>
      <c r="DM91" s="398">
        <f t="shared" si="220"/>
        <v>0.27192205491585475</v>
      </c>
      <c r="DN91" s="398">
        <f t="shared" si="220"/>
        <v>0.26593003950306293</v>
      </c>
      <c r="DO91" s="398">
        <f t="shared" si="220"/>
        <v>0.27255555555555555</v>
      </c>
      <c r="DP91" s="398">
        <f t="shared" si="220"/>
        <v>0.27644628099173557</v>
      </c>
      <c r="DQ91" s="398">
        <f t="shared" si="220"/>
        <v>0.27457173447537481</v>
      </c>
      <c r="DR91" s="578">
        <f t="shared" si="220"/>
        <v>0.27039588347580712</v>
      </c>
      <c r="DS91" s="398">
        <f t="shared" si="220"/>
        <v>0.24862651083807807</v>
      </c>
      <c r="DT91" s="398">
        <f t="shared" si="220"/>
        <v>0.26172814755412988</v>
      </c>
      <c r="DU91" s="398">
        <f t="shared" si="220"/>
        <v>0.25516585780757489</v>
      </c>
      <c r="DV91" s="398">
        <f t="shared" si="220"/>
        <v>0.24268122676579923</v>
      </c>
      <c r="DW91" s="398">
        <f t="shared" si="220"/>
        <v>0.25446817785527465</v>
      </c>
      <c r="DX91" s="398">
        <f t="shared" si="220"/>
        <v>0.24876293297345925</v>
      </c>
      <c r="DY91" s="578">
        <f t="shared" si="220"/>
        <v>0.2521511212305737</v>
      </c>
      <c r="DZ91" s="398">
        <f t="shared" si="220"/>
        <v>0.29215131510007342</v>
      </c>
      <c r="EA91" s="398">
        <f t="shared" si="220"/>
        <v>0.28584301161393666</v>
      </c>
      <c r="EB91" s="398">
        <f t="shared" ref="EB91:FG91" si="221">EB36/EB17</f>
        <v>0.28892529824381752</v>
      </c>
      <c r="EC91" s="398">
        <f t="shared" si="221"/>
        <v>0.28664894704559402</v>
      </c>
      <c r="ED91" s="398">
        <f t="shared" si="221"/>
        <v>0.27900497512437816</v>
      </c>
      <c r="EE91" s="398">
        <f t="shared" si="221"/>
        <v>0.28277531262605887</v>
      </c>
      <c r="EF91" s="578">
        <f t="shared" si="221"/>
        <v>0.28582679165714003</v>
      </c>
      <c r="EG91" s="398">
        <f t="shared" si="221"/>
        <v>0.28752898477669125</v>
      </c>
      <c r="EH91" s="398">
        <f t="shared" si="221"/>
        <v>0.27362614487926729</v>
      </c>
      <c r="EI91" s="398">
        <f t="shared" si="221"/>
        <v>0.28068827776924266</v>
      </c>
      <c r="EJ91" s="398">
        <f t="shared" si="221"/>
        <v>0.27493968320570655</v>
      </c>
      <c r="EK91" s="398">
        <f t="shared" si="221"/>
        <v>0.27709727225939262</v>
      </c>
      <c r="EL91" s="398">
        <f t="shared" si="221"/>
        <v>0.27602867830423933</v>
      </c>
      <c r="EM91" s="578">
        <f t="shared" si="221"/>
        <v>0.27837524177949707</v>
      </c>
      <c r="EN91" s="398">
        <f t="shared" ref="EN91:EP91" si="222">EN36/EN17</f>
        <v>0.25058339815535058</v>
      </c>
      <c r="EO91" s="398">
        <f t="shared" si="222"/>
        <v>0.25499148738585359</v>
      </c>
      <c r="EP91" s="398">
        <f t="shared" si="222"/>
        <v>0.2866291380467903</v>
      </c>
      <c r="EQ91" s="399">
        <f t="shared" ref="EQ91" si="223">EQ36/EQ17</f>
        <v>0.26609130504920148</v>
      </c>
      <c r="ER91" s="398">
        <f t="shared" si="221"/>
        <v>0.26619362120747431</v>
      </c>
      <c r="ES91" s="398">
        <f t="shared" si="221"/>
        <v>0.26491529913807393</v>
      </c>
      <c r="ET91" s="578">
        <f t="shared" si="221"/>
        <v>0.25805508217629403</v>
      </c>
      <c r="EU91" s="398">
        <f t="shared" si="221"/>
        <v>0.26691859239241339</v>
      </c>
      <c r="EV91" s="398">
        <f t="shared" si="221"/>
        <v>0.2630089286875178</v>
      </c>
      <c r="EW91" s="398">
        <f t="shared" si="221"/>
        <v>0.2649220029421635</v>
      </c>
      <c r="EX91" s="398">
        <f t="shared" si="221"/>
        <v>0.27798466762431179</v>
      </c>
      <c r="EY91" s="398">
        <f t="shared" si="221"/>
        <v>0.27728760251942114</v>
      </c>
      <c r="EZ91" s="398">
        <f t="shared" si="221"/>
        <v>0.27761982778024685</v>
      </c>
      <c r="FA91" s="578">
        <f t="shared" si="221"/>
        <v>0.27135497669671799</v>
      </c>
      <c r="FB91" s="398">
        <f t="shared" si="221"/>
        <v>0.27158430195342831</v>
      </c>
      <c r="FC91" s="398">
        <f t="shared" si="221"/>
        <v>0.26788779528075468</v>
      </c>
      <c r="FD91" s="398">
        <f t="shared" si="221"/>
        <v>0.2696848055244922</v>
      </c>
      <c r="FE91" s="398">
        <f t="shared" si="221"/>
        <v>0.28942203051043508</v>
      </c>
      <c r="FF91" s="398">
        <f t="shared" si="221"/>
        <v>0.28073862758327212</v>
      </c>
      <c r="FG91" s="398">
        <f t="shared" si="221"/>
        <v>0.28489226600149942</v>
      </c>
      <c r="FH91" s="578">
        <f t="shared" ref="FH91:FV91" si="224">FH36/FH17</f>
        <v>0.2773980617452762</v>
      </c>
      <c r="FI91" s="398">
        <f t="shared" si="224"/>
        <v>0.27955821522047769</v>
      </c>
      <c r="FJ91" s="398">
        <f t="shared" si="224"/>
        <v>0.27105193491207347</v>
      </c>
      <c r="FK91" s="398">
        <f t="shared" si="224"/>
        <v>0.27519678325940478</v>
      </c>
      <c r="FL91" s="398">
        <f t="shared" si="224"/>
        <v>0.29257064507447134</v>
      </c>
      <c r="FM91" s="398">
        <f t="shared" si="224"/>
        <v>0.28328967234903973</v>
      </c>
      <c r="FN91" s="398">
        <f t="shared" si="224"/>
        <v>0.28774403829414463</v>
      </c>
      <c r="FO91" s="578">
        <f t="shared" si="224"/>
        <v>0.28153818952716003</v>
      </c>
      <c r="FP91" s="398">
        <f t="shared" si="224"/>
        <v>0.28356206105277892</v>
      </c>
      <c r="FQ91" s="398">
        <f t="shared" si="224"/>
        <v>0.27690122197691358</v>
      </c>
      <c r="FR91" s="398">
        <f t="shared" si="224"/>
        <v>0.28013596911366329</v>
      </c>
      <c r="FS91" s="398">
        <f t="shared" si="224"/>
        <v>0.29724276923002924</v>
      </c>
      <c r="FT91" s="398">
        <f t="shared" si="224"/>
        <v>0.28693300450179554</v>
      </c>
      <c r="FU91" s="398">
        <f t="shared" si="224"/>
        <v>0.29189027944031304</v>
      </c>
      <c r="FV91" s="578">
        <f t="shared" si="224"/>
        <v>0.28608990236060461</v>
      </c>
    </row>
    <row r="92" spans="2:178" outlineLevel="1" x14ac:dyDescent="0.3">
      <c r="B92" s="396" t="s">
        <v>453</v>
      </c>
      <c r="C92" s="280"/>
    </row>
    <row r="93" spans="2:178" outlineLevel="1" x14ac:dyDescent="0.3">
      <c r="B93" s="279" t="s">
        <v>454</v>
      </c>
      <c r="C93" s="280" t="s">
        <v>226</v>
      </c>
      <c r="D93" s="281">
        <f t="shared" ref="D93:AI93" si="225">D67+D37</f>
        <v>91.399999999999991</v>
      </c>
      <c r="E93" s="281">
        <f t="shared" si="225"/>
        <v>79.5</v>
      </c>
      <c r="F93" s="281">
        <f t="shared" si="225"/>
        <v>174.10000000000002</v>
      </c>
      <c r="G93" s="281">
        <f t="shared" si="225"/>
        <v>70.000000000000014</v>
      </c>
      <c r="H93" s="281">
        <f t="shared" si="225"/>
        <v>69.099999999999994</v>
      </c>
      <c r="I93" s="281">
        <f t="shared" si="225"/>
        <v>139.80000000000001</v>
      </c>
      <c r="J93" s="281">
        <f t="shared" si="225"/>
        <v>280.50000000000006</v>
      </c>
      <c r="K93" s="281">
        <f t="shared" si="225"/>
        <v>95.399999999999991</v>
      </c>
      <c r="L93" s="281">
        <f t="shared" si="225"/>
        <v>89.2</v>
      </c>
      <c r="M93" s="281">
        <f t="shared" si="225"/>
        <v>184.60000000000002</v>
      </c>
      <c r="N93" s="281">
        <f t="shared" si="225"/>
        <v>62.8</v>
      </c>
      <c r="O93" s="281">
        <f t="shared" si="225"/>
        <v>66.3</v>
      </c>
      <c r="P93" s="281">
        <f t="shared" si="225"/>
        <v>129.1</v>
      </c>
      <c r="Q93" s="281">
        <f t="shared" si="225"/>
        <v>313.69999999999993</v>
      </c>
      <c r="R93" s="281">
        <f t="shared" si="225"/>
        <v>106.30000000000001</v>
      </c>
      <c r="S93" s="281">
        <f t="shared" si="225"/>
        <v>76.000000000000014</v>
      </c>
      <c r="T93" s="281">
        <f t="shared" si="225"/>
        <v>182.3</v>
      </c>
      <c r="U93" s="281">
        <f t="shared" si="225"/>
        <v>56.899999999999991</v>
      </c>
      <c r="V93" s="281">
        <f t="shared" si="225"/>
        <v>39.700000000000003</v>
      </c>
      <c r="W93" s="281">
        <f t="shared" si="225"/>
        <v>96.600000000000023</v>
      </c>
      <c r="X93" s="281">
        <f t="shared" si="225"/>
        <v>278.89999999999998</v>
      </c>
      <c r="Y93" s="281">
        <f t="shared" si="225"/>
        <v>63.499999999999986</v>
      </c>
      <c r="Z93" s="281">
        <f t="shared" si="225"/>
        <v>54.7</v>
      </c>
      <c r="AA93" s="281">
        <f t="shared" si="225"/>
        <v>118.19999999999999</v>
      </c>
      <c r="AB93" s="281">
        <f t="shared" si="225"/>
        <v>28.899999999999995</v>
      </c>
      <c r="AC93" s="281">
        <f t="shared" si="225"/>
        <v>14.399999999999999</v>
      </c>
      <c r="AD93" s="281">
        <f t="shared" si="225"/>
        <v>43.29999999999999</v>
      </c>
      <c r="AE93" s="281">
        <f t="shared" si="225"/>
        <v>161.5</v>
      </c>
      <c r="AF93" s="281">
        <f t="shared" si="225"/>
        <v>66.8</v>
      </c>
      <c r="AG93" s="281">
        <f t="shared" si="225"/>
        <v>58.500000000000007</v>
      </c>
      <c r="AH93" s="281">
        <f t="shared" si="225"/>
        <v>125.29999999999997</v>
      </c>
      <c r="AI93" s="281">
        <f t="shared" si="225"/>
        <v>41.9</v>
      </c>
      <c r="AJ93" s="281">
        <f t="shared" ref="AJ93:BO93" si="226">AJ67+AJ37</f>
        <v>33.799999999999983</v>
      </c>
      <c r="AK93" s="281">
        <f t="shared" si="226"/>
        <v>75.699999999999989</v>
      </c>
      <c r="AL93" s="281">
        <f t="shared" si="226"/>
        <v>200.99999999999997</v>
      </c>
      <c r="AM93" s="281">
        <f t="shared" si="226"/>
        <v>58.800000000000004</v>
      </c>
      <c r="AN93" s="281">
        <f t="shared" si="226"/>
        <v>37.199999999999996</v>
      </c>
      <c r="AO93" s="281">
        <f t="shared" si="226"/>
        <v>96</v>
      </c>
      <c r="AP93" s="281">
        <f t="shared" si="226"/>
        <v>30.9</v>
      </c>
      <c r="AQ93" s="281">
        <f t="shared" si="226"/>
        <v>44.699999999999996</v>
      </c>
      <c r="AR93" s="281">
        <f t="shared" si="226"/>
        <v>75.599999999999994</v>
      </c>
      <c r="AS93" s="281">
        <f t="shared" si="226"/>
        <v>171.6</v>
      </c>
      <c r="AT93" s="281">
        <f t="shared" si="226"/>
        <v>53.800000000000011</v>
      </c>
      <c r="AU93" s="281">
        <f t="shared" si="226"/>
        <v>55.8</v>
      </c>
      <c r="AV93" s="281">
        <f t="shared" si="226"/>
        <v>109.60000000000001</v>
      </c>
      <c r="AW93" s="281">
        <f t="shared" si="226"/>
        <v>37</v>
      </c>
      <c r="AX93" s="281">
        <f t="shared" si="226"/>
        <v>40.6</v>
      </c>
      <c r="AY93" s="281">
        <f t="shared" si="226"/>
        <v>77.599999999999994</v>
      </c>
      <c r="AZ93" s="281">
        <f t="shared" si="226"/>
        <v>187.20000000000005</v>
      </c>
      <c r="BA93" s="281">
        <f t="shared" si="226"/>
        <v>57.199999999999996</v>
      </c>
      <c r="BB93" s="281">
        <f t="shared" si="226"/>
        <v>50.8</v>
      </c>
      <c r="BC93" s="281">
        <f t="shared" si="226"/>
        <v>107.99999999999999</v>
      </c>
      <c r="BD93" s="281">
        <f t="shared" si="226"/>
        <v>33.900000000000006</v>
      </c>
      <c r="BE93" s="281">
        <f t="shared" si="226"/>
        <v>36.300000000000004</v>
      </c>
      <c r="BF93" s="281">
        <f t="shared" si="226"/>
        <v>70.199999999999989</v>
      </c>
      <c r="BG93" s="281">
        <f t="shared" si="226"/>
        <v>178.20000000000002</v>
      </c>
      <c r="BH93" s="281">
        <f t="shared" si="226"/>
        <v>66.600000000000009</v>
      </c>
      <c r="BI93" s="281">
        <f t="shared" si="226"/>
        <v>71.7</v>
      </c>
      <c r="BJ93" s="281">
        <f t="shared" si="226"/>
        <v>138.30000000000001</v>
      </c>
      <c r="BK93" s="281">
        <f t="shared" si="226"/>
        <v>55.400000000000006</v>
      </c>
      <c r="BL93" s="281">
        <f t="shared" si="226"/>
        <v>57.7</v>
      </c>
      <c r="BM93" s="281">
        <f t="shared" si="226"/>
        <v>113.09999999999998</v>
      </c>
      <c r="BN93" s="281">
        <f t="shared" si="226"/>
        <v>251.39999999999998</v>
      </c>
      <c r="BO93" s="281">
        <f t="shared" si="226"/>
        <v>66.599999999999994</v>
      </c>
      <c r="BP93" s="281">
        <f t="shared" ref="BP93:CU93" si="227">BP67+BP37</f>
        <v>83.500000000000014</v>
      </c>
      <c r="BQ93" s="281">
        <f t="shared" si="227"/>
        <v>150.10000000000002</v>
      </c>
      <c r="BR93" s="281">
        <f t="shared" si="227"/>
        <v>64.7</v>
      </c>
      <c r="BS93" s="281">
        <f t="shared" si="227"/>
        <v>75.400000000000006</v>
      </c>
      <c r="BT93" s="281">
        <f t="shared" si="227"/>
        <v>140.10000000000002</v>
      </c>
      <c r="BU93" s="281">
        <f t="shared" si="227"/>
        <v>290.2</v>
      </c>
      <c r="BV93" s="281">
        <f t="shared" si="227"/>
        <v>86.2</v>
      </c>
      <c r="BW93" s="281">
        <f t="shared" si="227"/>
        <v>88.300000000000026</v>
      </c>
      <c r="BX93" s="281">
        <f t="shared" si="227"/>
        <v>174.50000000000003</v>
      </c>
      <c r="BY93" s="281">
        <f t="shared" si="227"/>
        <v>77.300000000000011</v>
      </c>
      <c r="BZ93" s="281">
        <f t="shared" si="227"/>
        <v>75.899999999999977</v>
      </c>
      <c r="CA93" s="281">
        <f t="shared" si="227"/>
        <v>153.19999999999999</v>
      </c>
      <c r="CB93" s="281">
        <f t="shared" si="227"/>
        <v>325.60000000000008</v>
      </c>
      <c r="CC93" s="281">
        <f t="shared" si="227"/>
        <v>91.499999999999986</v>
      </c>
      <c r="CD93" s="281">
        <f t="shared" si="227"/>
        <v>99.500000000000014</v>
      </c>
      <c r="CE93" s="281">
        <f t="shared" si="227"/>
        <v>191.00000000000003</v>
      </c>
      <c r="CF93" s="281">
        <f t="shared" si="227"/>
        <v>67.90000000000002</v>
      </c>
      <c r="CG93" s="281">
        <f t="shared" si="227"/>
        <v>70.699999999999974</v>
      </c>
      <c r="CH93" s="281">
        <f t="shared" si="227"/>
        <v>138.6</v>
      </c>
      <c r="CI93" s="281">
        <f t="shared" si="227"/>
        <v>329.6</v>
      </c>
      <c r="CJ93" s="281">
        <f t="shared" si="227"/>
        <v>81.5</v>
      </c>
      <c r="CK93" s="281">
        <f t="shared" si="227"/>
        <v>96.4</v>
      </c>
      <c r="CL93" s="281">
        <f t="shared" si="227"/>
        <v>177.89999999999998</v>
      </c>
      <c r="CM93" s="281">
        <f t="shared" si="227"/>
        <v>88.899999999999977</v>
      </c>
      <c r="CN93" s="281">
        <f t="shared" si="227"/>
        <v>95.000000000000028</v>
      </c>
      <c r="CO93" s="281">
        <f t="shared" si="227"/>
        <v>183.89999999999998</v>
      </c>
      <c r="CP93" s="281">
        <f t="shared" si="227"/>
        <v>361.79999999999995</v>
      </c>
      <c r="CQ93" s="281">
        <f t="shared" si="227"/>
        <v>96.4</v>
      </c>
      <c r="CR93" s="281">
        <f t="shared" si="227"/>
        <v>94.000000000000014</v>
      </c>
      <c r="CS93" s="281">
        <f t="shared" si="227"/>
        <v>190.4</v>
      </c>
      <c r="CT93" s="281">
        <f t="shared" si="227"/>
        <v>75.999999999999986</v>
      </c>
      <c r="CU93" s="281">
        <f t="shared" si="227"/>
        <v>86.199999999999989</v>
      </c>
      <c r="CV93" s="281">
        <f t="shared" ref="CV93:EA93" si="228">CV67+CV37</f>
        <v>162.19999999999999</v>
      </c>
      <c r="CW93" s="281">
        <f t="shared" si="228"/>
        <v>352.6</v>
      </c>
      <c r="CX93" s="281">
        <f t="shared" si="228"/>
        <v>110.30000000000004</v>
      </c>
      <c r="CY93" s="281">
        <f t="shared" si="228"/>
        <v>119.69999999999997</v>
      </c>
      <c r="CZ93" s="281">
        <f t="shared" si="228"/>
        <v>229.99999999999997</v>
      </c>
      <c r="DA93" s="281">
        <f t="shared" si="228"/>
        <v>93.4</v>
      </c>
      <c r="DB93" s="281">
        <f t="shared" si="228"/>
        <v>107.69999999999997</v>
      </c>
      <c r="DC93" s="281">
        <f t="shared" si="228"/>
        <v>201.10000000000002</v>
      </c>
      <c r="DD93" s="575">
        <f t="shared" si="228"/>
        <v>431.1</v>
      </c>
      <c r="DE93" s="281">
        <f t="shared" si="228"/>
        <v>112.40000000000002</v>
      </c>
      <c r="DF93" s="281">
        <f t="shared" si="228"/>
        <v>150.1</v>
      </c>
      <c r="DG93" s="281">
        <f t="shared" si="228"/>
        <v>262.5</v>
      </c>
      <c r="DH93" s="281">
        <f t="shared" si="228"/>
        <v>154.19999999999999</v>
      </c>
      <c r="DI93" s="281">
        <f t="shared" si="228"/>
        <v>151</v>
      </c>
      <c r="DJ93" s="281">
        <f t="shared" si="228"/>
        <v>305.20000000000005</v>
      </c>
      <c r="DK93" s="575">
        <f t="shared" si="228"/>
        <v>567.70000000000016</v>
      </c>
      <c r="DL93" s="339">
        <f t="shared" si="228"/>
        <v>170.10000000000002</v>
      </c>
      <c r="DM93" s="281">
        <f t="shared" si="228"/>
        <v>195.79999999999998</v>
      </c>
      <c r="DN93" s="281">
        <f t="shared" si="228"/>
        <v>365.90000000000003</v>
      </c>
      <c r="DO93" s="281">
        <f t="shared" si="228"/>
        <v>193.50000000000003</v>
      </c>
      <c r="DP93" s="281">
        <f t="shared" si="228"/>
        <v>216.10000000000002</v>
      </c>
      <c r="DQ93" s="281">
        <f t="shared" si="228"/>
        <v>409.30000000000007</v>
      </c>
      <c r="DR93" s="575">
        <f t="shared" si="228"/>
        <v>775.19999999999993</v>
      </c>
      <c r="DS93" s="281">
        <f t="shared" si="228"/>
        <v>199.20000000000002</v>
      </c>
      <c r="DT93" s="281">
        <f t="shared" si="228"/>
        <v>208.8</v>
      </c>
      <c r="DU93" s="281">
        <f t="shared" si="228"/>
        <v>408.00000000000006</v>
      </c>
      <c r="DV93" s="281">
        <f t="shared" si="228"/>
        <v>158.39999999999998</v>
      </c>
      <c r="DW93" s="281">
        <f t="shared" si="228"/>
        <v>178.4</v>
      </c>
      <c r="DX93" s="281">
        <f t="shared" si="228"/>
        <v>349.69999999999993</v>
      </c>
      <c r="DY93" s="575">
        <f t="shared" si="228"/>
        <v>757.69999999999993</v>
      </c>
      <c r="DZ93" s="281">
        <f t="shared" si="228"/>
        <v>226.10000000000002</v>
      </c>
      <c r="EA93" s="281">
        <f t="shared" si="228"/>
        <v>235.19999999999993</v>
      </c>
      <c r="EB93" s="281">
        <f t="shared" ref="EB93:FG93" si="229">EB67+EB37</f>
        <v>461.2999999999999</v>
      </c>
      <c r="EC93" s="281">
        <f t="shared" si="229"/>
        <v>229.40000000000003</v>
      </c>
      <c r="ED93" s="281">
        <f t="shared" si="229"/>
        <v>228.50000000000006</v>
      </c>
      <c r="EE93" s="281">
        <f t="shared" si="229"/>
        <v>457.90000000000003</v>
      </c>
      <c r="EF93" s="575">
        <f t="shared" si="229"/>
        <v>919.20000000000016</v>
      </c>
      <c r="EG93" s="281">
        <f t="shared" si="229"/>
        <v>231.5</v>
      </c>
      <c r="EH93" s="281">
        <f t="shared" si="229"/>
        <v>206.29999999999993</v>
      </c>
      <c r="EI93" s="281">
        <f>EI67+EI37</f>
        <v>437.80000000000007</v>
      </c>
      <c r="EJ93" s="281">
        <f>EJ67+EJ37</f>
        <v>200.5</v>
      </c>
      <c r="EK93" s="281">
        <f>EK67+EK37</f>
        <v>204.29999999999998</v>
      </c>
      <c r="EL93" s="281">
        <f>EL67+EL37</f>
        <v>404.79999999999995</v>
      </c>
      <c r="EM93" s="575">
        <f>EM67+EM37</f>
        <v>842.6</v>
      </c>
      <c r="EN93" s="281">
        <f t="shared" ref="EN93:EO93" si="230">EN67+EN37</f>
        <v>164</v>
      </c>
      <c r="EO93" s="281">
        <f t="shared" si="230"/>
        <v>184</v>
      </c>
      <c r="EP93" s="281">
        <f>EP67+EP37</f>
        <v>337.20000000000005</v>
      </c>
      <c r="EQ93" s="339">
        <f t="shared" ref="EQ93" si="231">EQ67+EQ37</f>
        <v>171.9</v>
      </c>
      <c r="ER93" s="281">
        <f t="shared" si="229"/>
        <v>215.39013157432223</v>
      </c>
      <c r="ES93" s="281">
        <f t="shared" si="229"/>
        <v>402.05625325225282</v>
      </c>
      <c r="ET93" s="575">
        <f t="shared" si="229"/>
        <v>723.78199303529095</v>
      </c>
      <c r="EU93" s="281">
        <f t="shared" si="229"/>
        <v>231.61955134833732</v>
      </c>
      <c r="EV93" s="281">
        <f t="shared" si="229"/>
        <v>229.50474255733769</v>
      </c>
      <c r="EW93" s="281">
        <f t="shared" si="229"/>
        <v>460.85928838753728</v>
      </c>
      <c r="EX93" s="281">
        <f t="shared" si="229"/>
        <v>242.89247745903887</v>
      </c>
      <c r="EY93" s="281">
        <f t="shared" si="229"/>
        <v>284.57396112062213</v>
      </c>
      <c r="EZ93" s="281">
        <f t="shared" si="229"/>
        <v>527.18878613729748</v>
      </c>
      <c r="FA93" s="575">
        <f t="shared" si="229"/>
        <v>987.77688767080929</v>
      </c>
      <c r="FB93" s="281">
        <f t="shared" si="229"/>
        <v>279.53832165424359</v>
      </c>
      <c r="FC93" s="281">
        <f t="shared" si="229"/>
        <v>284.96513186880793</v>
      </c>
      <c r="FD93" s="281">
        <f t="shared" si="229"/>
        <v>564.23366623134189</v>
      </c>
      <c r="FE93" s="281">
        <f t="shared" si="229"/>
        <v>308.72602406859409</v>
      </c>
      <c r="FF93" s="281">
        <f t="shared" si="229"/>
        <v>340.09724359941839</v>
      </c>
      <c r="FG93" s="281">
        <f t="shared" si="229"/>
        <v>648.53799927592036</v>
      </c>
      <c r="FH93" s="575">
        <f t="shared" ref="FH93:FV93" si="232">FH67+FH37</f>
        <v>1212.4944864974814</v>
      </c>
      <c r="FI93" s="281">
        <f t="shared" si="232"/>
        <v>334.57101254798005</v>
      </c>
      <c r="FJ93" s="281">
        <f t="shared" si="232"/>
        <v>332.28985203666593</v>
      </c>
      <c r="FK93" s="281">
        <f t="shared" si="232"/>
        <v>666.58545121777286</v>
      </c>
      <c r="FL93" s="281">
        <f t="shared" si="232"/>
        <v>356.23063279639479</v>
      </c>
      <c r="FM93" s="281">
        <f t="shared" si="232"/>
        <v>386.26497634111007</v>
      </c>
      <c r="FN93" s="281">
        <f t="shared" si="232"/>
        <v>742.2074928583753</v>
      </c>
      <c r="FO93" s="575">
        <f t="shared" si="232"/>
        <v>1408.5115414441218</v>
      </c>
      <c r="FP93" s="281">
        <f t="shared" si="232"/>
        <v>385.32752727474445</v>
      </c>
      <c r="FQ93" s="281">
        <f t="shared" si="232"/>
        <v>391.27260896763028</v>
      </c>
      <c r="FR93" s="281">
        <f t="shared" si="232"/>
        <v>776.31980892845866</v>
      </c>
      <c r="FS93" s="281">
        <f t="shared" si="232"/>
        <v>415.61068520329849</v>
      </c>
      <c r="FT93" s="281">
        <f t="shared" si="232"/>
        <v>445.02519928912903</v>
      </c>
      <c r="FU93" s="281">
        <f t="shared" si="232"/>
        <v>860.34359899813603</v>
      </c>
      <c r="FV93" s="575">
        <f t="shared" si="232"/>
        <v>1636.3774715804016</v>
      </c>
    </row>
    <row r="94" spans="2:178" outlineLevel="1" x14ac:dyDescent="0.3">
      <c r="B94" s="279" t="s">
        <v>455</v>
      </c>
      <c r="C94" s="280" t="s">
        <v>226</v>
      </c>
      <c r="D94" s="289">
        <v>0</v>
      </c>
      <c r="E94" s="289">
        <v>0</v>
      </c>
      <c r="F94" s="289">
        <v>0</v>
      </c>
      <c r="G94" s="289">
        <v>0</v>
      </c>
      <c r="H94" s="289">
        <v>0</v>
      </c>
      <c r="I94" s="289">
        <v>0</v>
      </c>
      <c r="J94" s="289">
        <v>0</v>
      </c>
      <c r="K94" s="289">
        <v>0</v>
      </c>
      <c r="L94" s="289">
        <v>0</v>
      </c>
      <c r="M94" s="289">
        <v>0</v>
      </c>
      <c r="N94" s="289">
        <v>0</v>
      </c>
      <c r="O94" s="289">
        <v>0</v>
      </c>
      <c r="P94" s="289">
        <v>0</v>
      </c>
      <c r="Q94" s="289">
        <v>0</v>
      </c>
      <c r="R94" s="289">
        <v>0</v>
      </c>
      <c r="S94" s="289">
        <v>0</v>
      </c>
      <c r="T94" s="289">
        <v>0</v>
      </c>
      <c r="U94" s="289">
        <v>0</v>
      </c>
      <c r="V94" s="289">
        <v>0</v>
      </c>
      <c r="W94" s="289">
        <v>0</v>
      </c>
      <c r="X94" s="289">
        <v>0</v>
      </c>
      <c r="Y94" s="289">
        <v>0</v>
      </c>
      <c r="Z94" s="289">
        <v>0</v>
      </c>
      <c r="AA94" s="289">
        <v>0</v>
      </c>
      <c r="AB94" s="289">
        <v>0</v>
      </c>
      <c r="AC94" s="289">
        <v>0</v>
      </c>
      <c r="AD94" s="289">
        <v>0</v>
      </c>
      <c r="AE94" s="289">
        <v>0</v>
      </c>
      <c r="AF94" s="289">
        <v>0</v>
      </c>
      <c r="AG94" s="289">
        <v>0</v>
      </c>
      <c r="AH94" s="289">
        <v>0</v>
      </c>
      <c r="AI94" s="289">
        <v>0</v>
      </c>
      <c r="AJ94" s="289">
        <v>0</v>
      </c>
      <c r="AK94" s="289">
        <v>0</v>
      </c>
      <c r="AL94" s="289">
        <v>0</v>
      </c>
      <c r="AM94" s="289">
        <v>0</v>
      </c>
      <c r="AN94" s="289">
        <v>0</v>
      </c>
      <c r="AO94" s="289">
        <v>0</v>
      </c>
      <c r="AP94" s="289">
        <v>0</v>
      </c>
      <c r="AQ94" s="289">
        <v>0</v>
      </c>
      <c r="AR94" s="289">
        <v>0</v>
      </c>
      <c r="AS94" s="289">
        <v>0</v>
      </c>
      <c r="AT94" s="289">
        <v>0</v>
      </c>
      <c r="AU94" s="289">
        <v>0</v>
      </c>
      <c r="AV94" s="289">
        <v>0</v>
      </c>
      <c r="AW94" s="289">
        <v>0</v>
      </c>
      <c r="AX94" s="289">
        <v>0</v>
      </c>
      <c r="AY94" s="289">
        <v>0</v>
      </c>
      <c r="AZ94" s="289">
        <v>0</v>
      </c>
      <c r="BA94" s="289">
        <v>0</v>
      </c>
      <c r="BB94" s="289">
        <v>0</v>
      </c>
      <c r="BC94" s="289">
        <v>0</v>
      </c>
      <c r="BD94" s="289">
        <v>0</v>
      </c>
      <c r="BE94" s="289">
        <v>0</v>
      </c>
      <c r="BF94" s="289">
        <v>0</v>
      </c>
      <c r="BG94" s="289">
        <v>0</v>
      </c>
      <c r="BH94" s="289">
        <v>0</v>
      </c>
      <c r="BI94" s="289">
        <v>0</v>
      </c>
      <c r="BJ94" s="289">
        <v>0</v>
      </c>
      <c r="BK94" s="289">
        <v>0</v>
      </c>
      <c r="BL94" s="289">
        <v>0</v>
      </c>
      <c r="BM94" s="289">
        <v>0</v>
      </c>
      <c r="BN94" s="289">
        <v>0</v>
      </c>
      <c r="BO94" s="289">
        <v>0</v>
      </c>
      <c r="BP94" s="289">
        <v>0</v>
      </c>
      <c r="BQ94" s="289">
        <v>0</v>
      </c>
      <c r="BR94" s="289">
        <v>0</v>
      </c>
      <c r="BS94" s="289">
        <v>0</v>
      </c>
      <c r="BT94" s="289">
        <v>0</v>
      </c>
      <c r="BU94" s="289">
        <v>0</v>
      </c>
      <c r="BV94" s="289">
        <v>0</v>
      </c>
      <c r="BW94" s="289">
        <v>0</v>
      </c>
      <c r="BX94" s="289">
        <v>0</v>
      </c>
      <c r="BY94" s="289">
        <v>0</v>
      </c>
      <c r="BZ94" s="289">
        <v>0</v>
      </c>
      <c r="CA94" s="289">
        <v>0</v>
      </c>
      <c r="CB94" s="289">
        <v>0</v>
      </c>
      <c r="CC94" s="289">
        <v>0</v>
      </c>
      <c r="CD94" s="289">
        <v>0</v>
      </c>
      <c r="CE94" s="289">
        <v>0</v>
      </c>
      <c r="CF94" s="289">
        <v>0</v>
      </c>
      <c r="CG94" s="289">
        <v>0</v>
      </c>
      <c r="CH94" s="289">
        <v>0</v>
      </c>
      <c r="CI94" s="289">
        <v>0</v>
      </c>
      <c r="CJ94" s="289">
        <v>0</v>
      </c>
      <c r="CK94" s="289">
        <v>0</v>
      </c>
      <c r="CL94" s="289">
        <v>0</v>
      </c>
      <c r="CM94" s="289">
        <v>0</v>
      </c>
      <c r="CN94" s="289">
        <v>0</v>
      </c>
      <c r="CO94" s="289">
        <v>0</v>
      </c>
      <c r="CP94" s="289">
        <v>0</v>
      </c>
      <c r="CQ94" s="289">
        <v>0</v>
      </c>
      <c r="CR94" s="289">
        <v>0</v>
      </c>
      <c r="CS94" s="289">
        <v>0</v>
      </c>
      <c r="CT94" s="289">
        <v>0</v>
      </c>
      <c r="CU94" s="289">
        <v>0</v>
      </c>
      <c r="CV94" s="289">
        <v>0</v>
      </c>
      <c r="CW94" s="289">
        <v>0</v>
      </c>
      <c r="CX94" s="289">
        <v>0</v>
      </c>
      <c r="CY94" s="289">
        <v>0</v>
      </c>
      <c r="CZ94" s="289">
        <v>0</v>
      </c>
      <c r="DA94" s="289">
        <v>0</v>
      </c>
      <c r="DB94" s="289">
        <v>0</v>
      </c>
      <c r="DC94" s="289">
        <v>0</v>
      </c>
      <c r="DD94" s="580">
        <v>0</v>
      </c>
      <c r="DE94" s="289">
        <v>0</v>
      </c>
      <c r="DF94" s="289">
        <v>0</v>
      </c>
      <c r="DG94" s="289">
        <v>0</v>
      </c>
      <c r="DH94" s="289">
        <v>0</v>
      </c>
      <c r="DI94" s="289">
        <v>0</v>
      </c>
      <c r="DJ94" s="289">
        <v>0</v>
      </c>
      <c r="DK94" s="580">
        <v>0</v>
      </c>
      <c r="DL94" s="400">
        <v>0</v>
      </c>
      <c r="DM94" s="289">
        <v>0</v>
      </c>
      <c r="DN94" s="289">
        <v>0</v>
      </c>
      <c r="DO94" s="289">
        <v>0</v>
      </c>
      <c r="DP94" s="289">
        <v>0</v>
      </c>
      <c r="DQ94" s="289">
        <v>0</v>
      </c>
      <c r="DR94" s="580">
        <v>0</v>
      </c>
      <c r="DS94" s="289">
        <v>0</v>
      </c>
      <c r="DT94" s="289">
        <v>0</v>
      </c>
      <c r="DU94" s="289">
        <v>0</v>
      </c>
      <c r="DV94" s="289">
        <v>0</v>
      </c>
      <c r="DW94" s="289">
        <v>0</v>
      </c>
      <c r="DX94" s="289">
        <v>0</v>
      </c>
      <c r="DY94" s="580">
        <v>0</v>
      </c>
      <c r="DZ94" s="289">
        <v>0</v>
      </c>
      <c r="EA94" s="289">
        <v>0</v>
      </c>
      <c r="EB94" s="289">
        <v>0</v>
      </c>
      <c r="EC94" s="289"/>
      <c r="ED94" s="289">
        <v>0</v>
      </c>
      <c r="EE94" s="289">
        <v>0</v>
      </c>
      <c r="EF94" s="580">
        <v>0</v>
      </c>
      <c r="EG94" s="289">
        <v>0</v>
      </c>
      <c r="EH94" s="289">
        <v>0</v>
      </c>
      <c r="EI94" s="289">
        <v>0</v>
      </c>
      <c r="EJ94" s="289"/>
      <c r="EK94" s="289">
        <v>0</v>
      </c>
      <c r="EL94" s="289">
        <v>0</v>
      </c>
      <c r="EM94" s="580">
        <v>0</v>
      </c>
      <c r="EN94" s="289">
        <v>0</v>
      </c>
      <c r="EO94" s="289">
        <v>0</v>
      </c>
      <c r="EP94" s="289">
        <v>0</v>
      </c>
      <c r="EQ94" s="400">
        <v>0</v>
      </c>
      <c r="ER94" s="401">
        <v>0</v>
      </c>
      <c r="ES94" s="401">
        <v>0</v>
      </c>
      <c r="ET94" s="599">
        <v>0</v>
      </c>
      <c r="EU94" s="401">
        <v>0</v>
      </c>
      <c r="EV94" s="401">
        <v>0</v>
      </c>
      <c r="EW94" s="401">
        <v>0</v>
      </c>
      <c r="EX94" s="401">
        <v>0</v>
      </c>
      <c r="EY94" s="401">
        <v>0</v>
      </c>
      <c r="EZ94" s="401">
        <v>0</v>
      </c>
      <c r="FA94" s="599">
        <v>0</v>
      </c>
      <c r="FB94" s="401">
        <v>0</v>
      </c>
      <c r="FC94" s="401">
        <v>0</v>
      </c>
      <c r="FD94" s="401">
        <v>0</v>
      </c>
      <c r="FE94" s="401">
        <v>0</v>
      </c>
      <c r="FF94" s="401">
        <v>0</v>
      </c>
      <c r="FG94" s="401">
        <v>0</v>
      </c>
      <c r="FH94" s="599">
        <v>0</v>
      </c>
      <c r="FI94" s="401">
        <v>0</v>
      </c>
      <c r="FJ94" s="401">
        <v>0</v>
      </c>
      <c r="FK94" s="401">
        <v>0</v>
      </c>
      <c r="FL94" s="401">
        <v>0</v>
      </c>
      <c r="FM94" s="401">
        <v>0</v>
      </c>
      <c r="FN94" s="401">
        <v>0</v>
      </c>
      <c r="FO94" s="599">
        <v>0</v>
      </c>
      <c r="FP94" s="401">
        <v>0</v>
      </c>
      <c r="FQ94" s="401">
        <v>0</v>
      </c>
      <c r="FR94" s="401">
        <v>0</v>
      </c>
      <c r="FS94" s="401">
        <v>0</v>
      </c>
      <c r="FT94" s="401">
        <v>0</v>
      </c>
      <c r="FU94" s="401">
        <v>0</v>
      </c>
      <c r="FV94" s="599">
        <v>0</v>
      </c>
    </row>
    <row r="95" spans="2:178" outlineLevel="1" x14ac:dyDescent="0.3">
      <c r="B95" s="247" t="s">
        <v>456</v>
      </c>
      <c r="C95" s="304" t="s">
        <v>226</v>
      </c>
      <c r="D95" s="305">
        <f>SUM(D93:D94)</f>
        <v>91.399999999999991</v>
      </c>
      <c r="E95" s="305">
        <f t="shared" ref="E95:AM95" si="233">SUM(E93:E94)</f>
        <v>79.5</v>
      </c>
      <c r="F95" s="305">
        <f t="shared" si="233"/>
        <v>174.10000000000002</v>
      </c>
      <c r="G95" s="305">
        <f t="shared" si="233"/>
        <v>70.000000000000014</v>
      </c>
      <c r="H95" s="305">
        <f t="shared" si="233"/>
        <v>69.099999999999994</v>
      </c>
      <c r="I95" s="305">
        <f t="shared" si="233"/>
        <v>139.80000000000001</v>
      </c>
      <c r="J95" s="305">
        <f t="shared" si="233"/>
        <v>280.50000000000006</v>
      </c>
      <c r="K95" s="305">
        <f t="shared" si="233"/>
        <v>95.399999999999991</v>
      </c>
      <c r="L95" s="305">
        <f t="shared" si="233"/>
        <v>89.2</v>
      </c>
      <c r="M95" s="305">
        <f t="shared" si="233"/>
        <v>184.60000000000002</v>
      </c>
      <c r="N95" s="305">
        <f t="shared" si="233"/>
        <v>62.8</v>
      </c>
      <c r="O95" s="305">
        <f t="shared" si="233"/>
        <v>66.3</v>
      </c>
      <c r="P95" s="305">
        <f t="shared" si="233"/>
        <v>129.1</v>
      </c>
      <c r="Q95" s="305">
        <f t="shared" si="233"/>
        <v>313.69999999999993</v>
      </c>
      <c r="R95" s="305">
        <f t="shared" si="233"/>
        <v>106.30000000000001</v>
      </c>
      <c r="S95" s="305">
        <f t="shared" si="233"/>
        <v>76.000000000000014</v>
      </c>
      <c r="T95" s="305">
        <f t="shared" si="233"/>
        <v>182.3</v>
      </c>
      <c r="U95" s="305">
        <f t="shared" si="233"/>
        <v>56.899999999999991</v>
      </c>
      <c r="V95" s="305">
        <f t="shared" si="233"/>
        <v>39.700000000000003</v>
      </c>
      <c r="W95" s="305">
        <f t="shared" si="233"/>
        <v>96.600000000000023</v>
      </c>
      <c r="X95" s="305">
        <f t="shared" si="233"/>
        <v>278.89999999999998</v>
      </c>
      <c r="Y95" s="305">
        <f t="shared" si="233"/>
        <v>63.499999999999986</v>
      </c>
      <c r="Z95" s="305">
        <f t="shared" si="233"/>
        <v>54.7</v>
      </c>
      <c r="AA95" s="305">
        <f t="shared" si="233"/>
        <v>118.19999999999999</v>
      </c>
      <c r="AB95" s="305">
        <f t="shared" si="233"/>
        <v>28.899999999999995</v>
      </c>
      <c r="AC95" s="305">
        <f t="shared" si="233"/>
        <v>14.399999999999999</v>
      </c>
      <c r="AD95" s="305">
        <f t="shared" si="233"/>
        <v>43.29999999999999</v>
      </c>
      <c r="AE95" s="305">
        <f t="shared" si="233"/>
        <v>161.5</v>
      </c>
      <c r="AF95" s="305">
        <f t="shared" si="233"/>
        <v>66.8</v>
      </c>
      <c r="AG95" s="305">
        <f t="shared" si="233"/>
        <v>58.500000000000007</v>
      </c>
      <c r="AH95" s="305">
        <f t="shared" si="233"/>
        <v>125.29999999999997</v>
      </c>
      <c r="AI95" s="305">
        <f t="shared" si="233"/>
        <v>41.9</v>
      </c>
      <c r="AJ95" s="305">
        <f t="shared" si="233"/>
        <v>33.799999999999983</v>
      </c>
      <c r="AK95" s="305">
        <f t="shared" si="233"/>
        <v>75.699999999999989</v>
      </c>
      <c r="AL95" s="305">
        <f t="shared" si="233"/>
        <v>200.99999999999997</v>
      </c>
      <c r="AM95" s="305">
        <f t="shared" si="233"/>
        <v>58.800000000000004</v>
      </c>
      <c r="AN95" s="305">
        <f>SUM(AN93:AN94)</f>
        <v>37.199999999999996</v>
      </c>
      <c r="AO95" s="305">
        <f>AN95+AM95</f>
        <v>96</v>
      </c>
      <c r="AP95" s="305">
        <f t="shared" ref="AP95:DA95" si="234">SUM(AP93:AP94)</f>
        <v>30.9</v>
      </c>
      <c r="AQ95" s="305">
        <f t="shared" si="234"/>
        <v>44.699999999999996</v>
      </c>
      <c r="AR95" s="305">
        <f t="shared" si="234"/>
        <v>75.599999999999994</v>
      </c>
      <c r="AS95" s="305">
        <f t="shared" si="234"/>
        <v>171.6</v>
      </c>
      <c r="AT95" s="305">
        <f t="shared" si="234"/>
        <v>53.800000000000011</v>
      </c>
      <c r="AU95" s="305">
        <f t="shared" si="234"/>
        <v>55.8</v>
      </c>
      <c r="AV95" s="305">
        <f t="shared" si="234"/>
        <v>109.60000000000001</v>
      </c>
      <c r="AW95" s="305">
        <f t="shared" si="234"/>
        <v>37</v>
      </c>
      <c r="AX95" s="305">
        <f t="shared" si="234"/>
        <v>40.6</v>
      </c>
      <c r="AY95" s="305">
        <f t="shared" si="234"/>
        <v>77.599999999999994</v>
      </c>
      <c r="AZ95" s="305">
        <f t="shared" si="234"/>
        <v>187.20000000000005</v>
      </c>
      <c r="BA95" s="305">
        <f t="shared" si="234"/>
        <v>57.199999999999996</v>
      </c>
      <c r="BB95" s="305">
        <f t="shared" si="234"/>
        <v>50.8</v>
      </c>
      <c r="BC95" s="305">
        <f t="shared" si="234"/>
        <v>107.99999999999999</v>
      </c>
      <c r="BD95" s="305">
        <f t="shared" si="234"/>
        <v>33.900000000000006</v>
      </c>
      <c r="BE95" s="305">
        <f t="shared" si="234"/>
        <v>36.300000000000004</v>
      </c>
      <c r="BF95" s="305">
        <f t="shared" si="234"/>
        <v>70.199999999999989</v>
      </c>
      <c r="BG95" s="305">
        <f t="shared" si="234"/>
        <v>178.20000000000002</v>
      </c>
      <c r="BH95" s="305">
        <f t="shared" si="234"/>
        <v>66.600000000000009</v>
      </c>
      <c r="BI95" s="305">
        <f t="shared" si="234"/>
        <v>71.7</v>
      </c>
      <c r="BJ95" s="305">
        <f t="shared" si="234"/>
        <v>138.30000000000001</v>
      </c>
      <c r="BK95" s="305">
        <f t="shared" si="234"/>
        <v>55.400000000000006</v>
      </c>
      <c r="BL95" s="305">
        <f t="shared" si="234"/>
        <v>57.7</v>
      </c>
      <c r="BM95" s="305">
        <f t="shared" si="234"/>
        <v>113.09999999999998</v>
      </c>
      <c r="BN95" s="305">
        <f t="shared" si="234"/>
        <v>251.39999999999998</v>
      </c>
      <c r="BO95" s="305">
        <f t="shared" si="234"/>
        <v>66.599999999999994</v>
      </c>
      <c r="BP95" s="305">
        <f t="shared" si="234"/>
        <v>83.500000000000014</v>
      </c>
      <c r="BQ95" s="305">
        <f t="shared" si="234"/>
        <v>150.10000000000002</v>
      </c>
      <c r="BR95" s="305">
        <f t="shared" si="234"/>
        <v>64.7</v>
      </c>
      <c r="BS95" s="305">
        <f t="shared" si="234"/>
        <v>75.400000000000006</v>
      </c>
      <c r="BT95" s="305">
        <f t="shared" si="234"/>
        <v>140.10000000000002</v>
      </c>
      <c r="BU95" s="305">
        <f t="shared" si="234"/>
        <v>290.2</v>
      </c>
      <c r="BV95" s="305">
        <f t="shared" si="234"/>
        <v>86.2</v>
      </c>
      <c r="BW95" s="305">
        <f t="shared" si="234"/>
        <v>88.300000000000026</v>
      </c>
      <c r="BX95" s="305">
        <f t="shared" si="234"/>
        <v>174.50000000000003</v>
      </c>
      <c r="BY95" s="305">
        <f t="shared" si="234"/>
        <v>77.300000000000011</v>
      </c>
      <c r="BZ95" s="305">
        <f t="shared" si="234"/>
        <v>75.899999999999977</v>
      </c>
      <c r="CA95" s="305">
        <f t="shared" si="234"/>
        <v>153.19999999999999</v>
      </c>
      <c r="CB95" s="305">
        <f t="shared" si="234"/>
        <v>325.60000000000008</v>
      </c>
      <c r="CC95" s="305">
        <f>SUM(CC93:CC94)</f>
        <v>91.499999999999986</v>
      </c>
      <c r="CD95" s="305">
        <f t="shared" si="234"/>
        <v>99.500000000000014</v>
      </c>
      <c r="CE95" s="305">
        <f t="shared" si="234"/>
        <v>191.00000000000003</v>
      </c>
      <c r="CF95" s="305">
        <f t="shared" si="234"/>
        <v>67.90000000000002</v>
      </c>
      <c r="CG95" s="305">
        <f t="shared" si="234"/>
        <v>70.699999999999974</v>
      </c>
      <c r="CH95" s="305">
        <f t="shared" si="234"/>
        <v>138.6</v>
      </c>
      <c r="CI95" s="305">
        <f>SUM(CI93:CI94)</f>
        <v>329.6</v>
      </c>
      <c r="CJ95" s="305">
        <f t="shared" si="234"/>
        <v>81.5</v>
      </c>
      <c r="CK95" s="305">
        <f t="shared" si="234"/>
        <v>96.4</v>
      </c>
      <c r="CL95" s="305">
        <f t="shared" si="234"/>
        <v>177.89999999999998</v>
      </c>
      <c r="CM95" s="305">
        <f>SUM(CM93:CM94)</f>
        <v>88.899999999999977</v>
      </c>
      <c r="CN95" s="305">
        <f>SUM(CN93:CN94)</f>
        <v>95.000000000000028</v>
      </c>
      <c r="CO95" s="305">
        <f>SUM(CO93:CO94)</f>
        <v>183.89999999999998</v>
      </c>
      <c r="CP95" s="305">
        <f>SUM(CP93:CP94)</f>
        <v>361.79999999999995</v>
      </c>
      <c r="CQ95" s="305">
        <f>SUM(CQ93:CQ94)</f>
        <v>96.4</v>
      </c>
      <c r="CR95" s="305">
        <f t="shared" si="234"/>
        <v>94.000000000000014</v>
      </c>
      <c r="CS95" s="305">
        <f t="shared" si="234"/>
        <v>190.4</v>
      </c>
      <c r="CT95" s="305">
        <f t="shared" si="234"/>
        <v>75.999999999999986</v>
      </c>
      <c r="CU95" s="305">
        <f t="shared" si="234"/>
        <v>86.199999999999989</v>
      </c>
      <c r="CV95" s="305">
        <f t="shared" si="234"/>
        <v>162.19999999999999</v>
      </c>
      <c r="CW95" s="305">
        <f t="shared" si="234"/>
        <v>352.6</v>
      </c>
      <c r="CX95" s="305">
        <f t="shared" si="234"/>
        <v>110.30000000000004</v>
      </c>
      <c r="CY95" s="305">
        <f t="shared" si="234"/>
        <v>119.69999999999997</v>
      </c>
      <c r="CZ95" s="305">
        <f t="shared" si="234"/>
        <v>229.99999999999997</v>
      </c>
      <c r="DA95" s="305">
        <f t="shared" si="234"/>
        <v>93.4</v>
      </c>
      <c r="DB95" s="305">
        <f>SUM(DB93:DB94)</f>
        <v>107.69999999999997</v>
      </c>
      <c r="DC95" s="305">
        <f>SUM(DC93:DC94)</f>
        <v>201.10000000000002</v>
      </c>
      <c r="DD95" s="574">
        <f>SUM(DD93:DD94)</f>
        <v>431.1</v>
      </c>
      <c r="DE95" s="305">
        <f>SUM(DE93:DE94)</f>
        <v>112.40000000000002</v>
      </c>
      <c r="DF95" s="305">
        <f>SUM(DF93:DF94)</f>
        <v>150.1</v>
      </c>
      <c r="DG95" s="305">
        <f t="shared" ref="DG95:FR95" si="235">SUM(DG93:DG94)</f>
        <v>262.5</v>
      </c>
      <c r="DH95" s="305">
        <f t="shared" si="235"/>
        <v>154.19999999999999</v>
      </c>
      <c r="DI95" s="305">
        <f t="shared" si="235"/>
        <v>151</v>
      </c>
      <c r="DJ95" s="305">
        <f t="shared" si="235"/>
        <v>305.20000000000005</v>
      </c>
      <c r="DK95" s="574">
        <f t="shared" si="235"/>
        <v>567.70000000000016</v>
      </c>
      <c r="DL95" s="402">
        <f t="shared" si="235"/>
        <v>170.10000000000002</v>
      </c>
      <c r="DM95" s="305">
        <f t="shared" si="235"/>
        <v>195.79999999999998</v>
      </c>
      <c r="DN95" s="305">
        <f t="shared" si="235"/>
        <v>365.90000000000003</v>
      </c>
      <c r="DO95" s="305">
        <f t="shared" si="235"/>
        <v>193.50000000000003</v>
      </c>
      <c r="DP95" s="305">
        <f t="shared" si="235"/>
        <v>216.10000000000002</v>
      </c>
      <c r="DQ95" s="305">
        <f t="shared" si="235"/>
        <v>409.30000000000007</v>
      </c>
      <c r="DR95" s="574">
        <f t="shared" si="235"/>
        <v>775.19999999999993</v>
      </c>
      <c r="DS95" s="305">
        <f t="shared" si="235"/>
        <v>199.20000000000002</v>
      </c>
      <c r="DT95" s="305">
        <f t="shared" si="235"/>
        <v>208.8</v>
      </c>
      <c r="DU95" s="305">
        <f t="shared" si="235"/>
        <v>408.00000000000006</v>
      </c>
      <c r="DV95" s="305">
        <f t="shared" ref="DV95:EB95" si="236">SUM(DV93:DV94)</f>
        <v>158.39999999999998</v>
      </c>
      <c r="DW95" s="305">
        <f t="shared" si="236"/>
        <v>178.4</v>
      </c>
      <c r="DX95" s="305">
        <f t="shared" si="236"/>
        <v>349.69999999999993</v>
      </c>
      <c r="DY95" s="574">
        <f t="shared" si="236"/>
        <v>757.69999999999993</v>
      </c>
      <c r="DZ95" s="305">
        <f t="shared" si="236"/>
        <v>226.10000000000002</v>
      </c>
      <c r="EA95" s="305">
        <f t="shared" si="236"/>
        <v>235.19999999999993</v>
      </c>
      <c r="EB95" s="305">
        <f t="shared" si="236"/>
        <v>461.2999999999999</v>
      </c>
      <c r="EC95" s="305">
        <f t="shared" ref="EC95:EI95" si="237">SUM(EC93:EC94)</f>
        <v>229.40000000000003</v>
      </c>
      <c r="ED95" s="305">
        <f t="shared" si="237"/>
        <v>228.50000000000006</v>
      </c>
      <c r="EE95" s="305">
        <f t="shared" si="237"/>
        <v>457.90000000000003</v>
      </c>
      <c r="EF95" s="574">
        <f t="shared" si="237"/>
        <v>919.20000000000016</v>
      </c>
      <c r="EG95" s="305">
        <f t="shared" si="237"/>
        <v>231.5</v>
      </c>
      <c r="EH95" s="305">
        <f t="shared" si="237"/>
        <v>206.29999999999993</v>
      </c>
      <c r="EI95" s="305">
        <f t="shared" si="237"/>
        <v>437.80000000000007</v>
      </c>
      <c r="EJ95" s="305">
        <f>SUM(EJ93:EJ94)</f>
        <v>200.5</v>
      </c>
      <c r="EK95" s="305">
        <f>SUM(EK93:EK94)</f>
        <v>204.29999999999998</v>
      </c>
      <c r="EL95" s="305">
        <f>SUM(EL93:EL94)</f>
        <v>404.79999999999995</v>
      </c>
      <c r="EM95" s="574">
        <f>SUM(EM93:EM94)</f>
        <v>842.6</v>
      </c>
      <c r="EN95" s="305">
        <f t="shared" ref="EN95:EP95" si="238">SUM(EN93:EN94)</f>
        <v>164</v>
      </c>
      <c r="EO95" s="305">
        <f t="shared" si="238"/>
        <v>184</v>
      </c>
      <c r="EP95" s="305">
        <f t="shared" si="238"/>
        <v>337.20000000000005</v>
      </c>
      <c r="EQ95" s="402">
        <f t="shared" ref="EQ95" si="239">SUM(EQ93:EQ94)</f>
        <v>171.9</v>
      </c>
      <c r="ER95" s="305">
        <f t="shared" si="235"/>
        <v>215.39013157432223</v>
      </c>
      <c r="ES95" s="305">
        <f t="shared" si="235"/>
        <v>402.05625325225282</v>
      </c>
      <c r="ET95" s="574">
        <f t="shared" si="235"/>
        <v>723.78199303529095</v>
      </c>
      <c r="EU95" s="305">
        <f t="shared" si="235"/>
        <v>231.61955134833732</v>
      </c>
      <c r="EV95" s="305">
        <f t="shared" si="235"/>
        <v>229.50474255733769</v>
      </c>
      <c r="EW95" s="305">
        <f t="shared" si="235"/>
        <v>460.85928838753728</v>
      </c>
      <c r="EX95" s="305">
        <f t="shared" si="235"/>
        <v>242.89247745903887</v>
      </c>
      <c r="EY95" s="305">
        <f t="shared" si="235"/>
        <v>284.57396112062213</v>
      </c>
      <c r="EZ95" s="305">
        <f t="shared" si="235"/>
        <v>527.18878613729748</v>
      </c>
      <c r="FA95" s="574">
        <f t="shared" si="235"/>
        <v>987.77688767080929</v>
      </c>
      <c r="FB95" s="305">
        <f t="shared" si="235"/>
        <v>279.53832165424359</v>
      </c>
      <c r="FC95" s="305">
        <f t="shared" si="235"/>
        <v>284.96513186880793</v>
      </c>
      <c r="FD95" s="305">
        <f t="shared" si="235"/>
        <v>564.23366623134189</v>
      </c>
      <c r="FE95" s="305">
        <f t="shared" si="235"/>
        <v>308.72602406859409</v>
      </c>
      <c r="FF95" s="305">
        <f t="shared" si="235"/>
        <v>340.09724359941839</v>
      </c>
      <c r="FG95" s="305">
        <f t="shared" si="235"/>
        <v>648.53799927592036</v>
      </c>
      <c r="FH95" s="574">
        <f t="shared" si="235"/>
        <v>1212.4944864974814</v>
      </c>
      <c r="FI95" s="305">
        <f t="shared" si="235"/>
        <v>334.57101254798005</v>
      </c>
      <c r="FJ95" s="305">
        <f t="shared" si="235"/>
        <v>332.28985203666593</v>
      </c>
      <c r="FK95" s="305">
        <f t="shared" si="235"/>
        <v>666.58545121777286</v>
      </c>
      <c r="FL95" s="305">
        <f t="shared" si="235"/>
        <v>356.23063279639479</v>
      </c>
      <c r="FM95" s="305">
        <f t="shared" si="235"/>
        <v>386.26497634111007</v>
      </c>
      <c r="FN95" s="305">
        <f t="shared" si="235"/>
        <v>742.2074928583753</v>
      </c>
      <c r="FO95" s="574">
        <f t="shared" si="235"/>
        <v>1408.5115414441218</v>
      </c>
      <c r="FP95" s="305">
        <f t="shared" si="235"/>
        <v>385.32752727474445</v>
      </c>
      <c r="FQ95" s="305">
        <f t="shared" si="235"/>
        <v>391.27260896763028</v>
      </c>
      <c r="FR95" s="305">
        <f t="shared" si="235"/>
        <v>776.31980892845866</v>
      </c>
      <c r="FS95" s="305">
        <f>SUM(FS93:FS94)</f>
        <v>415.61068520329849</v>
      </c>
      <c r="FT95" s="305">
        <f>SUM(FT93:FT94)</f>
        <v>445.02519928912903</v>
      </c>
      <c r="FU95" s="305">
        <f>SUM(FU93:FU94)</f>
        <v>860.34359899813603</v>
      </c>
      <c r="FV95" s="574">
        <f>SUM(FV93:FV94)</f>
        <v>1636.3774715804016</v>
      </c>
    </row>
    <row r="96" spans="2:178" outlineLevel="1" x14ac:dyDescent="0.3">
      <c r="B96" s="403" t="s">
        <v>457</v>
      </c>
      <c r="C96" s="404" t="s">
        <v>413</v>
      </c>
      <c r="D96" s="405">
        <f>-D98/D95</f>
        <v>0.35339168490153172</v>
      </c>
      <c r="E96" s="405">
        <f t="shared" ref="E96:AP96" si="240">-E98/E95</f>
        <v>0.349685534591195</v>
      </c>
      <c r="F96" s="405">
        <f t="shared" si="240"/>
        <v>0.34520390580126359</v>
      </c>
      <c r="G96" s="405">
        <f t="shared" si="240"/>
        <v>0.34999999999999992</v>
      </c>
      <c r="H96" s="405">
        <f>+G96</f>
        <v>0.34999999999999992</v>
      </c>
      <c r="I96" s="405">
        <f t="shared" si="240"/>
        <v>9.6566523605150209E-2</v>
      </c>
      <c r="J96" s="405">
        <f t="shared" si="240"/>
        <v>0.3290552584670231</v>
      </c>
      <c r="K96" s="405">
        <f t="shared" si="240"/>
        <v>0.33857442348008387</v>
      </c>
      <c r="L96" s="405">
        <f t="shared" si="240"/>
        <v>0.23430493273542599</v>
      </c>
      <c r="M96" s="405">
        <f t="shared" si="240"/>
        <v>0.28819068255687968</v>
      </c>
      <c r="N96" s="405">
        <f t="shared" si="240"/>
        <v>0.4140127388535032</v>
      </c>
      <c r="O96" s="405">
        <f t="shared" si="240"/>
        <v>0.22473604826546004</v>
      </c>
      <c r="P96" s="405">
        <f t="shared" si="240"/>
        <v>0.31680867544539115</v>
      </c>
      <c r="Q96" s="405">
        <f t="shared" si="240"/>
        <v>0.29996812240994586</v>
      </c>
      <c r="R96" s="405">
        <f t="shared" si="240"/>
        <v>0.34242709313264341</v>
      </c>
      <c r="S96" s="405">
        <f t="shared" si="240"/>
        <v>0.36315789473684207</v>
      </c>
      <c r="T96" s="405">
        <f t="shared" si="240"/>
        <v>0.35106966538672518</v>
      </c>
      <c r="U96" s="405">
        <f t="shared" si="240"/>
        <v>0.16344463971880496</v>
      </c>
      <c r="V96" s="405">
        <f>+U96</f>
        <v>0.16344463971880496</v>
      </c>
      <c r="W96" s="405">
        <f t="shared" si="240"/>
        <v>-0.28467908902691502</v>
      </c>
      <c r="X96" s="405">
        <f t="shared" si="240"/>
        <v>0.13087128002868412</v>
      </c>
      <c r="Y96" s="405">
        <f t="shared" si="240"/>
        <v>0.32125984251968509</v>
      </c>
      <c r="Z96" s="405">
        <f t="shared" si="240"/>
        <v>0.71297989031078612</v>
      </c>
      <c r="AA96" s="405">
        <f t="shared" si="240"/>
        <v>0.50253807106598991</v>
      </c>
      <c r="AB96" s="405">
        <f t="shared" si="240"/>
        <v>0.23529411764705885</v>
      </c>
      <c r="AC96" s="405">
        <f>+AB96</f>
        <v>0.23529411764705885</v>
      </c>
      <c r="AD96" s="405">
        <f t="shared" si="240"/>
        <v>-0.92147806004618971</v>
      </c>
      <c r="AE96" s="405">
        <f t="shared" si="240"/>
        <v>0.12074303405572751</v>
      </c>
      <c r="AF96" s="405">
        <f t="shared" si="240"/>
        <v>0.37275449101796404</v>
      </c>
      <c r="AG96" s="405">
        <f t="shared" si="240"/>
        <v>0.29743589743589738</v>
      </c>
      <c r="AH96" s="405">
        <f t="shared" si="240"/>
        <v>0.33758978451715888</v>
      </c>
      <c r="AI96" s="405">
        <f t="shared" si="240"/>
        <v>0.27684964200477324</v>
      </c>
      <c r="AJ96" s="405">
        <f t="shared" si="240"/>
        <v>0.36390532544378718</v>
      </c>
      <c r="AK96" s="405">
        <f t="shared" si="240"/>
        <v>0.31571994715984153</v>
      </c>
      <c r="AL96" s="405">
        <f t="shared" si="240"/>
        <v>0.32935323383084575</v>
      </c>
      <c r="AM96" s="405">
        <f t="shared" si="240"/>
        <v>0.28231292517006801</v>
      </c>
      <c r="AN96" s="405">
        <f t="shared" si="240"/>
        <v>0.44354838709677424</v>
      </c>
      <c r="AO96" s="405">
        <f t="shared" si="240"/>
        <v>0.3625000000000001</v>
      </c>
      <c r="AP96" s="405">
        <f t="shared" si="240"/>
        <v>0.3527508090614887</v>
      </c>
      <c r="AQ96" s="406">
        <v>0.32</v>
      </c>
      <c r="AR96" s="407">
        <f>-AR97/AR95</f>
        <v>0.3333862433862434</v>
      </c>
      <c r="AS96" s="407">
        <f>-AS97/AS95</f>
        <v>0.34967365967365976</v>
      </c>
      <c r="AT96" s="405">
        <f>-AT98/AT95</f>
        <v>0.2602230483271375</v>
      </c>
      <c r="AU96" s="405">
        <f>-AU98/AU95</f>
        <v>0.25985663082437277</v>
      </c>
      <c r="AV96" s="407">
        <f>AU96</f>
        <v>0.25985663082437277</v>
      </c>
      <c r="AW96" s="406">
        <v>0.23</v>
      </c>
      <c r="AX96" s="407">
        <f>AW96</f>
        <v>0.23</v>
      </c>
      <c r="AY96" s="407">
        <f>AV96</f>
        <v>0.25985663082437277</v>
      </c>
      <c r="AZ96" s="407">
        <f>-AZ97/AZ95</f>
        <v>0.24748016420059424</v>
      </c>
      <c r="BA96" s="405">
        <f>-BA98/BA95</f>
        <v>0.25524475524475526</v>
      </c>
      <c r="BB96" s="405">
        <f>-BB98/BB95</f>
        <v>0.15944881889763779</v>
      </c>
      <c r="BC96" s="405">
        <f>-BC98/BC95</f>
        <v>0.2101851851851852</v>
      </c>
      <c r="BD96" s="405">
        <f>-BD98/BD95</f>
        <v>0.10619469026548671</v>
      </c>
      <c r="BE96" s="406">
        <v>0.35</v>
      </c>
      <c r="BF96" s="405">
        <f>-BF98/BF95</f>
        <v>0.2322649572649573</v>
      </c>
      <c r="BG96" s="407">
        <f>-BG97/BG95</f>
        <v>0.21888327721661049</v>
      </c>
      <c r="BH96" s="405">
        <f t="shared" ref="BH96:CB96" si="241">-BH98/BH95</f>
        <v>0.22372372372372371</v>
      </c>
      <c r="BI96" s="405">
        <f t="shared" si="241"/>
        <v>0.21757322175732216</v>
      </c>
      <c r="BJ96" s="405">
        <f t="shared" si="241"/>
        <v>0.22053506869125089</v>
      </c>
      <c r="BK96" s="405">
        <f t="shared" si="241"/>
        <v>6.1371841155234648E-2</v>
      </c>
      <c r="BL96" s="405">
        <f>+BK96</f>
        <v>6.1371841155234648E-2</v>
      </c>
      <c r="BM96" s="405">
        <f t="shared" si="241"/>
        <v>-0.66666666666666674</v>
      </c>
      <c r="BN96" s="405">
        <f>+BU96</f>
        <v>0.1078566505858029</v>
      </c>
      <c r="BO96" s="405">
        <f t="shared" si="241"/>
        <v>0.25075075075075076</v>
      </c>
      <c r="BP96" s="405">
        <f t="shared" si="241"/>
        <v>0.20958083832335325</v>
      </c>
      <c r="BQ96" s="405">
        <f t="shared" si="241"/>
        <v>0.22784810126582278</v>
      </c>
      <c r="BR96" s="405">
        <f t="shared" si="241"/>
        <v>0.2658423493044822</v>
      </c>
      <c r="BS96" s="405">
        <f>+BR96</f>
        <v>0.2658423493044822</v>
      </c>
      <c r="BT96" s="405">
        <f t="shared" si="241"/>
        <v>-2.0699500356887949E-2</v>
      </c>
      <c r="BU96" s="405">
        <f t="shared" si="241"/>
        <v>0.1078566505858029</v>
      </c>
      <c r="BV96" s="405">
        <f t="shared" si="241"/>
        <v>0.24709976798143851</v>
      </c>
      <c r="BW96" s="405">
        <f t="shared" si="241"/>
        <v>0.26840317100792743</v>
      </c>
      <c r="BX96" s="405">
        <f t="shared" si="241"/>
        <v>0.25787965616045844</v>
      </c>
      <c r="BY96" s="405">
        <f t="shared" si="241"/>
        <v>0.28331177231565324</v>
      </c>
      <c r="BZ96" s="405">
        <f t="shared" si="241"/>
        <v>0.25296442687747045</v>
      </c>
      <c r="CA96" s="405">
        <f t="shared" si="241"/>
        <v>0.26827676240208875</v>
      </c>
      <c r="CB96" s="405">
        <f t="shared" si="241"/>
        <v>0.26443488943488935</v>
      </c>
      <c r="CC96" s="405">
        <f>-CC98/CC95</f>
        <v>0.26120218579234977</v>
      </c>
      <c r="CD96" s="405">
        <f>-CD98/CD95</f>
        <v>0.25125628140703515</v>
      </c>
      <c r="CE96" s="405">
        <f>-CE98/CE95</f>
        <v>0.25602094240837692</v>
      </c>
      <c r="CF96" s="405">
        <f>-CF98/CF95</f>
        <v>0.22091310751104559</v>
      </c>
      <c r="CG96" s="407">
        <f>CF96</f>
        <v>0.22091310751104559</v>
      </c>
      <c r="CH96" s="407">
        <f>CE96</f>
        <v>0.25602094240837692</v>
      </c>
      <c r="CI96" s="407">
        <f>-CI97/CI95</f>
        <v>0.25602094240837697</v>
      </c>
      <c r="CJ96" s="405">
        <f t="shared" ref="CJ96:CR96" si="242">-CJ98/CJ95</f>
        <v>0.24171779141104294</v>
      </c>
      <c r="CK96" s="405">
        <f t="shared" si="242"/>
        <v>0.23651452282157676</v>
      </c>
      <c r="CL96" s="405">
        <f t="shared" si="242"/>
        <v>0.23889825744800453</v>
      </c>
      <c r="CM96" s="405">
        <f t="shared" si="242"/>
        <v>0.21934758155230602</v>
      </c>
      <c r="CN96" s="405">
        <f t="shared" si="242"/>
        <v>0.14315789473684207</v>
      </c>
      <c r="CO96" s="405">
        <f t="shared" si="242"/>
        <v>0.17998912452419794</v>
      </c>
      <c r="CP96" s="405">
        <f t="shared" si="242"/>
        <v>0.20867882808181318</v>
      </c>
      <c r="CQ96" s="405">
        <f t="shared" si="242"/>
        <v>0.17116182572614108</v>
      </c>
      <c r="CR96" s="405">
        <f t="shared" si="242"/>
        <v>0.13936170212765958</v>
      </c>
      <c r="CS96" s="405">
        <f>-CS98/CS95</f>
        <v>0.15546218487394958</v>
      </c>
      <c r="CT96" s="405">
        <f t="shared" ref="CT96:DF96" si="243">-CT98/CT95</f>
        <v>0.13289473684210529</v>
      </c>
      <c r="CU96" s="405">
        <f t="shared" si="243"/>
        <v>0.14385150812064967</v>
      </c>
      <c r="CV96" s="405">
        <f t="shared" si="243"/>
        <v>0.13871763255240444</v>
      </c>
      <c r="CW96" s="405">
        <f t="shared" si="243"/>
        <v>0.14775950085082246</v>
      </c>
      <c r="CX96" s="405">
        <f t="shared" si="243"/>
        <v>0.18223028105167718</v>
      </c>
      <c r="CY96" s="405">
        <f t="shared" si="243"/>
        <v>0.17627401837928158</v>
      </c>
      <c r="CZ96" s="405">
        <f t="shared" si="243"/>
        <v>0.17913043478260873</v>
      </c>
      <c r="DA96" s="405">
        <f t="shared" si="243"/>
        <v>0.17451820128479656</v>
      </c>
      <c r="DB96" s="405">
        <f t="shared" si="243"/>
        <v>0.19127205199628602</v>
      </c>
      <c r="DC96" s="405">
        <f t="shared" si="243"/>
        <v>0.18349080059671805</v>
      </c>
      <c r="DD96" s="666">
        <f t="shared" si="243"/>
        <v>0.18116446300162375</v>
      </c>
      <c r="DE96" s="405">
        <f t="shared" si="243"/>
        <v>0.20551601423487542</v>
      </c>
      <c r="DF96" s="405">
        <f t="shared" si="243"/>
        <v>0.19720186542305132</v>
      </c>
      <c r="DG96" s="405">
        <f>-DG97/DG95</f>
        <v>0.20076190476190478</v>
      </c>
      <c r="DH96" s="405">
        <f t="shared" ref="DH96:DM96" si="244">-DH98/DH95</f>
        <v>0.20038910505836577</v>
      </c>
      <c r="DI96" s="405">
        <f t="shared" si="244"/>
        <v>0.1728476821192052</v>
      </c>
      <c r="DJ96" s="405">
        <f t="shared" si="244"/>
        <v>0.1867627785058977</v>
      </c>
      <c r="DK96" s="666">
        <f t="shared" si="244"/>
        <v>0.19323586401268267</v>
      </c>
      <c r="DL96" s="408">
        <f t="shared" si="244"/>
        <v>0.21105232216343323</v>
      </c>
      <c r="DM96" s="405">
        <f t="shared" si="244"/>
        <v>0.20735444330949956</v>
      </c>
      <c r="DN96" s="405">
        <f>-DN97/DN95</f>
        <v>0.20907351735446841</v>
      </c>
      <c r="DO96" s="405">
        <f t="shared" ref="DO96:DT96" si="245">-DO98/DO95</f>
        <v>0.20258397932816535</v>
      </c>
      <c r="DP96" s="405">
        <f t="shared" si="245"/>
        <v>0.1795465062471078</v>
      </c>
      <c r="DQ96" s="405">
        <f t="shared" si="245"/>
        <v>0.19056926459809428</v>
      </c>
      <c r="DR96" s="666">
        <f t="shared" si="245"/>
        <v>0.19930340557275544</v>
      </c>
      <c r="DS96" s="405">
        <f t="shared" si="245"/>
        <v>0.22540160642570281</v>
      </c>
      <c r="DT96" s="405">
        <f t="shared" si="245"/>
        <v>0.22126436781609196</v>
      </c>
      <c r="DU96" s="405">
        <f>-DU97/DU95</f>
        <v>0.22328431372549018</v>
      </c>
      <c r="DV96" s="350">
        <f t="shared" ref="DV96:EA96" si="246">-DV98/DV95</f>
        <v>0.17550505050505052</v>
      </c>
      <c r="DW96" s="405">
        <f t="shared" si="246"/>
        <v>0.18665919282511209</v>
      </c>
      <c r="DX96" s="405">
        <f t="shared" si="246"/>
        <v>0.1747211895910781</v>
      </c>
      <c r="DY96" s="666">
        <f t="shared" si="246"/>
        <v>0.20087105714662795</v>
      </c>
      <c r="DZ96" s="405">
        <f t="shared" si="246"/>
        <v>0.22954444935869078</v>
      </c>
      <c r="EA96" s="405">
        <f t="shared" si="246"/>
        <v>0.23937074829931979</v>
      </c>
      <c r="EB96" s="405">
        <f>-EB97/EB95</f>
        <v>0.23455451983524825</v>
      </c>
      <c r="EC96" s="350">
        <f t="shared" ref="EC96:EH96" si="247">-EC98/EC95</f>
        <v>0.21578029642545768</v>
      </c>
      <c r="ED96" s="405">
        <f t="shared" si="247"/>
        <v>0.23632385120350108</v>
      </c>
      <c r="EE96" s="405">
        <f t="shared" si="247"/>
        <v>0.22603188469098054</v>
      </c>
      <c r="EF96" s="666">
        <f t="shared" si="247"/>
        <v>0.23030896431679715</v>
      </c>
      <c r="EG96" s="405">
        <f t="shared" si="247"/>
        <v>0.23282937365010795</v>
      </c>
      <c r="EH96" s="405">
        <f t="shared" si="247"/>
        <v>0.23897237033446445</v>
      </c>
      <c r="EI96" s="405">
        <f>-EI97/EI95</f>
        <v>0.23572407492005476</v>
      </c>
      <c r="EJ96" s="350">
        <f>-EJ98/EJ95</f>
        <v>0.23391521197007481</v>
      </c>
      <c r="EK96" s="405">
        <f>-EK98/EK95</f>
        <v>0.23592755751346067</v>
      </c>
      <c r="EL96" s="405">
        <f>-EL98/EL95</f>
        <v>0.23493083003952575</v>
      </c>
      <c r="EM96" s="666">
        <f>-EM98/EM95</f>
        <v>0.2353429859957275</v>
      </c>
      <c r="EN96" s="405">
        <f t="shared" ref="EN96:EO96" si="248">-EN98/EN95</f>
        <v>0.22621951219512196</v>
      </c>
      <c r="EO96" s="405">
        <f t="shared" si="248"/>
        <v>0.16304347826086951</v>
      </c>
      <c r="EP96" s="405">
        <f>-EP97/EP95</f>
        <v>0.19899169632265715</v>
      </c>
      <c r="EQ96" s="408">
        <f t="shared" ref="EQ96" si="249">-EQ98/EQ95</f>
        <v>0.17277486910994763</v>
      </c>
      <c r="ER96" s="409">
        <v>0.19</v>
      </c>
      <c r="ES96" s="409">
        <v>0.23</v>
      </c>
      <c r="ET96" s="600">
        <f>-ET97/ET95</f>
        <v>0.19028398927355727</v>
      </c>
      <c r="EU96" s="587">
        <v>0.22</v>
      </c>
      <c r="EV96" s="587">
        <f>EU96</f>
        <v>0.22</v>
      </c>
      <c r="EW96" s="587">
        <f>-EW97/EW95</f>
        <v>0.22012650545504742</v>
      </c>
      <c r="EX96" s="587">
        <f>EV96</f>
        <v>0.22</v>
      </c>
      <c r="EY96" s="587">
        <f>EX96</f>
        <v>0.22</v>
      </c>
      <c r="EZ96" s="587">
        <f>-EZ97/EZ95</f>
        <v>0.22011586653382276</v>
      </c>
      <c r="FA96" s="600">
        <f>-FA97/FA95</f>
        <v>0.22018126143811489</v>
      </c>
      <c r="FB96" s="587">
        <v>0.21</v>
      </c>
      <c r="FC96" s="587">
        <f t="shared" ref="FC96" si="250">FB96</f>
        <v>0.21</v>
      </c>
      <c r="FD96" s="587">
        <f t="shared" ref="FD96" si="251">-FD97/FD95</f>
        <v>0.2101004111144899</v>
      </c>
      <c r="FE96" s="587">
        <f t="shared" ref="FE96" si="252">FC96</f>
        <v>0.21</v>
      </c>
      <c r="FF96" s="587">
        <f t="shared" ref="FF96" si="253">FE96</f>
        <v>0.21</v>
      </c>
      <c r="FG96" s="587">
        <f t="shared" ref="FG96:FH96" si="254">-FG97/FG95</f>
        <v>0.21009237139906409</v>
      </c>
      <c r="FH96" s="600">
        <f t="shared" si="254"/>
        <v>0.21014414027247016</v>
      </c>
      <c r="FI96" s="587">
        <v>0.21</v>
      </c>
      <c r="FJ96" s="587">
        <f t="shared" ref="FJ96" si="255">FI96</f>
        <v>0.21</v>
      </c>
      <c r="FK96" s="587">
        <f t="shared" ref="FK96" si="256">-FK97/FK95</f>
        <v>0.21008676578064775</v>
      </c>
      <c r="FL96" s="587">
        <f t="shared" ref="FL96" si="257">FJ96</f>
        <v>0.21</v>
      </c>
      <c r="FM96" s="587">
        <f t="shared" ref="FM96" si="258">FL96</f>
        <v>0.21</v>
      </c>
      <c r="FN96" s="587">
        <f t="shared" ref="FN96:FO96" si="259">-FN97/FN95</f>
        <v>0.21008151954702611</v>
      </c>
      <c r="FO96" s="600">
        <f t="shared" si="259"/>
        <v>0.21012597396128121</v>
      </c>
      <c r="FP96" s="587">
        <v>0.21</v>
      </c>
      <c r="FQ96" s="587">
        <f t="shared" ref="FQ96" si="260">FP96</f>
        <v>0.21</v>
      </c>
      <c r="FR96" s="587">
        <f t="shared" ref="FR96" si="261">-FR97/FR95</f>
        <v>0.21007583052144915</v>
      </c>
      <c r="FS96" s="587">
        <f t="shared" ref="FS96" si="262">FQ96</f>
        <v>0.21</v>
      </c>
      <c r="FT96" s="587">
        <f t="shared" ref="FT96" si="263">FS96</f>
        <v>0.21</v>
      </c>
      <c r="FU96" s="587">
        <f t="shared" ref="FU96:FV96" si="264">-FU97/FU95</f>
        <v>0.21007134353515583</v>
      </c>
      <c r="FV96" s="600">
        <f t="shared" si="264"/>
        <v>0.21011017954326272</v>
      </c>
    </row>
    <row r="97" spans="1:280" outlineLevel="1" x14ac:dyDescent="0.3">
      <c r="B97" s="253" t="s">
        <v>458</v>
      </c>
      <c r="C97" s="280" t="s">
        <v>226</v>
      </c>
      <c r="D97" s="281">
        <f>-(D96*D95)</f>
        <v>-32.299999999999997</v>
      </c>
      <c r="E97" s="281">
        <f t="shared" ref="E97:AM97" si="265">-(E96*E95)</f>
        <v>-27.800000000000004</v>
      </c>
      <c r="F97" s="281">
        <f t="shared" si="265"/>
        <v>-60.1</v>
      </c>
      <c r="G97" s="281">
        <f t="shared" si="265"/>
        <v>-24.5</v>
      </c>
      <c r="H97" s="281">
        <f t="shared" si="265"/>
        <v>-24.184999999999992</v>
      </c>
      <c r="I97" s="281">
        <f t="shared" si="265"/>
        <v>-13.5</v>
      </c>
      <c r="J97" s="281">
        <f t="shared" si="265"/>
        <v>-92.3</v>
      </c>
      <c r="K97" s="281">
        <f t="shared" si="265"/>
        <v>-32.299999999999997</v>
      </c>
      <c r="L97" s="281">
        <f t="shared" si="265"/>
        <v>-20.9</v>
      </c>
      <c r="M97" s="281">
        <f t="shared" si="265"/>
        <v>-53.199999999999996</v>
      </c>
      <c r="N97" s="281">
        <f t="shared" si="265"/>
        <v>-26</v>
      </c>
      <c r="O97" s="281">
        <f t="shared" si="265"/>
        <v>-14.9</v>
      </c>
      <c r="P97" s="281">
        <f t="shared" si="265"/>
        <v>-40.9</v>
      </c>
      <c r="Q97" s="281">
        <f t="shared" si="265"/>
        <v>-94.1</v>
      </c>
      <c r="R97" s="281">
        <f t="shared" si="265"/>
        <v>-36.4</v>
      </c>
      <c r="S97" s="281">
        <f t="shared" si="265"/>
        <v>-27.6</v>
      </c>
      <c r="T97" s="281">
        <f t="shared" si="265"/>
        <v>-64</v>
      </c>
      <c r="U97" s="281">
        <f t="shared" si="265"/>
        <v>-9.3000000000000007</v>
      </c>
      <c r="V97" s="281">
        <f t="shared" si="265"/>
        <v>-6.4887521968365576</v>
      </c>
      <c r="W97" s="281">
        <f t="shared" si="265"/>
        <v>27.499999999999996</v>
      </c>
      <c r="X97" s="281">
        <f t="shared" si="265"/>
        <v>-36.5</v>
      </c>
      <c r="Y97" s="281">
        <f t="shared" si="265"/>
        <v>-20.399999999999999</v>
      </c>
      <c r="Z97" s="281">
        <f t="shared" si="265"/>
        <v>-39</v>
      </c>
      <c r="AA97" s="281">
        <f t="shared" si="265"/>
        <v>-59.4</v>
      </c>
      <c r="AB97" s="281">
        <f t="shared" si="265"/>
        <v>-6.8</v>
      </c>
      <c r="AC97" s="281">
        <f t="shared" si="265"/>
        <v>-3.388235294117647</v>
      </c>
      <c r="AD97" s="281">
        <f t="shared" si="265"/>
        <v>39.900000000000006</v>
      </c>
      <c r="AE97" s="281">
        <f t="shared" si="265"/>
        <v>-19.499999999999993</v>
      </c>
      <c r="AF97" s="281">
        <f t="shared" si="265"/>
        <v>-24.9</v>
      </c>
      <c r="AG97" s="281">
        <f t="shared" si="265"/>
        <v>-17.399999999999999</v>
      </c>
      <c r="AH97" s="281">
        <f t="shared" si="265"/>
        <v>-42.3</v>
      </c>
      <c r="AI97" s="281">
        <f t="shared" si="265"/>
        <v>-11.599999999999998</v>
      </c>
      <c r="AJ97" s="281">
        <f t="shared" si="265"/>
        <v>-12.3</v>
      </c>
      <c r="AK97" s="281">
        <f t="shared" si="265"/>
        <v>-23.9</v>
      </c>
      <c r="AL97" s="281">
        <f t="shared" si="265"/>
        <v>-66.199999999999989</v>
      </c>
      <c r="AM97" s="281">
        <f t="shared" si="265"/>
        <v>-16.600000000000001</v>
      </c>
      <c r="AN97" s="281">
        <f>-(AN96*AN95)</f>
        <v>-16.5</v>
      </c>
      <c r="AO97" s="281">
        <f>-(AO96*AO95)</f>
        <v>-34.800000000000011</v>
      </c>
      <c r="AP97" s="281">
        <f>-(AP96*AP95)</f>
        <v>-10.9</v>
      </c>
      <c r="AQ97" s="281">
        <f>-(AQ96*AQ95)</f>
        <v>-14.303999999999998</v>
      </c>
      <c r="AR97" s="281">
        <f>AQ97+AP97</f>
        <v>-25.204000000000001</v>
      </c>
      <c r="AS97" s="281">
        <f>AR97+AO97</f>
        <v>-60.004000000000012</v>
      </c>
      <c r="AT97" s="281">
        <f>-(AT96*AT95)</f>
        <v>-14</v>
      </c>
      <c r="AU97" s="281">
        <f>-(AU96*AU95)</f>
        <v>-14.5</v>
      </c>
      <c r="AV97" s="281">
        <f>-(AV96*AV95)</f>
        <v>-28.480286738351257</v>
      </c>
      <c r="AW97" s="281">
        <f>-(AW96*AW95)</f>
        <v>-8.51</v>
      </c>
      <c r="AX97" s="281">
        <f>-(AX96*AX95)</f>
        <v>-9.338000000000001</v>
      </c>
      <c r="AY97" s="281">
        <f>+AX97+AW97</f>
        <v>-17.847999999999999</v>
      </c>
      <c r="AZ97" s="281">
        <f>AY97+AV97</f>
        <v>-46.328286738351252</v>
      </c>
      <c r="BA97" s="281">
        <f>-(BA96*BA95)</f>
        <v>-14.6</v>
      </c>
      <c r="BB97" s="281">
        <f>-(BB96*BB95)</f>
        <v>-8.1</v>
      </c>
      <c r="BC97" s="281">
        <f>-(BC96*BC95)</f>
        <v>-22.7</v>
      </c>
      <c r="BD97" s="281">
        <f>-(BD96*BD95)</f>
        <v>-3.6</v>
      </c>
      <c r="BE97" s="281">
        <f>-(BE96*BE95)</f>
        <v>-12.705</v>
      </c>
      <c r="BF97" s="281">
        <f>+BE97+BD97</f>
        <v>-16.305</v>
      </c>
      <c r="BG97" s="281">
        <f>BF97+BC97</f>
        <v>-39.004999999999995</v>
      </c>
      <c r="BH97" s="281">
        <f t="shared" ref="BH97:CC97" si="266">-(BH96*BH95)</f>
        <v>-14.9</v>
      </c>
      <c r="BI97" s="281">
        <f t="shared" si="266"/>
        <v>-15.6</v>
      </c>
      <c r="BJ97" s="281">
        <f t="shared" si="266"/>
        <v>-30.5</v>
      </c>
      <c r="BK97" s="281">
        <f t="shared" si="266"/>
        <v>-3.4</v>
      </c>
      <c r="BL97" s="281">
        <f t="shared" si="266"/>
        <v>-3.5411552346570394</v>
      </c>
      <c r="BM97" s="281">
        <f t="shared" si="266"/>
        <v>75.399999999999991</v>
      </c>
      <c r="BN97" s="281">
        <f t="shared" si="266"/>
        <v>-27.115161957270846</v>
      </c>
      <c r="BO97" s="281">
        <f t="shared" si="266"/>
        <v>-16.7</v>
      </c>
      <c r="BP97" s="281">
        <f t="shared" si="266"/>
        <v>-17.5</v>
      </c>
      <c r="BQ97" s="281">
        <f t="shared" si="266"/>
        <v>-34.200000000000003</v>
      </c>
      <c r="BR97" s="281">
        <f t="shared" si="266"/>
        <v>-17.2</v>
      </c>
      <c r="BS97" s="281">
        <f t="shared" si="266"/>
        <v>-20.04451313755796</v>
      </c>
      <c r="BT97" s="281">
        <f t="shared" si="266"/>
        <v>2.9000000000000021</v>
      </c>
      <c r="BU97" s="281">
        <f t="shared" si="266"/>
        <v>-31.3</v>
      </c>
      <c r="BV97" s="281">
        <f t="shared" si="266"/>
        <v>-21.3</v>
      </c>
      <c r="BW97" s="281">
        <f>-(BW96*BW95)</f>
        <v>-23.7</v>
      </c>
      <c r="BX97" s="281">
        <f>-(BX96*BX95)</f>
        <v>-45.000000000000007</v>
      </c>
      <c r="BY97" s="281">
        <f t="shared" si="266"/>
        <v>-21.9</v>
      </c>
      <c r="BZ97" s="281">
        <f t="shared" si="266"/>
        <v>-19.200000000000003</v>
      </c>
      <c r="CA97" s="281">
        <f t="shared" si="266"/>
        <v>-41.099999999999994</v>
      </c>
      <c r="CB97" s="281">
        <f t="shared" si="266"/>
        <v>-86.1</v>
      </c>
      <c r="CC97" s="281">
        <f t="shared" si="266"/>
        <v>-23.900000000000002</v>
      </c>
      <c r="CD97" s="281">
        <f>-(CD96*CD95)</f>
        <v>-25</v>
      </c>
      <c r="CE97" s="281">
        <f>-(CE96*CE95)</f>
        <v>-48.9</v>
      </c>
      <c r="CF97" s="281">
        <f>-(CF96*CF95)</f>
        <v>-15</v>
      </c>
      <c r="CG97" s="281">
        <f>-(CG96*CG95)</f>
        <v>-15.618556701030919</v>
      </c>
      <c r="CH97" s="281">
        <f>-(CH96*CH95)</f>
        <v>-35.484502617801041</v>
      </c>
      <c r="CI97" s="281">
        <f>CH97+CE97</f>
        <v>-84.384502617801047</v>
      </c>
      <c r="CJ97" s="281">
        <f t="shared" ref="CJ97:CO97" si="267">-(CJ96*CJ95)</f>
        <v>-19.7</v>
      </c>
      <c r="CK97" s="281">
        <f t="shared" si="267"/>
        <v>-22.8</v>
      </c>
      <c r="CL97" s="281">
        <f t="shared" si="267"/>
        <v>-42.5</v>
      </c>
      <c r="CM97" s="281">
        <f t="shared" si="267"/>
        <v>-19.5</v>
      </c>
      <c r="CN97" s="281">
        <f t="shared" si="267"/>
        <v>-13.6</v>
      </c>
      <c r="CO97" s="281">
        <f t="shared" si="267"/>
        <v>-33.099999999999994</v>
      </c>
      <c r="CP97" s="281">
        <f>CO97+CL97</f>
        <v>-75.599999999999994</v>
      </c>
      <c r="CQ97" s="281">
        <f t="shared" ref="CQ97:CV97" si="268">-(CQ96*CQ95)</f>
        <v>-16.5</v>
      </c>
      <c r="CR97" s="281">
        <f t="shared" si="268"/>
        <v>-13.100000000000003</v>
      </c>
      <c r="CS97" s="281">
        <f>SUM(CQ97:CR97)</f>
        <v>-29.6</v>
      </c>
      <c r="CT97" s="281">
        <f t="shared" si="268"/>
        <v>-10.1</v>
      </c>
      <c r="CU97" s="281">
        <f t="shared" si="268"/>
        <v>-12.4</v>
      </c>
      <c r="CV97" s="281">
        <f t="shared" si="268"/>
        <v>-22.499999999999996</v>
      </c>
      <c r="CW97" s="281">
        <f>CV97+CS97</f>
        <v>-52.099999999999994</v>
      </c>
      <c r="CX97" s="281">
        <f>-(CX96*CX95)</f>
        <v>-20.100000000000001</v>
      </c>
      <c r="CY97" s="281">
        <f>-(CY96*CY95)</f>
        <v>-21.1</v>
      </c>
      <c r="CZ97" s="281">
        <f>SUM(CX97:CY97)</f>
        <v>-41.2</v>
      </c>
      <c r="DA97" s="281">
        <f>-(DA96*DA95)</f>
        <v>-16.3</v>
      </c>
      <c r="DB97" s="281">
        <f>-(DB96*DB95)</f>
        <v>-20.6</v>
      </c>
      <c r="DC97" s="281">
        <f>-(DC96*DC95)</f>
        <v>-36.900000000000006</v>
      </c>
      <c r="DD97" s="575">
        <f>DC97+CZ97</f>
        <v>-78.100000000000009</v>
      </c>
      <c r="DE97" s="281">
        <f>-(DE96*DE95)</f>
        <v>-23.1</v>
      </c>
      <c r="DF97" s="281">
        <f>-(DF96*DF95)</f>
        <v>-29.6</v>
      </c>
      <c r="DG97" s="281">
        <f>SUM(DE97:DF97)</f>
        <v>-52.7</v>
      </c>
      <c r="DH97" s="281">
        <f>-(DH96*DH95)</f>
        <v>-30.9</v>
      </c>
      <c r="DI97" s="281">
        <f>-(DI96*DI95)</f>
        <v>-26.099999999999987</v>
      </c>
      <c r="DJ97" s="281">
        <f>-(DJ96*DJ95)</f>
        <v>-56.999999999999986</v>
      </c>
      <c r="DK97" s="575">
        <f>DJ97+DG97</f>
        <v>-109.69999999999999</v>
      </c>
      <c r="DL97" s="339">
        <f>-(DL96*DL95)</f>
        <v>-35.9</v>
      </c>
      <c r="DM97" s="281">
        <f>-(DM96*DM95)</f>
        <v>-40.600000000000009</v>
      </c>
      <c r="DN97" s="281">
        <f>SUM(DL97:DM97)</f>
        <v>-76.5</v>
      </c>
      <c r="DO97" s="281">
        <f>-(DO96*DO95)</f>
        <v>-39.200000000000003</v>
      </c>
      <c r="DP97" s="281">
        <f>-(DP96*DP95)</f>
        <v>-38.799999999999997</v>
      </c>
      <c r="DQ97" s="281">
        <f>-(DQ96*DQ95)</f>
        <v>-78</v>
      </c>
      <c r="DR97" s="575">
        <f>DQ97+DN97</f>
        <v>-154.5</v>
      </c>
      <c r="DS97" s="281">
        <f>-(DS96*DS95)</f>
        <v>-44.900000000000006</v>
      </c>
      <c r="DT97" s="281">
        <f>-(DT96*DT95)</f>
        <v>-46.2</v>
      </c>
      <c r="DU97" s="281">
        <f>SUM(DS97:DT97)</f>
        <v>-91.100000000000009</v>
      </c>
      <c r="DV97" s="281">
        <f>-(DV96*DV95)</f>
        <v>-27.8</v>
      </c>
      <c r="DW97" s="281">
        <f>-(DW96*DW95)</f>
        <v>-33.299999999999997</v>
      </c>
      <c r="DX97" s="281">
        <f>-(DX96*DX95)</f>
        <v>-61.1</v>
      </c>
      <c r="DY97" s="575">
        <f>DX97+DU97</f>
        <v>-152.20000000000002</v>
      </c>
      <c r="DZ97" s="281">
        <f>-(DZ96*DZ95)</f>
        <v>-51.899999999999991</v>
      </c>
      <c r="EA97" s="281">
        <f>-(EA96*EA95)</f>
        <v>-56.3</v>
      </c>
      <c r="EB97" s="281">
        <f>SUM(DZ97:EA97)</f>
        <v>-108.19999999999999</v>
      </c>
      <c r="EC97" s="281">
        <f>-(EC96*EC95)</f>
        <v>-49.5</v>
      </c>
      <c r="ED97" s="281">
        <f>-(ED96*ED95)</f>
        <v>-54.000000000000007</v>
      </c>
      <c r="EE97" s="281">
        <f>-(EE96*EE95)</f>
        <v>-103.5</v>
      </c>
      <c r="EF97" s="575">
        <f>EE97+EB97</f>
        <v>-211.7</v>
      </c>
      <c r="EG97" s="281">
        <f>-(EG96*EG95)</f>
        <v>-53.899999999999991</v>
      </c>
      <c r="EH97" s="281">
        <f>-(EH96*EH95)</f>
        <v>-49.3</v>
      </c>
      <c r="EI97" s="281">
        <f>SUM(EG97:EH97)</f>
        <v>-103.19999999999999</v>
      </c>
      <c r="EJ97" s="281">
        <f>-(EJ96*EJ95)</f>
        <v>-46.9</v>
      </c>
      <c r="EK97" s="281">
        <f>-(EK96*EK95)</f>
        <v>-48.20000000000001</v>
      </c>
      <c r="EL97" s="281">
        <f>-(EL96*EL95)</f>
        <v>-95.100000000000009</v>
      </c>
      <c r="EM97" s="575">
        <f>EL97+EI97</f>
        <v>-198.3</v>
      </c>
      <c r="EN97" s="281">
        <f>-(EN96*EN95)</f>
        <v>-37.1</v>
      </c>
      <c r="EO97" s="281">
        <f>-(EO96*EO95)</f>
        <v>-29.999999999999989</v>
      </c>
      <c r="EP97" s="281">
        <f>SUM(EN97:EO97)</f>
        <v>-67.099999999999994</v>
      </c>
      <c r="EQ97" s="339">
        <f>-(EQ96*EQ95)</f>
        <v>-29.7</v>
      </c>
      <c r="ER97" s="281">
        <f>-(ER96*ER95)</f>
        <v>-40.924124999121226</v>
      </c>
      <c r="ES97" s="281">
        <f>SUM(EQ97:ER97)</f>
        <v>-70.624124999121221</v>
      </c>
      <c r="ET97" s="575">
        <f>ES97+EP97</f>
        <v>-137.72412499912122</v>
      </c>
      <c r="EU97" s="281">
        <f>-(EU96*EU95)</f>
        <v>-50.956301296634209</v>
      </c>
      <c r="EV97" s="281">
        <f>-(EV96*EV95)</f>
        <v>-50.491043362614292</v>
      </c>
      <c r="EW97" s="281">
        <f>SUM(EU97:EV97)</f>
        <v>-101.4473446592485</v>
      </c>
      <c r="EX97" s="281">
        <f>-(EX96*EX95)</f>
        <v>-53.436345040988549</v>
      </c>
      <c r="EY97" s="281">
        <f>-(EY96*EY95)</f>
        <v>-62.606271446536866</v>
      </c>
      <c r="EZ97" s="281">
        <f>SUM(EX97:EY97)</f>
        <v>-116.04261648752541</v>
      </c>
      <c r="FA97" s="575">
        <f>EZ97+EW97</f>
        <v>-217.48996114677391</v>
      </c>
      <c r="FB97" s="281">
        <f>-(FB96*FB95)</f>
        <v>-58.703047547391151</v>
      </c>
      <c r="FC97" s="281">
        <f>-(FC96*FC95)</f>
        <v>-59.842677692449662</v>
      </c>
      <c r="FD97" s="281">
        <f>SUM(FB97:FC97)</f>
        <v>-118.54572523984081</v>
      </c>
      <c r="FE97" s="281">
        <f>-(FE96*FE95)</f>
        <v>-64.83246505440475</v>
      </c>
      <c r="FF97" s="281">
        <f>-(FF96*FF95)</f>
        <v>-71.420421155877861</v>
      </c>
      <c r="FG97" s="281">
        <f>SUM(FE97:FF97)</f>
        <v>-136.25288621028261</v>
      </c>
      <c r="FH97" s="575">
        <f>FG97+FD97</f>
        <v>-254.79861145012342</v>
      </c>
      <c r="FI97" s="281">
        <f>-(FI96*FI95)</f>
        <v>-70.259912635075807</v>
      </c>
      <c r="FJ97" s="281">
        <f>-(FJ96*FJ95)</f>
        <v>-69.780868927699842</v>
      </c>
      <c r="FK97" s="281">
        <f>SUM(FI97:FJ97)</f>
        <v>-140.04078156277563</v>
      </c>
      <c r="FL97" s="281">
        <f>-(FL96*FL95)</f>
        <v>-74.808432887242901</v>
      </c>
      <c r="FM97" s="281">
        <f>-(FM96*FM95)</f>
        <v>-81.115645031633107</v>
      </c>
      <c r="FN97" s="281">
        <f>SUM(FL97:FM97)</f>
        <v>-155.92407791887601</v>
      </c>
      <c r="FO97" s="575">
        <f>FN97+FK97</f>
        <v>-295.96485948165162</v>
      </c>
      <c r="FP97" s="281">
        <f>-(FP96*FP95)</f>
        <v>-80.91878072769633</v>
      </c>
      <c r="FQ97" s="281">
        <f>-(FQ96*FQ95)</f>
        <v>-82.16724788320235</v>
      </c>
      <c r="FR97" s="281">
        <f>SUM(FP97:FQ97)</f>
        <v>-163.08602861089867</v>
      </c>
      <c r="FS97" s="281">
        <f>-(FS96*FS95)</f>
        <v>-87.278243892692686</v>
      </c>
      <c r="FT97" s="281">
        <f>-(FT96*FT95)</f>
        <v>-93.455291850717089</v>
      </c>
      <c r="FU97" s="281">
        <f>SUM(FS97:FT97)</f>
        <v>-180.73353574340979</v>
      </c>
      <c r="FV97" s="575">
        <f>FU97+FR97</f>
        <v>-343.81956435430845</v>
      </c>
    </row>
    <row r="98" spans="1:280" outlineLevel="1" x14ac:dyDescent="0.3">
      <c r="B98" s="403" t="s">
        <v>459</v>
      </c>
      <c r="C98" s="404" t="s">
        <v>226</v>
      </c>
      <c r="D98" s="410">
        <f t="shared" ref="D98:AM98" si="269">D68</f>
        <v>-32.299999999999997</v>
      </c>
      <c r="E98" s="410">
        <f t="shared" si="269"/>
        <v>-27.8</v>
      </c>
      <c r="F98" s="410">
        <f t="shared" si="269"/>
        <v>-60.099999999999994</v>
      </c>
      <c r="G98" s="410">
        <f t="shared" si="269"/>
        <v>-24.5</v>
      </c>
      <c r="H98" s="410">
        <f t="shared" si="269"/>
        <v>11</v>
      </c>
      <c r="I98" s="410">
        <f t="shared" si="269"/>
        <v>-13.5</v>
      </c>
      <c r="J98" s="410">
        <f t="shared" si="269"/>
        <v>-92.3</v>
      </c>
      <c r="K98" s="410">
        <f t="shared" si="269"/>
        <v>-32.299999999999997</v>
      </c>
      <c r="L98" s="410">
        <f t="shared" si="269"/>
        <v>-20.9</v>
      </c>
      <c r="M98" s="410">
        <f t="shared" si="269"/>
        <v>-53.199999999999996</v>
      </c>
      <c r="N98" s="410">
        <f t="shared" si="269"/>
        <v>-26</v>
      </c>
      <c r="O98" s="410">
        <f t="shared" si="269"/>
        <v>-14.9</v>
      </c>
      <c r="P98" s="410">
        <f t="shared" si="269"/>
        <v>-40.9</v>
      </c>
      <c r="Q98" s="410">
        <f t="shared" si="269"/>
        <v>-94.1</v>
      </c>
      <c r="R98" s="410">
        <f t="shared" si="269"/>
        <v>-36.4</v>
      </c>
      <c r="S98" s="410">
        <f t="shared" si="269"/>
        <v>-27.6</v>
      </c>
      <c r="T98" s="410">
        <f t="shared" si="269"/>
        <v>-64</v>
      </c>
      <c r="U98" s="410">
        <f t="shared" si="269"/>
        <v>-9.3000000000000007</v>
      </c>
      <c r="V98" s="410">
        <f t="shared" si="269"/>
        <v>36.799999999999997</v>
      </c>
      <c r="W98" s="410">
        <f t="shared" si="269"/>
        <v>27.499999999999996</v>
      </c>
      <c r="X98" s="410">
        <f t="shared" si="269"/>
        <v>-36.5</v>
      </c>
      <c r="Y98" s="410">
        <f t="shared" si="269"/>
        <v>-20.399999999999999</v>
      </c>
      <c r="Z98" s="410">
        <f t="shared" si="269"/>
        <v>-39</v>
      </c>
      <c r="AA98" s="410">
        <f t="shared" si="269"/>
        <v>-59.4</v>
      </c>
      <c r="AB98" s="410">
        <f t="shared" si="269"/>
        <v>-6.8</v>
      </c>
      <c r="AC98" s="410">
        <f t="shared" si="269"/>
        <v>46.7</v>
      </c>
      <c r="AD98" s="410">
        <f t="shared" si="269"/>
        <v>39.900000000000006</v>
      </c>
      <c r="AE98" s="410">
        <f t="shared" si="269"/>
        <v>-19.499999999999993</v>
      </c>
      <c r="AF98" s="410">
        <f t="shared" si="269"/>
        <v>-24.9</v>
      </c>
      <c r="AG98" s="410">
        <f t="shared" si="269"/>
        <v>-17.399999999999999</v>
      </c>
      <c r="AH98" s="410">
        <f t="shared" si="269"/>
        <v>-42.3</v>
      </c>
      <c r="AI98" s="410">
        <f t="shared" si="269"/>
        <v>-11.6</v>
      </c>
      <c r="AJ98" s="410">
        <f t="shared" si="269"/>
        <v>-12.3</v>
      </c>
      <c r="AK98" s="410">
        <f t="shared" si="269"/>
        <v>-23.9</v>
      </c>
      <c r="AL98" s="410">
        <f t="shared" si="269"/>
        <v>-66.199999999999989</v>
      </c>
      <c r="AM98" s="360">
        <f t="shared" si="269"/>
        <v>-16.600000000000001</v>
      </c>
      <c r="AN98" s="360">
        <f>AN70</f>
        <v>-16.5</v>
      </c>
      <c r="AO98" s="360">
        <f>AO70</f>
        <v>-34.800000000000011</v>
      </c>
      <c r="AP98" s="410">
        <f>AP68</f>
        <v>-10.9</v>
      </c>
      <c r="AQ98" s="360">
        <f>AQ97</f>
        <v>-14.303999999999998</v>
      </c>
      <c r="AR98" s="360">
        <f>AR97</f>
        <v>-25.204000000000001</v>
      </c>
      <c r="AS98" s="360">
        <f>AS97</f>
        <v>-60.004000000000012</v>
      </c>
      <c r="AT98" s="360">
        <f>AT68</f>
        <v>-14</v>
      </c>
      <c r="AU98" s="360">
        <f>+AU68</f>
        <v>-14.5</v>
      </c>
      <c r="AV98" s="360">
        <f>AV97</f>
        <v>-28.480286738351257</v>
      </c>
      <c r="AW98" s="411">
        <v>-8</v>
      </c>
      <c r="AX98" s="360">
        <f>AX70</f>
        <v>-6.1000000000000227</v>
      </c>
      <c r="AY98" s="360">
        <f>+AX98+AW98</f>
        <v>-14.100000000000023</v>
      </c>
      <c r="AZ98" s="360">
        <f>+AY98+AV98</f>
        <v>-42.580286738351276</v>
      </c>
      <c r="BA98" s="360">
        <f>BA68</f>
        <v>-14.6</v>
      </c>
      <c r="BB98" s="360">
        <f>BB68</f>
        <v>-8.1</v>
      </c>
      <c r="BC98" s="360">
        <f>+BB98+BA98</f>
        <v>-22.7</v>
      </c>
      <c r="BD98" s="360">
        <f>BD68</f>
        <v>-3.6</v>
      </c>
      <c r="BE98" s="360">
        <f>BE97</f>
        <v>-12.705</v>
      </c>
      <c r="BF98" s="360">
        <f>+BE98+BD98</f>
        <v>-16.305</v>
      </c>
      <c r="BG98" s="360">
        <f>BG97</f>
        <v>-39.004999999999995</v>
      </c>
      <c r="BH98" s="410">
        <f t="shared" ref="BH98:CL98" si="270">BH68</f>
        <v>-14.9</v>
      </c>
      <c r="BI98" s="410">
        <f t="shared" si="270"/>
        <v>-15.6</v>
      </c>
      <c r="BJ98" s="410">
        <f t="shared" si="270"/>
        <v>-30.5</v>
      </c>
      <c r="BK98" s="410">
        <f t="shared" si="270"/>
        <v>-3.4</v>
      </c>
      <c r="BL98" s="410">
        <f t="shared" si="270"/>
        <v>78.8</v>
      </c>
      <c r="BM98" s="410">
        <f t="shared" si="270"/>
        <v>75.399999999999991</v>
      </c>
      <c r="BN98" s="410">
        <f t="shared" si="270"/>
        <v>44.899999999999991</v>
      </c>
      <c r="BO98" s="410">
        <f t="shared" si="270"/>
        <v>-16.7</v>
      </c>
      <c r="BP98" s="410">
        <f t="shared" si="270"/>
        <v>-17.5</v>
      </c>
      <c r="BQ98" s="410">
        <f t="shared" si="270"/>
        <v>-34.200000000000003</v>
      </c>
      <c r="BR98" s="410">
        <f t="shared" si="270"/>
        <v>-17.2</v>
      </c>
      <c r="BS98" s="410">
        <f t="shared" si="270"/>
        <v>20.100000000000001</v>
      </c>
      <c r="BT98" s="410">
        <f t="shared" si="270"/>
        <v>2.9000000000000021</v>
      </c>
      <c r="BU98" s="410">
        <f t="shared" si="270"/>
        <v>-31.3</v>
      </c>
      <c r="BV98" s="410">
        <f t="shared" si="270"/>
        <v>-21.3</v>
      </c>
      <c r="BW98" s="410">
        <f t="shared" si="270"/>
        <v>-23.7</v>
      </c>
      <c r="BX98" s="410">
        <f t="shared" si="270"/>
        <v>-45</v>
      </c>
      <c r="BY98" s="410">
        <f t="shared" si="270"/>
        <v>-21.9</v>
      </c>
      <c r="BZ98" s="410">
        <f t="shared" si="270"/>
        <v>-19.2</v>
      </c>
      <c r="CA98" s="410">
        <f t="shared" si="270"/>
        <v>-41.099999999999994</v>
      </c>
      <c r="CB98" s="410">
        <f t="shared" si="270"/>
        <v>-86.1</v>
      </c>
      <c r="CC98" s="410">
        <f t="shared" si="270"/>
        <v>-23.9</v>
      </c>
      <c r="CD98" s="360">
        <f t="shared" si="270"/>
        <v>-25</v>
      </c>
      <c r="CE98" s="360">
        <f t="shared" si="270"/>
        <v>-48.9</v>
      </c>
      <c r="CF98" s="360">
        <f t="shared" si="270"/>
        <v>-15</v>
      </c>
      <c r="CG98" s="360">
        <f t="shared" si="270"/>
        <v>-26.6</v>
      </c>
      <c r="CH98" s="360">
        <f t="shared" si="270"/>
        <v>-41.6</v>
      </c>
      <c r="CI98" s="360">
        <f t="shared" si="270"/>
        <v>-90.5</v>
      </c>
      <c r="CJ98" s="360">
        <f t="shared" si="270"/>
        <v>-19.7</v>
      </c>
      <c r="CK98" s="360">
        <f t="shared" si="270"/>
        <v>-22.8</v>
      </c>
      <c r="CL98" s="360">
        <f t="shared" si="270"/>
        <v>-42.5</v>
      </c>
      <c r="CM98" s="360">
        <f t="shared" ref="CM98:CR98" si="271">CM68+CM69</f>
        <v>-19.5</v>
      </c>
      <c r="CN98" s="360">
        <f t="shared" si="271"/>
        <v>-13.600000000000001</v>
      </c>
      <c r="CO98" s="360">
        <f t="shared" si="271"/>
        <v>-33.099999999999994</v>
      </c>
      <c r="CP98" s="360">
        <f t="shared" si="271"/>
        <v>-75.5</v>
      </c>
      <c r="CQ98" s="360">
        <f t="shared" si="271"/>
        <v>-16.5</v>
      </c>
      <c r="CR98" s="360">
        <f t="shared" si="271"/>
        <v>-13.100000000000001</v>
      </c>
      <c r="CS98" s="360">
        <f>CS97</f>
        <v>-29.6</v>
      </c>
      <c r="CT98" s="360">
        <f t="shared" ref="CT98:CY98" si="272">CT68+CT69</f>
        <v>-10.1</v>
      </c>
      <c r="CU98" s="360">
        <f t="shared" si="272"/>
        <v>-12.4</v>
      </c>
      <c r="CV98" s="360">
        <f t="shared" si="272"/>
        <v>-22.5</v>
      </c>
      <c r="CW98" s="360">
        <f t="shared" si="272"/>
        <v>-52.1</v>
      </c>
      <c r="CX98" s="360">
        <f t="shared" si="272"/>
        <v>-20.100000000000001</v>
      </c>
      <c r="CY98" s="360">
        <f t="shared" si="272"/>
        <v>-21.1</v>
      </c>
      <c r="CZ98" s="360">
        <f>CZ97</f>
        <v>-41.2</v>
      </c>
      <c r="DA98" s="360">
        <f t="shared" ref="DA98:DF98" si="273">DA68+DA69</f>
        <v>-16.3</v>
      </c>
      <c r="DB98" s="360">
        <f t="shared" si="273"/>
        <v>-20.6</v>
      </c>
      <c r="DC98" s="360">
        <f t="shared" si="273"/>
        <v>-36.900000000000006</v>
      </c>
      <c r="DD98" s="667">
        <f t="shared" si="273"/>
        <v>-78.100000000000009</v>
      </c>
      <c r="DE98" s="360">
        <f t="shared" si="273"/>
        <v>-23.1</v>
      </c>
      <c r="DF98" s="360">
        <f t="shared" si="273"/>
        <v>-29.6</v>
      </c>
      <c r="DG98" s="360">
        <f t="shared" ref="DG98:FR98" si="274">DG97</f>
        <v>-52.7</v>
      </c>
      <c r="DH98" s="360">
        <f t="shared" ref="DH98:DM98" si="275">DH68+DH69</f>
        <v>-30.9</v>
      </c>
      <c r="DI98" s="360">
        <f t="shared" si="275"/>
        <v>-26.099999999999987</v>
      </c>
      <c r="DJ98" s="360">
        <f t="shared" si="275"/>
        <v>-56.999999999999986</v>
      </c>
      <c r="DK98" s="667">
        <f t="shared" si="275"/>
        <v>-109.69999999999999</v>
      </c>
      <c r="DL98" s="412">
        <f t="shared" si="275"/>
        <v>-35.9</v>
      </c>
      <c r="DM98" s="360">
        <f t="shared" si="275"/>
        <v>-40.600000000000009</v>
      </c>
      <c r="DN98" s="360">
        <f>DN97</f>
        <v>-76.5</v>
      </c>
      <c r="DO98" s="360">
        <f t="shared" ref="DO98:DT98" si="276">DO68+DO69</f>
        <v>-39.200000000000003</v>
      </c>
      <c r="DP98" s="360">
        <f t="shared" si="276"/>
        <v>-38.799999999999997</v>
      </c>
      <c r="DQ98" s="360">
        <f t="shared" si="276"/>
        <v>-78</v>
      </c>
      <c r="DR98" s="667">
        <f t="shared" si="276"/>
        <v>-154.5</v>
      </c>
      <c r="DS98" s="360">
        <f t="shared" si="276"/>
        <v>-44.900000000000006</v>
      </c>
      <c r="DT98" s="360">
        <f t="shared" si="276"/>
        <v>-46.2</v>
      </c>
      <c r="DU98" s="360">
        <f>DU97</f>
        <v>-91.100000000000009</v>
      </c>
      <c r="DV98" s="281">
        <f t="shared" ref="DV98:EA98" si="277">DV68+DV69</f>
        <v>-27.8</v>
      </c>
      <c r="DW98" s="360">
        <f t="shared" si="277"/>
        <v>-33.299999999999997</v>
      </c>
      <c r="DX98" s="360">
        <f t="shared" si="277"/>
        <v>-61.1</v>
      </c>
      <c r="DY98" s="667">
        <f t="shared" si="277"/>
        <v>-152.19999999999999</v>
      </c>
      <c r="DZ98" s="360">
        <f t="shared" si="277"/>
        <v>-51.899999999999991</v>
      </c>
      <c r="EA98" s="360">
        <f t="shared" si="277"/>
        <v>-56.3</v>
      </c>
      <c r="EB98" s="360">
        <f>EB97</f>
        <v>-108.19999999999999</v>
      </c>
      <c r="EC98" s="281">
        <f t="shared" ref="EC98:EH98" si="278">EC68+EC69</f>
        <v>-49.5</v>
      </c>
      <c r="ED98" s="360">
        <f t="shared" si="278"/>
        <v>-54.000000000000007</v>
      </c>
      <c r="EE98" s="360">
        <f t="shared" si="278"/>
        <v>-103.5</v>
      </c>
      <c r="EF98" s="667">
        <f t="shared" si="278"/>
        <v>-211.7</v>
      </c>
      <c r="EG98" s="360">
        <f t="shared" si="278"/>
        <v>-53.899999999999991</v>
      </c>
      <c r="EH98" s="360">
        <f t="shared" si="278"/>
        <v>-49.3</v>
      </c>
      <c r="EI98" s="360">
        <f>EI97</f>
        <v>-103.19999999999999</v>
      </c>
      <c r="EJ98" s="360">
        <f>EJ68+EJ69</f>
        <v>-46.9</v>
      </c>
      <c r="EK98" s="360">
        <f>EK68+EK69</f>
        <v>-48.20000000000001</v>
      </c>
      <c r="EL98" s="360">
        <f>EL68+EL69</f>
        <v>-95.100000000000009</v>
      </c>
      <c r="EM98" s="667">
        <f>EM68+EM69</f>
        <v>-198.3</v>
      </c>
      <c r="EN98" s="360">
        <f t="shared" ref="EN98:EO98" si="279">EN68+EN69</f>
        <v>-37.1</v>
      </c>
      <c r="EO98" s="360">
        <f t="shared" si="279"/>
        <v>-29.999999999999989</v>
      </c>
      <c r="EP98" s="360">
        <f>EP97</f>
        <v>-67.099999999999994</v>
      </c>
      <c r="EQ98" s="412">
        <f t="shared" ref="EQ98" si="280">EQ68+EQ69</f>
        <v>-29.7</v>
      </c>
      <c r="ER98" s="413">
        <f t="shared" si="274"/>
        <v>-40.924124999121226</v>
      </c>
      <c r="ES98" s="413">
        <f t="shared" si="274"/>
        <v>-70.624124999121221</v>
      </c>
      <c r="ET98" s="601">
        <f t="shared" si="274"/>
        <v>-137.72412499912122</v>
      </c>
      <c r="EU98" s="413">
        <f t="shared" si="274"/>
        <v>-50.956301296634209</v>
      </c>
      <c r="EV98" s="413">
        <f t="shared" si="274"/>
        <v>-50.491043362614292</v>
      </c>
      <c r="EW98" s="413">
        <f t="shared" si="274"/>
        <v>-101.4473446592485</v>
      </c>
      <c r="EX98" s="413">
        <f t="shared" si="274"/>
        <v>-53.436345040988549</v>
      </c>
      <c r="EY98" s="413">
        <f t="shared" si="274"/>
        <v>-62.606271446536866</v>
      </c>
      <c r="EZ98" s="413">
        <f t="shared" si="274"/>
        <v>-116.04261648752541</v>
      </c>
      <c r="FA98" s="601">
        <f t="shared" si="274"/>
        <v>-217.48996114677391</v>
      </c>
      <c r="FB98" s="413">
        <f t="shared" si="274"/>
        <v>-58.703047547391151</v>
      </c>
      <c r="FC98" s="413">
        <f t="shared" si="274"/>
        <v>-59.842677692449662</v>
      </c>
      <c r="FD98" s="413">
        <f t="shared" si="274"/>
        <v>-118.54572523984081</v>
      </c>
      <c r="FE98" s="413">
        <f t="shared" si="274"/>
        <v>-64.83246505440475</v>
      </c>
      <c r="FF98" s="413">
        <f t="shared" si="274"/>
        <v>-71.420421155877861</v>
      </c>
      <c r="FG98" s="413">
        <f t="shared" si="274"/>
        <v>-136.25288621028261</v>
      </c>
      <c r="FH98" s="601">
        <f t="shared" si="274"/>
        <v>-254.79861145012342</v>
      </c>
      <c r="FI98" s="413">
        <f t="shared" si="274"/>
        <v>-70.259912635075807</v>
      </c>
      <c r="FJ98" s="413">
        <f t="shared" si="274"/>
        <v>-69.780868927699842</v>
      </c>
      <c r="FK98" s="413">
        <f t="shared" si="274"/>
        <v>-140.04078156277563</v>
      </c>
      <c r="FL98" s="413">
        <f t="shared" si="274"/>
        <v>-74.808432887242901</v>
      </c>
      <c r="FM98" s="413">
        <f t="shared" si="274"/>
        <v>-81.115645031633107</v>
      </c>
      <c r="FN98" s="413">
        <f t="shared" si="274"/>
        <v>-155.92407791887601</v>
      </c>
      <c r="FO98" s="601">
        <f t="shared" si="274"/>
        <v>-295.96485948165162</v>
      </c>
      <c r="FP98" s="413">
        <f t="shared" si="274"/>
        <v>-80.91878072769633</v>
      </c>
      <c r="FQ98" s="413">
        <f t="shared" si="274"/>
        <v>-82.16724788320235</v>
      </c>
      <c r="FR98" s="413">
        <f t="shared" si="274"/>
        <v>-163.08602861089867</v>
      </c>
      <c r="FS98" s="413">
        <f>FS97</f>
        <v>-87.278243892692686</v>
      </c>
      <c r="FT98" s="413">
        <f>FT97</f>
        <v>-93.455291850717089</v>
      </c>
      <c r="FU98" s="413">
        <f>FU97</f>
        <v>-180.73353574340979</v>
      </c>
      <c r="FV98" s="601">
        <f>FV97</f>
        <v>-343.81956435430845</v>
      </c>
    </row>
    <row r="99" spans="1:280" outlineLevel="1" x14ac:dyDescent="0.3">
      <c r="B99" s="253" t="s">
        <v>460</v>
      </c>
      <c r="C99" s="280"/>
      <c r="J99" s="349"/>
      <c r="K99" s="349"/>
      <c r="L99" s="349"/>
      <c r="M99" s="349"/>
      <c r="N99" s="349"/>
      <c r="O99" s="349"/>
      <c r="P99" s="349"/>
      <c r="Q99" s="349"/>
      <c r="R99" s="349"/>
      <c r="S99" s="349"/>
      <c r="T99" s="349"/>
      <c r="U99" s="349"/>
      <c r="V99" s="349"/>
      <c r="W99" s="349"/>
      <c r="X99" s="349"/>
      <c r="Y99" s="349"/>
      <c r="Z99" s="349"/>
      <c r="AA99" s="349"/>
      <c r="AB99" s="349"/>
      <c r="AC99" s="349"/>
      <c r="AD99" s="349"/>
      <c r="AE99" s="349"/>
      <c r="AF99" s="349"/>
      <c r="AG99" s="349"/>
      <c r="AH99" s="349"/>
      <c r="AI99" s="349"/>
      <c r="AJ99" s="349"/>
      <c r="AK99" s="349"/>
      <c r="AL99" s="349"/>
      <c r="AM99" s="349"/>
      <c r="AN99" s="349"/>
      <c r="AO99" s="349"/>
      <c r="AP99" s="349"/>
      <c r="AQ99" s="349"/>
      <c r="AR99" s="349"/>
      <c r="AS99" s="349"/>
      <c r="AT99" s="349"/>
      <c r="AU99" s="349"/>
      <c r="AV99" s="349"/>
      <c r="AW99" s="349"/>
      <c r="AX99" s="349"/>
      <c r="AY99" s="349"/>
      <c r="AZ99" s="349"/>
      <c r="BA99" s="349"/>
      <c r="BB99" s="349">
        <f t="shared" ref="BB99:DM99" si="281">-(BB70)/(BB95-BB66)</f>
        <v>0.2356435643564356</v>
      </c>
      <c r="BC99" s="349">
        <f t="shared" si="281"/>
        <v>0.23578751164958062</v>
      </c>
      <c r="BD99" s="349">
        <f t="shared" si="281"/>
        <v>0.21556886227544908</v>
      </c>
      <c r="BE99" s="349">
        <f t="shared" si="281"/>
        <v>0.15686274509803924</v>
      </c>
      <c r="BF99" s="349">
        <f t="shared" si="281"/>
        <v>0.18523878437047764</v>
      </c>
      <c r="BG99" s="349">
        <f t="shared" si="281"/>
        <v>0.21598639455782317</v>
      </c>
      <c r="BH99" s="349">
        <f t="shared" si="281"/>
        <v>0.21954887218045108</v>
      </c>
      <c r="BI99" s="349">
        <f t="shared" si="281"/>
        <v>0.21508379888268153</v>
      </c>
      <c r="BJ99" s="349">
        <f t="shared" si="281"/>
        <v>0.21723388848660388</v>
      </c>
      <c r="BK99" s="349">
        <f t="shared" si="281"/>
        <v>0.21586715867158673</v>
      </c>
      <c r="BL99" s="349">
        <f t="shared" si="281"/>
        <v>0.21946902654867267</v>
      </c>
      <c r="BM99" s="349">
        <f t="shared" si="281"/>
        <v>0.21770551038843736</v>
      </c>
      <c r="BN99" s="349">
        <f t="shared" si="281"/>
        <v>0.21744372990353703</v>
      </c>
      <c r="BO99" s="349">
        <f t="shared" si="281"/>
        <v>0.23470839260312945</v>
      </c>
      <c r="BP99" s="349">
        <f t="shared" si="281"/>
        <v>0.21676646706586825</v>
      </c>
      <c r="BQ99" s="349">
        <f t="shared" si="281"/>
        <v>0.2249674902470741</v>
      </c>
      <c r="BR99" s="349">
        <f t="shared" si="281"/>
        <v>0.25</v>
      </c>
      <c r="BS99" s="349">
        <f t="shared" si="281"/>
        <v>0.23815789473684212</v>
      </c>
      <c r="BT99" s="349">
        <f t="shared" si="281"/>
        <v>0.24358974358974356</v>
      </c>
      <c r="BU99" s="349">
        <f t="shared" si="281"/>
        <v>0.23385452073419447</v>
      </c>
      <c r="BV99" s="349">
        <f t="shared" si="281"/>
        <v>0.27425149700598805</v>
      </c>
      <c r="BW99" s="349">
        <f t="shared" si="281"/>
        <v>0.25759280089988745</v>
      </c>
      <c r="BX99" s="349">
        <f t="shared" si="281"/>
        <v>0.26566125290023196</v>
      </c>
      <c r="BY99" s="349">
        <f t="shared" si="281"/>
        <v>0.27984084880636606</v>
      </c>
      <c r="BZ99" s="349">
        <f t="shared" si="281"/>
        <v>0.22750642673521854</v>
      </c>
      <c r="CA99" s="349">
        <f t="shared" si="281"/>
        <v>0.25326370757180156</v>
      </c>
      <c r="CB99" s="349">
        <f t="shared" si="281"/>
        <v>0.25982800982800974</v>
      </c>
      <c r="CC99" s="349">
        <f t="shared" si="281"/>
        <v>0.26898047722342733</v>
      </c>
      <c r="CD99" s="349">
        <f t="shared" si="281"/>
        <v>0.25050505050505045</v>
      </c>
      <c r="CE99" s="349">
        <f t="shared" si="281"/>
        <v>0.2594142259414226</v>
      </c>
      <c r="CF99" s="349">
        <f t="shared" si="281"/>
        <v>0.23007518796992477</v>
      </c>
      <c r="CG99" s="349">
        <f t="shared" si="281"/>
        <v>0.22622478386167155</v>
      </c>
      <c r="CH99" s="349">
        <f t="shared" si="281"/>
        <v>0.22810890360559233</v>
      </c>
      <c r="CI99" s="349">
        <f t="shared" si="281"/>
        <v>0.24640782635279729</v>
      </c>
      <c r="CJ99" s="349">
        <f t="shared" si="281"/>
        <v>0.23931623931623927</v>
      </c>
      <c r="CK99" s="349">
        <f t="shared" si="281"/>
        <v>0.23651452282157676</v>
      </c>
      <c r="CL99" s="349">
        <f t="shared" si="281"/>
        <v>0.23780145821648907</v>
      </c>
      <c r="CM99" s="349">
        <f t="shared" si="281"/>
        <v>0.22083805209513027</v>
      </c>
      <c r="CN99" s="349">
        <f t="shared" si="281"/>
        <v>0.14391534391534389</v>
      </c>
      <c r="CO99" s="349">
        <f t="shared" si="281"/>
        <v>0.1810722100656455</v>
      </c>
      <c r="CP99" s="349">
        <f t="shared" si="281"/>
        <v>0.20908335641096651</v>
      </c>
      <c r="CQ99" s="349">
        <f t="shared" si="281"/>
        <v>0.1715176715176715</v>
      </c>
      <c r="CR99" s="349">
        <f t="shared" si="281"/>
        <v>0.13951011714589989</v>
      </c>
      <c r="CS99" s="349">
        <f t="shared" si="281"/>
        <v>0.15570752235665442</v>
      </c>
      <c r="CT99" s="349">
        <f t="shared" si="281"/>
        <v>0.13254593175853019</v>
      </c>
      <c r="CU99" s="349">
        <f t="shared" si="281"/>
        <v>0.14385150812064967</v>
      </c>
      <c r="CV99" s="349">
        <f t="shared" si="281"/>
        <v>0.13854679802955666</v>
      </c>
      <c r="CW99" s="349">
        <f t="shared" si="281"/>
        <v>0.14780141843971631</v>
      </c>
      <c r="CX99" s="349">
        <f t="shared" si="281"/>
        <v>0.18190045248868772</v>
      </c>
      <c r="CY99" s="349">
        <f t="shared" si="281"/>
        <v>0.1758333333333334</v>
      </c>
      <c r="CZ99" s="349">
        <f t="shared" si="281"/>
        <v>0.17874186550976143</v>
      </c>
      <c r="DA99" s="349">
        <f t="shared" si="281"/>
        <v>0.17451820128479656</v>
      </c>
      <c r="DB99" s="349">
        <f>-(DB70)/(DB95-DB66)</f>
        <v>0.19127205199628602</v>
      </c>
      <c r="DC99" s="349">
        <f>-(DC70)/(DC95-DC66)</f>
        <v>0.18349080059671805</v>
      </c>
      <c r="DD99" s="573">
        <f>-(DD70)/(DD95-DD66)</f>
        <v>0.18095458758109362</v>
      </c>
      <c r="DE99" s="350">
        <f>-(DE70)/(DE95-DE66)</f>
        <v>0.20569902048085481</v>
      </c>
      <c r="DF99" s="350">
        <f>-(DF70)/(DF95-DF66)</f>
        <v>0.19693945442448441</v>
      </c>
      <c r="DG99" s="349">
        <f t="shared" si="281"/>
        <v>0.20068545316070069</v>
      </c>
      <c r="DH99" s="349">
        <f t="shared" si="281"/>
        <v>0.20051914341336793</v>
      </c>
      <c r="DI99" s="349">
        <f t="shared" si="281"/>
        <v>0.17227722772277218</v>
      </c>
      <c r="DJ99" s="349">
        <f t="shared" si="281"/>
        <v>0.18651832460732978</v>
      </c>
      <c r="DK99" s="573">
        <f t="shared" si="281"/>
        <v>0.19306582189369934</v>
      </c>
      <c r="DL99" s="351">
        <f t="shared" si="281"/>
        <v>0.21105232216343323</v>
      </c>
      <c r="DM99" s="350">
        <f t="shared" si="281"/>
        <v>0.2075664621676892</v>
      </c>
      <c r="DN99" s="349">
        <f t="shared" ref="DN99:EH99" si="282">-(DN70)/(DN95-DN66)</f>
        <v>0.20918785890073829</v>
      </c>
      <c r="DO99" s="350">
        <f t="shared" si="282"/>
        <v>0.20258397932816535</v>
      </c>
      <c r="DP99" s="349">
        <f t="shared" si="282"/>
        <v>0.17946345975948194</v>
      </c>
      <c r="DQ99" s="349">
        <f t="shared" si="282"/>
        <v>0.19038320722479862</v>
      </c>
      <c r="DR99" s="573">
        <f t="shared" si="282"/>
        <v>0.19925199896827445</v>
      </c>
      <c r="DS99" s="350">
        <f t="shared" si="282"/>
        <v>0.22517552657973924</v>
      </c>
      <c r="DT99" s="350">
        <f t="shared" si="282"/>
        <v>0.22041984732824427</v>
      </c>
      <c r="DU99" s="350">
        <f t="shared" si="282"/>
        <v>0.22273838630806841</v>
      </c>
      <c r="DV99" s="350">
        <f t="shared" si="282"/>
        <v>0.17550505050505052</v>
      </c>
      <c r="DW99" s="349">
        <f t="shared" si="282"/>
        <v>0.18760563380281689</v>
      </c>
      <c r="DX99" s="349">
        <f t="shared" si="282"/>
        <v>0.18189937481393276</v>
      </c>
      <c r="DY99" s="573">
        <f t="shared" si="282"/>
        <v>0.20432272788293729</v>
      </c>
      <c r="DZ99" s="350">
        <f t="shared" si="282"/>
        <v>0.22753178430512927</v>
      </c>
      <c r="EA99" s="350">
        <f t="shared" si="282"/>
        <v>0.23906581740976651</v>
      </c>
      <c r="EB99" s="350">
        <f t="shared" si="282"/>
        <v>0.23339085418464195</v>
      </c>
      <c r="EC99" s="350">
        <f t="shared" si="282"/>
        <v>0.21428571428571425</v>
      </c>
      <c r="ED99" s="349">
        <f t="shared" si="282"/>
        <v>0.23386747509744474</v>
      </c>
      <c r="EE99" s="349">
        <f t="shared" si="282"/>
        <v>0.22407447499458755</v>
      </c>
      <c r="EF99" s="573">
        <f t="shared" si="282"/>
        <v>0.22874122096164232</v>
      </c>
      <c r="EG99" s="350">
        <f t="shared" si="282"/>
        <v>0.23063756953359005</v>
      </c>
      <c r="EH99" s="350">
        <f t="shared" si="282"/>
        <v>0.2357723577235773</v>
      </c>
      <c r="EI99" s="350">
        <f t="shared" ref="EI99:EO99" si="283">-(EI70)/(EI95-EI66)</f>
        <v>0.23306233062330617</v>
      </c>
      <c r="EJ99" s="350">
        <f t="shared" si="283"/>
        <v>0.23080708661417323</v>
      </c>
      <c r="EK99" s="350">
        <f t="shared" si="283"/>
        <v>0.23206547905633132</v>
      </c>
      <c r="EL99" s="349">
        <f t="shared" si="283"/>
        <v>0.23144317352153812</v>
      </c>
      <c r="EM99" s="573">
        <f t="shared" si="283"/>
        <v>0.23228300339697786</v>
      </c>
      <c r="EN99" s="350">
        <f t="shared" si="283"/>
        <v>0.22691131498470948</v>
      </c>
      <c r="EO99" s="350">
        <f t="shared" si="283"/>
        <v>0.16094420600858364</v>
      </c>
      <c r="EP99" s="350">
        <f t="shared" ref="EP99:EQ99" si="284">-(EP70)/(EP95-EP66)</f>
        <v>0.19787673252727805</v>
      </c>
      <c r="EQ99" s="351">
        <f t="shared" si="284"/>
        <v>0.1703958691910499</v>
      </c>
      <c r="ER99" s="349">
        <f t="shared" ref="ER99:FV99" si="285">-(ER70)/(ER95-ER66)</f>
        <v>0.19</v>
      </c>
      <c r="ES99" s="349">
        <f t="shared" si="285"/>
        <v>0.17461499094458086</v>
      </c>
      <c r="ET99" s="581">
        <f t="shared" si="285"/>
        <v>0.18916018568865442</v>
      </c>
      <c r="EU99" s="349">
        <f t="shared" si="285"/>
        <v>0.221916213133491</v>
      </c>
      <c r="EV99" s="349">
        <f t="shared" si="285"/>
        <v>0.22193402561658296</v>
      </c>
      <c r="EW99" s="349">
        <f t="shared" si="285"/>
        <v>0.22205380789630433</v>
      </c>
      <c r="EX99" s="349">
        <f t="shared" si="285"/>
        <v>0.22182654105533375</v>
      </c>
      <c r="EY99" s="349">
        <f t="shared" si="285"/>
        <v>0.22155711445688436</v>
      </c>
      <c r="EZ99" s="349">
        <f t="shared" si="285"/>
        <v>0.22179874561966051</v>
      </c>
      <c r="FA99" s="581">
        <f t="shared" si="285"/>
        <v>0.22197906878963586</v>
      </c>
      <c r="FB99" s="349">
        <f t="shared" si="285"/>
        <v>0.21151330453213316</v>
      </c>
      <c r="FC99" s="349">
        <f t="shared" si="285"/>
        <v>0.21148428181672477</v>
      </c>
      <c r="FD99" s="349">
        <f t="shared" si="285"/>
        <v>0.21160050240695236</v>
      </c>
      <c r="FE99" s="349">
        <f t="shared" si="285"/>
        <v>0.21136930018010491</v>
      </c>
      <c r="FF99" s="349">
        <f t="shared" si="285"/>
        <v>0.21124224615240467</v>
      </c>
      <c r="FG99" s="349">
        <f t="shared" si="285"/>
        <v>0.21139620373562196</v>
      </c>
      <c r="FH99" s="581">
        <f t="shared" si="285"/>
        <v>0.2115398736203814</v>
      </c>
      <c r="FI99" s="349">
        <f t="shared" si="285"/>
        <v>0.21126288817772235</v>
      </c>
      <c r="FJ99" s="349">
        <f t="shared" si="285"/>
        <v>0.21127161036710679</v>
      </c>
      <c r="FK99" s="349">
        <f t="shared" si="285"/>
        <v>0.21135505059067203</v>
      </c>
      <c r="FL99" s="349">
        <f t="shared" si="285"/>
        <v>0.21118566820911111</v>
      </c>
      <c r="FM99" s="349">
        <f t="shared" si="285"/>
        <v>0.21109299578639495</v>
      </c>
      <c r="FN99" s="349">
        <f t="shared" si="285"/>
        <v>0.2112198527207173</v>
      </c>
      <c r="FO99" s="581">
        <f t="shared" si="285"/>
        <v>0.21132625524561602</v>
      </c>
      <c r="FP99" s="349">
        <f t="shared" si="285"/>
        <v>0.21109566876917493</v>
      </c>
      <c r="FQ99" s="349">
        <f t="shared" si="285"/>
        <v>0.21107893540496941</v>
      </c>
      <c r="FR99" s="349">
        <f t="shared" si="285"/>
        <v>0.21116385560169623</v>
      </c>
      <c r="FS99" s="349">
        <f t="shared" si="285"/>
        <v>0.21101544765409908</v>
      </c>
      <c r="FT99" s="349">
        <f t="shared" si="285"/>
        <v>0.21094802733721224</v>
      </c>
      <c r="FU99" s="349">
        <f t="shared" si="285"/>
        <v>0.211052591453776</v>
      </c>
      <c r="FV99" s="581">
        <f t="shared" si="285"/>
        <v>0.21114242265991229</v>
      </c>
    </row>
    <row r="100" spans="1:280" x14ac:dyDescent="0.3">
      <c r="C100" s="280"/>
      <c r="AN100" s="281"/>
      <c r="AU100" s="281"/>
      <c r="BA100" s="349"/>
      <c r="CI100" s="9"/>
      <c r="CP100" s="9"/>
      <c r="CW100" s="9"/>
    </row>
    <row r="101" spans="1:280" s="263" customFormat="1" ht="12.05" customHeight="1" x14ac:dyDescent="0.3">
      <c r="A101" s="260" t="s">
        <v>461</v>
      </c>
      <c r="B101" s="269"/>
      <c r="C101" s="414"/>
      <c r="D101" s="271"/>
      <c r="E101" s="271"/>
      <c r="F101" s="271"/>
      <c r="G101" s="271"/>
      <c r="H101" s="271"/>
      <c r="I101" s="271"/>
      <c r="J101" s="271"/>
      <c r="K101" s="271"/>
      <c r="L101" s="261"/>
      <c r="M101" s="261"/>
      <c r="N101" s="261"/>
      <c r="O101" s="261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  <c r="Z101" s="261"/>
      <c r="AA101" s="261"/>
      <c r="AB101" s="261"/>
      <c r="AC101" s="261"/>
      <c r="AD101" s="261"/>
      <c r="AE101" s="261"/>
      <c r="AF101" s="261"/>
      <c r="AG101" s="261"/>
      <c r="AH101" s="261"/>
      <c r="AI101" s="261"/>
      <c r="AJ101" s="261"/>
      <c r="AK101" s="261"/>
      <c r="AL101" s="261"/>
      <c r="AM101" s="261"/>
      <c r="AN101" s="261"/>
      <c r="AO101" s="261"/>
      <c r="AP101" s="261"/>
      <c r="AQ101" s="261"/>
      <c r="AR101" s="261"/>
      <c r="AS101" s="261"/>
      <c r="AT101" s="261"/>
      <c r="AU101" s="261"/>
      <c r="AV101" s="261"/>
      <c r="AW101" s="261"/>
      <c r="AX101" s="261"/>
      <c r="AY101" s="261"/>
      <c r="AZ101" s="261"/>
      <c r="BA101" s="261"/>
      <c r="BB101" s="261"/>
      <c r="BC101" s="261"/>
      <c r="BD101" s="261"/>
      <c r="BE101" s="261"/>
      <c r="BF101" s="261"/>
      <c r="BG101" s="261"/>
      <c r="BH101" s="261"/>
      <c r="BI101" s="261"/>
      <c r="BJ101" s="261"/>
      <c r="BK101" s="261"/>
      <c r="BL101" s="261"/>
      <c r="BM101" s="261"/>
      <c r="BN101" s="261"/>
      <c r="BO101" s="261"/>
      <c r="BP101" s="261"/>
      <c r="BQ101" s="261"/>
      <c r="BR101" s="261"/>
      <c r="BS101" s="261"/>
      <c r="BT101" s="261"/>
      <c r="BU101" s="261"/>
      <c r="BV101" s="261"/>
      <c r="BW101" s="261"/>
      <c r="BX101" s="261"/>
      <c r="BY101" s="261"/>
      <c r="BZ101" s="261"/>
      <c r="CA101" s="261"/>
      <c r="CB101" s="271"/>
      <c r="CC101" s="271"/>
      <c r="CD101" s="271"/>
      <c r="CE101" s="271"/>
      <c r="CF101" s="271"/>
      <c r="CG101" s="271"/>
      <c r="CH101" s="271"/>
      <c r="CI101" s="271"/>
      <c r="CJ101" s="271"/>
      <c r="CK101" s="271"/>
      <c r="CL101" s="271"/>
      <c r="CM101" s="261"/>
      <c r="CN101" s="271"/>
      <c r="CO101" s="271"/>
      <c r="CP101" s="271"/>
      <c r="CQ101" s="271"/>
      <c r="CR101" s="271"/>
      <c r="CS101" s="271"/>
      <c r="CT101" s="271"/>
      <c r="CU101" s="271"/>
      <c r="CV101" s="271"/>
      <c r="CW101" s="271"/>
      <c r="CX101" s="271"/>
      <c r="CY101" s="271"/>
      <c r="CZ101" s="271"/>
      <c r="DA101" s="271"/>
      <c r="DB101" s="271"/>
      <c r="DC101" s="271"/>
      <c r="DD101" s="271"/>
      <c r="DE101" s="271"/>
      <c r="DF101" s="271"/>
      <c r="DG101" s="271"/>
      <c r="DH101" s="271"/>
      <c r="DI101" s="271"/>
      <c r="DJ101" s="271"/>
      <c r="DK101" s="271"/>
      <c r="DL101" s="272"/>
      <c r="DM101" s="271"/>
      <c r="DN101" s="271"/>
      <c r="DO101" s="271"/>
      <c r="DP101" s="271"/>
      <c r="DQ101" s="271"/>
      <c r="DR101" s="271"/>
      <c r="DS101" s="271"/>
      <c r="DT101" s="271"/>
      <c r="DU101" s="271"/>
      <c r="DV101" s="271"/>
      <c r="DW101" s="271"/>
      <c r="DX101" s="271"/>
      <c r="DY101" s="271"/>
      <c r="DZ101" s="271"/>
      <c r="EA101" s="271"/>
      <c r="EB101" s="271"/>
      <c r="EC101" s="271"/>
      <c r="ED101" s="271"/>
      <c r="EE101" s="271"/>
      <c r="EF101" s="271"/>
      <c r="EG101" s="271"/>
      <c r="EH101" s="271"/>
      <c r="EI101" s="271"/>
      <c r="EJ101" s="271"/>
      <c r="EK101" s="271"/>
      <c r="EL101" s="271"/>
      <c r="EM101" s="271"/>
      <c r="EN101" s="271"/>
      <c r="EO101" s="271"/>
      <c r="EP101" s="271"/>
      <c r="EQ101" s="272"/>
      <c r="ER101" s="271"/>
      <c r="ES101" s="271"/>
      <c r="ET101" s="271"/>
      <c r="EU101" s="271"/>
      <c r="EV101" s="271"/>
      <c r="EW101" s="271"/>
      <c r="EX101" s="271"/>
      <c r="EY101" s="271"/>
      <c r="EZ101" s="271"/>
      <c r="FA101" s="271"/>
      <c r="FB101" s="271"/>
      <c r="FC101" s="271"/>
      <c r="FD101" s="271"/>
      <c r="FE101" s="271"/>
      <c r="FF101" s="271"/>
      <c r="FG101" s="271"/>
      <c r="FH101" s="271"/>
      <c r="FI101" s="271"/>
      <c r="FJ101" s="271"/>
      <c r="FK101" s="271"/>
      <c r="FL101" s="271"/>
      <c r="FM101" s="271"/>
      <c r="FN101" s="271"/>
      <c r="FO101" s="271"/>
      <c r="FP101" s="271"/>
      <c r="FQ101" s="271"/>
      <c r="FR101" s="271"/>
      <c r="FS101" s="271"/>
      <c r="FT101" s="271"/>
      <c r="FU101" s="271"/>
      <c r="FV101" s="271"/>
      <c r="FW101" s="268"/>
      <c r="FX101" s="268"/>
      <c r="FY101" s="268"/>
      <c r="FZ101" s="268"/>
      <c r="GA101" s="268"/>
      <c r="GB101"/>
      <c r="GC101"/>
      <c r="GD101"/>
      <c r="GE101"/>
      <c r="GF101"/>
      <c r="GG101"/>
      <c r="GH101" s="268"/>
      <c r="GI101" s="268"/>
      <c r="GJ101" s="268"/>
      <c r="GK101" s="268"/>
      <c r="GL101" s="268"/>
      <c r="GM101" s="268"/>
      <c r="GN101" s="268"/>
      <c r="GO101" s="268"/>
      <c r="GP101" s="268"/>
      <c r="GQ101" s="268"/>
      <c r="GR101" s="268"/>
      <c r="GS101" s="268"/>
      <c r="GT101" s="268"/>
      <c r="GU101" s="268"/>
      <c r="GV101" s="268"/>
      <c r="GW101" s="268"/>
      <c r="GX101" s="268"/>
      <c r="GY101" s="268"/>
      <c r="GZ101" s="268"/>
      <c r="HA101" s="268"/>
      <c r="HB101" s="268"/>
      <c r="HC101" s="268"/>
      <c r="HD101" s="268"/>
      <c r="HE101" s="268"/>
      <c r="HF101" s="268"/>
      <c r="HG101" s="268"/>
      <c r="HH101" s="268"/>
      <c r="HI101" s="268"/>
      <c r="HJ101" s="268"/>
      <c r="HK101" s="268"/>
      <c r="HL101" s="268"/>
      <c r="HM101" s="268"/>
      <c r="HN101" s="268"/>
      <c r="HO101" s="268"/>
      <c r="HP101" s="268"/>
      <c r="HQ101" s="268"/>
      <c r="HR101" s="268"/>
      <c r="HS101" s="268"/>
      <c r="HT101" s="268"/>
      <c r="HU101" s="268"/>
      <c r="HV101" s="268"/>
      <c r="HW101" s="268"/>
      <c r="HX101" s="268"/>
      <c r="HY101" s="268"/>
      <c r="HZ101" s="268"/>
      <c r="IA101" s="268"/>
      <c r="IB101" s="268"/>
      <c r="IC101" s="268"/>
      <c r="ID101" s="268"/>
      <c r="IE101" s="268"/>
      <c r="IF101" s="268"/>
      <c r="IG101" s="268"/>
      <c r="IH101" s="268"/>
      <c r="II101" s="268"/>
      <c r="IJ101" s="268"/>
      <c r="IK101" s="268"/>
      <c r="IL101" s="268"/>
      <c r="IM101" s="268"/>
      <c r="IN101" s="268"/>
      <c r="IO101" s="268"/>
      <c r="IP101" s="268"/>
      <c r="IQ101" s="268"/>
      <c r="IR101" s="268"/>
      <c r="IS101" s="268"/>
      <c r="IT101" s="268"/>
      <c r="IU101" s="268"/>
      <c r="IV101" s="268"/>
      <c r="IW101" s="268"/>
      <c r="IX101" s="268"/>
      <c r="IY101" s="268"/>
      <c r="IZ101" s="268"/>
      <c r="JA101" s="268"/>
      <c r="JB101" s="268"/>
      <c r="JC101" s="268"/>
      <c r="JD101" s="268"/>
      <c r="JE101" s="268"/>
      <c r="JF101" s="268"/>
      <c r="JG101" s="268"/>
      <c r="JH101" s="268"/>
      <c r="JI101" s="268"/>
      <c r="JJ101" s="268"/>
      <c r="JK101" s="268"/>
      <c r="JL101" s="268"/>
      <c r="JM101" s="268"/>
      <c r="JN101" s="268"/>
      <c r="JO101" s="268"/>
      <c r="JP101" s="268"/>
      <c r="JQ101" s="268"/>
      <c r="JR101" s="268"/>
      <c r="JS101" s="268"/>
      <c r="JT101" s="268"/>
    </row>
    <row r="102" spans="1:280" outlineLevel="1" collapsed="1" x14ac:dyDescent="0.3">
      <c r="B102" s="273" t="s">
        <v>462</v>
      </c>
      <c r="C102" s="415"/>
      <c r="D102" s="273"/>
      <c r="E102" s="273"/>
      <c r="F102" s="273"/>
      <c r="G102" s="273"/>
      <c r="H102" s="273"/>
      <c r="I102" s="273"/>
      <c r="J102" s="273"/>
      <c r="K102" s="273"/>
      <c r="L102" s="273"/>
      <c r="M102" s="273"/>
      <c r="N102" s="273"/>
      <c r="O102" s="273"/>
      <c r="P102" s="273"/>
      <c r="Q102" s="273"/>
      <c r="R102" s="273"/>
      <c r="S102" s="273"/>
      <c r="T102" s="273"/>
      <c r="U102" s="273"/>
      <c r="V102" s="273"/>
      <c r="W102" s="273"/>
      <c r="X102" s="273"/>
      <c r="Y102" s="273"/>
      <c r="Z102" s="273"/>
      <c r="AA102" s="273"/>
      <c r="AB102" s="273"/>
      <c r="AC102" s="273"/>
      <c r="AD102" s="273"/>
      <c r="AE102" s="273"/>
      <c r="AF102" s="273"/>
      <c r="AG102" s="273"/>
      <c r="AH102" s="273"/>
      <c r="AI102" s="273"/>
      <c r="AJ102" s="273"/>
      <c r="AK102" s="273"/>
      <c r="AL102" s="273"/>
      <c r="AM102" s="273"/>
      <c r="AN102" s="273"/>
      <c r="AO102" s="273"/>
      <c r="AP102" s="273"/>
      <c r="AQ102" s="273"/>
      <c r="AR102" s="273"/>
      <c r="AS102" s="273"/>
      <c r="AT102" s="273"/>
      <c r="AU102" s="273"/>
      <c r="AV102" s="273"/>
      <c r="AW102" s="273"/>
      <c r="AX102" s="273"/>
      <c r="AY102" s="273"/>
      <c r="AZ102" s="273"/>
      <c r="BA102" s="273"/>
      <c r="BB102" s="273"/>
      <c r="BC102" s="273"/>
      <c r="BD102" s="273"/>
      <c r="BE102" s="273"/>
      <c r="BF102" s="273"/>
      <c r="BG102" s="273"/>
      <c r="BH102" s="273"/>
      <c r="BI102" s="273"/>
      <c r="BJ102" s="273"/>
      <c r="BK102" s="273"/>
      <c r="BL102" s="273"/>
      <c r="BM102" s="273"/>
      <c r="BN102" s="273"/>
      <c r="BO102" s="273"/>
      <c r="BP102" s="273"/>
      <c r="BQ102" s="273"/>
      <c r="BR102" s="273"/>
      <c r="BS102" s="273"/>
      <c r="BT102" s="273"/>
      <c r="BU102" s="273"/>
      <c r="BV102" s="273"/>
      <c r="BW102" s="273"/>
      <c r="BX102" s="273"/>
      <c r="BY102" s="273"/>
      <c r="BZ102" s="273"/>
      <c r="CA102" s="273"/>
      <c r="CB102" s="273"/>
      <c r="CC102" s="273"/>
      <c r="CD102" s="273"/>
      <c r="CE102" s="273"/>
      <c r="CF102" s="273"/>
      <c r="CG102" s="273"/>
      <c r="CH102" s="273"/>
      <c r="CI102" s="273"/>
      <c r="CJ102" s="273"/>
      <c r="CK102" s="273"/>
      <c r="CL102" s="273"/>
      <c r="CM102" s="273"/>
      <c r="CN102" s="273"/>
      <c r="CO102" s="273"/>
      <c r="CP102" s="273"/>
      <c r="CQ102" s="273"/>
      <c r="CR102" s="273"/>
      <c r="CS102" s="273"/>
      <c r="CT102" s="273"/>
      <c r="CU102" s="273"/>
      <c r="CV102" s="273"/>
      <c r="CW102" s="273"/>
      <c r="CX102" s="273"/>
      <c r="CY102" s="273"/>
      <c r="CZ102" s="273"/>
      <c r="DA102" s="273"/>
      <c r="DB102" s="273"/>
      <c r="DC102" s="273"/>
      <c r="DD102" s="602"/>
      <c r="DE102" s="273"/>
      <c r="DF102" s="273"/>
      <c r="DG102" s="273"/>
      <c r="DH102" s="273"/>
      <c r="DI102" s="273"/>
      <c r="DJ102" s="273"/>
      <c r="DK102" s="602"/>
      <c r="DL102" s="416"/>
      <c r="DM102" s="273"/>
      <c r="DN102" s="273"/>
      <c r="DO102" s="273"/>
      <c r="DP102" s="273"/>
      <c r="DQ102" s="273"/>
      <c r="DR102" s="602"/>
      <c r="DS102" s="273"/>
      <c r="DT102" s="273"/>
      <c r="DU102" s="273"/>
      <c r="DV102" s="273"/>
      <c r="DW102" s="273"/>
      <c r="DX102" s="273"/>
      <c r="DY102" s="602"/>
      <c r="DZ102" s="273"/>
      <c r="EA102" s="273"/>
      <c r="EB102" s="273"/>
      <c r="EC102" s="273"/>
      <c r="ED102" s="273"/>
      <c r="EE102" s="273"/>
      <c r="EF102" s="602"/>
      <c r="EG102" s="273"/>
      <c r="EH102" s="273"/>
      <c r="EI102" s="273"/>
      <c r="EJ102" s="273"/>
      <c r="EK102" s="273"/>
      <c r="EL102" s="273"/>
      <c r="EM102" s="602"/>
      <c r="EN102" s="273"/>
      <c r="EO102" s="273"/>
      <c r="EP102" s="273"/>
      <c r="EQ102" s="416"/>
      <c r="ER102" s="273"/>
      <c r="ES102" s="273"/>
      <c r="ET102" s="602"/>
      <c r="EU102" s="273"/>
      <c r="EV102" s="273"/>
      <c r="EW102" s="273"/>
      <c r="EX102" s="273"/>
      <c r="EY102" s="273"/>
      <c r="EZ102" s="273"/>
      <c r="FA102" s="602"/>
      <c r="FB102" s="273"/>
      <c r="FC102" s="273"/>
      <c r="FD102" s="273"/>
      <c r="FE102" s="273"/>
      <c r="FF102" s="273"/>
      <c r="FG102" s="273"/>
      <c r="FH102" s="602"/>
      <c r="FI102" s="273"/>
      <c r="FJ102" s="273"/>
      <c r="FK102" s="273"/>
      <c r="FL102" s="273"/>
      <c r="FM102" s="273"/>
      <c r="FN102" s="273"/>
      <c r="FO102" s="602"/>
      <c r="FP102" s="273"/>
      <c r="FQ102" s="273"/>
      <c r="FR102" s="273"/>
      <c r="FS102" s="273"/>
      <c r="FT102" s="273"/>
      <c r="FU102" s="273"/>
      <c r="FV102" s="602"/>
    </row>
    <row r="103" spans="1:280" outlineLevel="1" x14ac:dyDescent="0.3">
      <c r="B103" s="279" t="s">
        <v>463</v>
      </c>
      <c r="C103" s="304" t="s">
        <v>226</v>
      </c>
      <c r="D103" s="281">
        <f t="shared" ref="D103:AL103" si="286">D36</f>
        <v>101.5</v>
      </c>
      <c r="E103" s="281">
        <f t="shared" si="286"/>
        <v>94.199999999999989</v>
      </c>
      <c r="F103" s="281">
        <f t="shared" si="286"/>
        <v>198.3</v>
      </c>
      <c r="G103" s="281">
        <f t="shared" si="286"/>
        <v>80.500000000000014</v>
      </c>
      <c r="H103" s="281">
        <f t="shared" si="286"/>
        <v>80.599999999999994</v>
      </c>
      <c r="I103" s="281">
        <f t="shared" si="286"/>
        <v>161.10000000000002</v>
      </c>
      <c r="J103" s="281">
        <f t="shared" si="286"/>
        <v>326.00000000000006</v>
      </c>
      <c r="K103" s="281">
        <f t="shared" si="286"/>
        <v>107.1</v>
      </c>
      <c r="L103" s="281">
        <f t="shared" si="286"/>
        <v>101.4</v>
      </c>
      <c r="M103" s="281">
        <f t="shared" si="286"/>
        <v>208.5</v>
      </c>
      <c r="N103" s="281">
        <f t="shared" si="286"/>
        <v>76.899999999999991</v>
      </c>
      <c r="O103" s="281">
        <f t="shared" si="286"/>
        <v>84.1</v>
      </c>
      <c r="P103" s="281">
        <f t="shared" si="286"/>
        <v>161</v>
      </c>
      <c r="Q103" s="281">
        <f t="shared" si="286"/>
        <v>369.59999999999991</v>
      </c>
      <c r="R103" s="281">
        <f t="shared" si="286"/>
        <v>121.60000000000001</v>
      </c>
      <c r="S103" s="281">
        <f t="shared" si="286"/>
        <v>90.100000000000009</v>
      </c>
      <c r="T103" s="281">
        <f t="shared" si="286"/>
        <v>211.7</v>
      </c>
      <c r="U103" s="281">
        <f t="shared" si="286"/>
        <v>73.3</v>
      </c>
      <c r="V103" s="281">
        <f t="shared" si="286"/>
        <v>58.7</v>
      </c>
      <c r="W103" s="281">
        <f t="shared" si="286"/>
        <v>132.00000000000003</v>
      </c>
      <c r="X103" s="281">
        <f t="shared" si="286"/>
        <v>343.7</v>
      </c>
      <c r="Y103" s="281">
        <f t="shared" si="286"/>
        <v>79.499999999999986</v>
      </c>
      <c r="Z103" s="281">
        <f t="shared" si="286"/>
        <v>71.3</v>
      </c>
      <c r="AA103" s="281">
        <f t="shared" si="286"/>
        <v>150.79999999999998</v>
      </c>
      <c r="AB103" s="281">
        <f t="shared" si="286"/>
        <v>44.599999999999994</v>
      </c>
      <c r="AC103" s="281">
        <f t="shared" si="286"/>
        <v>31.9</v>
      </c>
      <c r="AD103" s="281">
        <f t="shared" si="286"/>
        <v>76.499999999999986</v>
      </c>
      <c r="AE103" s="281">
        <f t="shared" si="286"/>
        <v>227.3</v>
      </c>
      <c r="AF103" s="281">
        <f t="shared" si="286"/>
        <v>78.800000000000011</v>
      </c>
      <c r="AG103" s="281">
        <f t="shared" si="286"/>
        <v>77.600000000000009</v>
      </c>
      <c r="AH103" s="281">
        <f t="shared" si="286"/>
        <v>156.39999999999998</v>
      </c>
      <c r="AI103" s="281">
        <f t="shared" si="286"/>
        <v>59.6</v>
      </c>
      <c r="AJ103" s="281">
        <f t="shared" si="286"/>
        <v>54.399999999999991</v>
      </c>
      <c r="AK103" s="281">
        <f t="shared" si="286"/>
        <v>114</v>
      </c>
      <c r="AL103" s="281">
        <f t="shared" si="286"/>
        <v>270.39999999999998</v>
      </c>
      <c r="AM103" s="281">
        <f>AM36-AM71-SUM(AM77:AM78)</f>
        <v>15.900000000000006</v>
      </c>
      <c r="AN103" s="281">
        <f t="shared" ref="AN103:AS103" si="287">AN36-AN71</f>
        <v>57.699999999999996</v>
      </c>
      <c r="AO103" s="281">
        <f t="shared" si="287"/>
        <v>138</v>
      </c>
      <c r="AP103" s="281">
        <f t="shared" si="287"/>
        <v>46.099999999999994</v>
      </c>
      <c r="AQ103" s="281">
        <f t="shared" si="287"/>
        <v>62.8</v>
      </c>
      <c r="AR103" s="281">
        <f t="shared" si="287"/>
        <v>108.9</v>
      </c>
      <c r="AS103" s="281">
        <f t="shared" si="287"/>
        <v>246.90000000000003</v>
      </c>
      <c r="AT103" s="281">
        <f>AT36-AT71-SUM(AT77:AT78)</f>
        <v>112.40000000000003</v>
      </c>
      <c r="AU103" s="281">
        <f>AU36-AU71-SUM(AU77:AU78)</f>
        <v>-12.200000000000003</v>
      </c>
      <c r="AV103" s="281">
        <f>AV36-AV71-SUM(AV77:AV78)</f>
        <v>100.20000000000005</v>
      </c>
      <c r="AW103" s="281">
        <f>AW36-AW71-SUM(AW77:AW78)</f>
        <v>89.9</v>
      </c>
      <c r="AX103" s="281">
        <f>AX36-AX71-SUM(AX77:AX78)+493.4+AX77</f>
        <v>58.299999999999976</v>
      </c>
      <c r="AY103" s="281">
        <f>AX103+AW103</f>
        <v>148.19999999999999</v>
      </c>
      <c r="AZ103" s="281">
        <f>AY103+AV103</f>
        <v>248.40000000000003</v>
      </c>
      <c r="BA103" s="281">
        <f t="shared" ref="BA103:CA103" si="288">BA36-BA71-SUM(BA77:BA78)</f>
        <v>48.399999999999991</v>
      </c>
      <c r="BB103" s="281">
        <f t="shared" si="288"/>
        <v>90.8</v>
      </c>
      <c r="BC103" s="281">
        <f t="shared" si="288"/>
        <v>139.19999999999996</v>
      </c>
      <c r="BD103" s="281">
        <f t="shared" si="288"/>
        <v>47.2</v>
      </c>
      <c r="BE103" s="281">
        <f t="shared" si="288"/>
        <v>150.39999999999998</v>
      </c>
      <c r="BF103" s="281">
        <f t="shared" si="288"/>
        <v>197.59999999999997</v>
      </c>
      <c r="BG103" s="281">
        <f t="shared" si="288"/>
        <v>336.79999999999995</v>
      </c>
      <c r="BH103" s="281">
        <f t="shared" si="288"/>
        <v>-7.2999999999999829</v>
      </c>
      <c r="BI103" s="281">
        <f t="shared" si="288"/>
        <v>92.300000000000011</v>
      </c>
      <c r="BJ103" s="281">
        <f t="shared" si="288"/>
        <v>85.000000000000014</v>
      </c>
      <c r="BK103" s="281">
        <f t="shared" si="288"/>
        <v>22.299999999999997</v>
      </c>
      <c r="BL103" s="281">
        <f t="shared" si="288"/>
        <v>-19.100000000000009</v>
      </c>
      <c r="BM103" s="281">
        <f t="shared" si="288"/>
        <v>3.1999999999999886</v>
      </c>
      <c r="BN103" s="281">
        <f t="shared" si="288"/>
        <v>88.200000000000045</v>
      </c>
      <c r="BO103" s="281">
        <f t="shared" si="288"/>
        <v>109.00000000000001</v>
      </c>
      <c r="BP103" s="281">
        <f t="shared" si="288"/>
        <v>40.800000000000004</v>
      </c>
      <c r="BQ103" s="281">
        <f t="shared" si="288"/>
        <v>149.80000000000001</v>
      </c>
      <c r="BR103" s="281">
        <f t="shared" si="288"/>
        <v>25.900000000000006</v>
      </c>
      <c r="BS103" s="281">
        <f t="shared" si="288"/>
        <v>129.29999999999998</v>
      </c>
      <c r="BT103" s="281">
        <f t="shared" si="288"/>
        <v>155.19999999999999</v>
      </c>
      <c r="BU103" s="281">
        <f t="shared" si="288"/>
        <v>305</v>
      </c>
      <c r="BV103" s="281">
        <f t="shared" si="288"/>
        <v>111</v>
      </c>
      <c r="BW103" s="281">
        <f t="shared" si="288"/>
        <v>48.2</v>
      </c>
      <c r="BX103" s="281">
        <f t="shared" si="288"/>
        <v>159.20000000000005</v>
      </c>
      <c r="BY103" s="281">
        <f t="shared" si="288"/>
        <v>132.1</v>
      </c>
      <c r="BZ103" s="281">
        <f t="shared" si="288"/>
        <v>139.69999999999999</v>
      </c>
      <c r="CA103" s="281">
        <f t="shared" si="288"/>
        <v>271.79999999999995</v>
      </c>
      <c r="CB103" s="281">
        <f>CA103+BX103</f>
        <v>431</v>
      </c>
      <c r="CC103" s="281">
        <f t="shared" ref="CC103:CJ103" si="289">CC36-CC71-SUM(CC77:CC78)</f>
        <v>96.699999999999989</v>
      </c>
      <c r="CD103" s="281">
        <f t="shared" si="289"/>
        <v>144.1</v>
      </c>
      <c r="CE103" s="281">
        <f t="shared" si="289"/>
        <v>240.8</v>
      </c>
      <c r="CF103" s="281">
        <f t="shared" si="289"/>
        <v>60.800000000000026</v>
      </c>
      <c r="CG103" s="281">
        <f t="shared" si="289"/>
        <v>109.39999999999998</v>
      </c>
      <c r="CH103" s="281">
        <f t="shared" si="289"/>
        <v>170.2</v>
      </c>
      <c r="CI103" s="281">
        <f t="shared" si="289"/>
        <v>411</v>
      </c>
      <c r="CJ103" s="281">
        <f t="shared" si="289"/>
        <v>114.60000000000001</v>
      </c>
      <c r="CK103" s="281">
        <f>CL103-CJ103</f>
        <v>136.39999999999998</v>
      </c>
      <c r="CL103" s="281">
        <f t="shared" ref="CL103:CQ103" si="290">CL36-CL71-SUM(CL77:CL78)</f>
        <v>250.99999999999997</v>
      </c>
      <c r="CM103" s="281">
        <f t="shared" si="290"/>
        <v>110.29999999999998</v>
      </c>
      <c r="CN103" s="281">
        <f t="shared" si="290"/>
        <v>265.39999999999998</v>
      </c>
      <c r="CO103" s="281">
        <f t="shared" si="290"/>
        <v>375.70000000000005</v>
      </c>
      <c r="CP103" s="282">
        <f t="shared" si="290"/>
        <v>626.69999999999993</v>
      </c>
      <c r="CQ103" s="282">
        <f t="shared" si="290"/>
        <v>123.7</v>
      </c>
      <c r="CR103" s="282">
        <f>CS103-CQ103</f>
        <v>149.10000000000002</v>
      </c>
      <c r="CS103" s="282">
        <f t="shared" ref="CS103:DH103" si="291">CS36-CS71-SUM(CS77:CS78)</f>
        <v>272.8</v>
      </c>
      <c r="CT103" s="282">
        <f t="shared" si="291"/>
        <v>118.39999999999999</v>
      </c>
      <c r="CU103" s="282">
        <f t="shared" si="291"/>
        <v>130.69999999999999</v>
      </c>
      <c r="CV103" s="282">
        <f t="shared" si="291"/>
        <v>249.09999999999997</v>
      </c>
      <c r="CW103" s="282">
        <f t="shared" si="291"/>
        <v>521.9</v>
      </c>
      <c r="CX103" s="282">
        <f t="shared" si="291"/>
        <v>159.70000000000002</v>
      </c>
      <c r="CY103" s="282">
        <f t="shared" si="291"/>
        <v>161.69999999999999</v>
      </c>
      <c r="CZ103" s="282">
        <f t="shared" si="291"/>
        <v>321.39999999999998</v>
      </c>
      <c r="DA103" s="282">
        <f t="shared" si="291"/>
        <v>137.4</v>
      </c>
      <c r="DB103" s="282">
        <f t="shared" si="291"/>
        <v>237.89999999999998</v>
      </c>
      <c r="DC103" s="282">
        <f t="shared" si="291"/>
        <v>375.30000000000007</v>
      </c>
      <c r="DD103" s="590">
        <f t="shared" si="291"/>
        <v>696.7</v>
      </c>
      <c r="DE103" s="282">
        <f t="shared" si="291"/>
        <v>236.00000000000003</v>
      </c>
      <c r="DF103" s="282">
        <f t="shared" si="291"/>
        <v>228.7</v>
      </c>
      <c r="DG103" s="282">
        <f t="shared" si="291"/>
        <v>464.70000000000005</v>
      </c>
      <c r="DH103" s="282">
        <f t="shared" si="291"/>
        <v>256.60000000000002</v>
      </c>
      <c r="DI103" s="282">
        <f t="shared" ref="DI103:DI110" si="292">+DJ103-DH103</f>
        <v>237.89999999999998</v>
      </c>
      <c r="DJ103" s="282">
        <f t="shared" ref="DJ103:DJ110" si="293">+DK103-DG103</f>
        <v>494.5</v>
      </c>
      <c r="DK103" s="590">
        <f>DK36-DK71-SUM(DK77:DK78)</f>
        <v>959.2</v>
      </c>
      <c r="DL103" s="284">
        <f>DL36-DL71-SUM(DL77:DL78)</f>
        <v>231.80000000000004</v>
      </c>
      <c r="DM103" s="282">
        <f>DM36-DM71-SUM(DM77:DM78)</f>
        <v>250.4</v>
      </c>
      <c r="DN103" s="282">
        <f>DN36-DN71-SUM(DN77:DN78)</f>
        <v>482.20000000000005</v>
      </c>
      <c r="DO103" s="282">
        <f>DO36-DO71-SUM(DO77:DO78)</f>
        <v>264</v>
      </c>
      <c r="DP103" s="282">
        <f>+DQ103-DO103</f>
        <v>392.79999999999995</v>
      </c>
      <c r="DQ103" s="282">
        <f>+DR103-DN103</f>
        <v>656.8</v>
      </c>
      <c r="DR103" s="590">
        <f>DR36-DR71-SUM(DR77:DR78)</f>
        <v>1139</v>
      </c>
      <c r="DS103" s="282">
        <f>DS36-DS71-SUM(DS77:DS78)</f>
        <v>240.3</v>
      </c>
      <c r="DT103" s="282">
        <f>DT36-DT71-SUM(DT77:DT78)</f>
        <v>269.5</v>
      </c>
      <c r="DU103" s="282">
        <f>DU36-DU71-SUM(DU77:DU78)</f>
        <v>509.80000000000007</v>
      </c>
      <c r="DV103" s="282">
        <f>DV36-DV71-SUM(DV77:DV78)</f>
        <v>237.99999999999997</v>
      </c>
      <c r="DW103" s="282">
        <f>+DX103-DV103</f>
        <v>297.99999999999989</v>
      </c>
      <c r="DX103" s="282">
        <f>+DY103-DU103</f>
        <v>535.99999999999989</v>
      </c>
      <c r="DY103" s="590">
        <f>DY36-DY71-SUM(DY77:DY78)</f>
        <v>1045.8</v>
      </c>
      <c r="DZ103" s="282">
        <f>DZ36-DZ71-SUM(DZ77:DZ78)</f>
        <v>305.40000000000009</v>
      </c>
      <c r="EA103" s="282">
        <f>EA36-EA71-SUM(EA77:EA78)</f>
        <v>312.69999999999993</v>
      </c>
      <c r="EB103" s="282">
        <f>EB36-EB71-SUM(EB77:EB78)</f>
        <v>618.09999999999991</v>
      </c>
      <c r="EC103" s="283">
        <f>EC36-EC71-SUM(EC77:EC78)</f>
        <v>310.40000000000003</v>
      </c>
      <c r="ED103" s="282">
        <f>+EE103-EC103</f>
        <v>393.90000000000015</v>
      </c>
      <c r="EE103" s="282">
        <f>+EF103-EB103</f>
        <v>704.30000000000018</v>
      </c>
      <c r="EF103" s="590">
        <f>EF36-EF71-SUM(EF77:EF78)</f>
        <v>1322.4</v>
      </c>
      <c r="EG103" s="282">
        <f>EG36-EG71-SUM(EG77:EG78)</f>
        <v>318.5</v>
      </c>
      <c r="EH103" s="282">
        <f>EH36-EH71-SUM(EH77:EH78)</f>
        <v>348.7</v>
      </c>
      <c r="EI103" s="282">
        <f>EI36-EI71-SUM(EI77:EI78)</f>
        <v>667.20000000000016</v>
      </c>
      <c r="EJ103" s="283">
        <f>EJ36-EJ71-SUM(EJ77:EJ78)</f>
        <v>283.3</v>
      </c>
      <c r="EK103" s="282">
        <f>+EL103-EJ103</f>
        <v>348.39999999999992</v>
      </c>
      <c r="EL103" s="282">
        <f>+EM103-EI103</f>
        <v>631.69999999999993</v>
      </c>
      <c r="EM103" s="590">
        <f>EM36-EM71-SUM(EM77:EM78)</f>
        <v>1298.9000000000001</v>
      </c>
      <c r="EN103" s="282">
        <f>EN36-EN71-SUM(EN77:EN78)</f>
        <v>248</v>
      </c>
      <c r="EO103" s="282">
        <f>EO36-EO71-SUM(EO77:EO78)</f>
        <v>543.1</v>
      </c>
      <c r="EP103" s="282">
        <f>EP36-EP71-SUM(EP77:EP78)</f>
        <v>791.1</v>
      </c>
      <c r="EQ103" s="284">
        <f>EQ36-EQ71-SUM(EQ77:EQ78)</f>
        <v>403.4</v>
      </c>
      <c r="ER103" s="282">
        <f>ER36-ER71+SUM(ER77:ER78)+ER66</f>
        <v>376.76876295311479</v>
      </c>
      <c r="ES103" s="282">
        <f>EQ103+ER103</f>
        <v>780.16876295311476</v>
      </c>
      <c r="ET103" s="590">
        <f>EP103+ES103</f>
        <v>1571.2687629531147</v>
      </c>
      <c r="EU103" s="282">
        <f>EU36-EU71+SUM(EU77:EU78)+EU66</f>
        <v>375.10772129152883</v>
      </c>
      <c r="EV103" s="282">
        <f>EV36-EV71+SUM(EV77:EV78)+EV66</f>
        <v>385.69209154078334</v>
      </c>
      <c r="EW103" s="282">
        <f>EU103+EV103</f>
        <v>760.79981283231223</v>
      </c>
      <c r="EX103" s="282">
        <f>EX36-EX71+SUM(EX77:EX78)+EX66</f>
        <v>390.63701778133333</v>
      </c>
      <c r="EY103" s="282">
        <f>EY36-EY71+SUM(EY77:EY78)+EY66</f>
        <v>427.71934491714796</v>
      </c>
      <c r="EZ103" s="282">
        <f>EX103+EY103</f>
        <v>818.35636269848123</v>
      </c>
      <c r="FA103" s="590">
        <f>EW103+EZ103</f>
        <v>1579.1561755307935</v>
      </c>
      <c r="FB103" s="282">
        <f>FB36-FB71+SUM(FB77:FB78)+FB66</f>
        <v>416.71341924513638</v>
      </c>
      <c r="FC103" s="282">
        <f>FC36-FC71+SUM(FC77:FC78)+FC66</f>
        <v>434.39860256477471</v>
      </c>
      <c r="FD103" s="282">
        <f>FB103+FC103</f>
        <v>851.11202180991108</v>
      </c>
      <c r="FE103" s="282">
        <f>FE36-FE71+SUM(FE77:FE78)+FE66</f>
        <v>449.57613264892609</v>
      </c>
      <c r="FF103" s="282">
        <f>FF36-FF71+SUM(FF77:FF78)+FF66</f>
        <v>475.46125263132717</v>
      </c>
      <c r="FG103" s="282">
        <f>FE103+FF103</f>
        <v>925.03738528025326</v>
      </c>
      <c r="FH103" s="590">
        <f>FD103+FG103</f>
        <v>1776.1494070901645</v>
      </c>
      <c r="FI103" s="282">
        <f>FI36-FI71+SUM(FI77:FI78)+FI66</f>
        <v>462.79695447492566</v>
      </c>
      <c r="FJ103" s="282">
        <f>FJ36-FJ71+SUM(FJ77:FJ78)+FJ66</f>
        <v>472.12171248678396</v>
      </c>
      <c r="FK103" s="282">
        <f>FI103+FJ103</f>
        <v>934.91866696170962</v>
      </c>
      <c r="FL103" s="282">
        <f>FL36-FL71+SUM(FL77:FL78)+FL66</f>
        <v>487.3733437620316</v>
      </c>
      <c r="FM103" s="282">
        <f>FM36-FM71+SUM(FM77:FM78)+FM66</f>
        <v>511.25105783087491</v>
      </c>
      <c r="FN103" s="282">
        <f>FL103+FM103</f>
        <v>998.62440159290645</v>
      </c>
      <c r="FO103" s="590">
        <f>FK103+FN103</f>
        <v>1933.5430685546162</v>
      </c>
      <c r="FP103" s="282">
        <f>FP36-FP71+SUM(FP77:FP78)+FP66</f>
        <v>502.07634566951469</v>
      </c>
      <c r="FQ103" s="282">
        <f>FQ36-FQ71+SUM(FQ77:FQ78)+FQ66</f>
        <v>519.21574389617376</v>
      </c>
      <c r="FR103" s="282">
        <f>FP103+FQ103</f>
        <v>1021.2920895656885</v>
      </c>
      <c r="FS103" s="282">
        <f>FS36-FS71+SUM(FS77:FS78)+FS66</f>
        <v>534.75811778932984</v>
      </c>
      <c r="FT103" s="282">
        <f>FT36-FT71+SUM(FT77:FT78)+FT66</f>
        <v>557.28011885933984</v>
      </c>
      <c r="FU103" s="282">
        <f>FS103+FT103</f>
        <v>1092.0382366486697</v>
      </c>
      <c r="FV103" s="590">
        <f>FR103+FU103</f>
        <v>2113.3303262143581</v>
      </c>
    </row>
    <row r="104" spans="1:280" outlineLevel="1" x14ac:dyDescent="0.3">
      <c r="B104" s="279" t="s">
        <v>464</v>
      </c>
      <c r="C104" s="280" t="s">
        <v>226</v>
      </c>
      <c r="D104" s="281">
        <f t="shared" ref="D104:BO104" si="294">D65</f>
        <v>-0.7</v>
      </c>
      <c r="E104" s="281">
        <f t="shared" si="294"/>
        <v>-0.99999999999999978</v>
      </c>
      <c r="F104" s="281">
        <f t="shared" si="294"/>
        <v>-1.7000000000000002</v>
      </c>
      <c r="G104" s="281">
        <f t="shared" si="294"/>
        <v>0.79999999999999982</v>
      </c>
      <c r="H104" s="281">
        <f t="shared" si="294"/>
        <v>0.70000000000000018</v>
      </c>
      <c r="I104" s="281">
        <f t="shared" si="294"/>
        <v>1.5</v>
      </c>
      <c r="J104" s="281">
        <f t="shared" si="294"/>
        <v>-0.20000000000000018</v>
      </c>
      <c r="K104" s="281">
        <f t="shared" si="294"/>
        <v>-1.9999999999999996</v>
      </c>
      <c r="L104" s="281">
        <f t="shared" si="294"/>
        <v>1</v>
      </c>
      <c r="M104" s="281">
        <f t="shared" si="294"/>
        <v>-1</v>
      </c>
      <c r="N104" s="281">
        <f t="shared" si="294"/>
        <v>-1.3</v>
      </c>
      <c r="O104" s="281">
        <f t="shared" si="294"/>
        <v>-4.2</v>
      </c>
      <c r="P104" s="281">
        <f t="shared" si="294"/>
        <v>-5.5</v>
      </c>
      <c r="Q104" s="281">
        <f t="shared" si="294"/>
        <v>-6.5</v>
      </c>
      <c r="R104" s="281">
        <f t="shared" si="294"/>
        <v>-1.1000000000000001</v>
      </c>
      <c r="S104" s="281">
        <f t="shared" si="294"/>
        <v>-0.60000000000000009</v>
      </c>
      <c r="T104" s="281">
        <f t="shared" si="294"/>
        <v>-1.7000000000000002</v>
      </c>
      <c r="U104" s="281">
        <f t="shared" si="294"/>
        <v>-1.9999999999999996</v>
      </c>
      <c r="V104" s="281">
        <f t="shared" si="294"/>
        <v>-4.6000000000000014</v>
      </c>
      <c r="W104" s="281">
        <f t="shared" si="294"/>
        <v>-6.6</v>
      </c>
      <c r="X104" s="281">
        <f t="shared" si="294"/>
        <v>-8.2999999999999989</v>
      </c>
      <c r="Y104" s="281">
        <f t="shared" si="294"/>
        <v>-2</v>
      </c>
      <c r="Z104" s="281">
        <f t="shared" si="294"/>
        <v>-1.9999999999999996</v>
      </c>
      <c r="AA104" s="281">
        <f t="shared" si="294"/>
        <v>-4</v>
      </c>
      <c r="AB104" s="281">
        <f t="shared" si="294"/>
        <v>-2.7</v>
      </c>
      <c r="AC104" s="281">
        <f t="shared" si="294"/>
        <v>-2.6999999999999993</v>
      </c>
      <c r="AD104" s="281">
        <f t="shared" si="294"/>
        <v>-5.3999999999999995</v>
      </c>
      <c r="AE104" s="281">
        <f t="shared" si="294"/>
        <v>-9.4</v>
      </c>
      <c r="AF104" s="281">
        <f t="shared" si="294"/>
        <v>-1.4</v>
      </c>
      <c r="AG104" s="281">
        <f t="shared" si="294"/>
        <v>-1.4</v>
      </c>
      <c r="AH104" s="281">
        <f t="shared" si="294"/>
        <v>-2.8</v>
      </c>
      <c r="AI104" s="281">
        <f t="shared" si="294"/>
        <v>-1.7000000000000002</v>
      </c>
      <c r="AJ104" s="281">
        <f t="shared" si="294"/>
        <v>-2.8000000000000007</v>
      </c>
      <c r="AK104" s="281">
        <f t="shared" si="294"/>
        <v>-4.5</v>
      </c>
      <c r="AL104" s="281">
        <f t="shared" si="294"/>
        <v>-7.3</v>
      </c>
      <c r="AM104" s="281">
        <f t="shared" si="294"/>
        <v>-1.7000000000000002</v>
      </c>
      <c r="AN104" s="281">
        <f t="shared" si="294"/>
        <v>-2</v>
      </c>
      <c r="AO104" s="281">
        <f t="shared" si="294"/>
        <v>-3.7</v>
      </c>
      <c r="AP104" s="281">
        <f t="shared" si="294"/>
        <v>-2</v>
      </c>
      <c r="AQ104" s="281">
        <f t="shared" si="294"/>
        <v>-3</v>
      </c>
      <c r="AR104" s="281">
        <f t="shared" si="294"/>
        <v>-5</v>
      </c>
      <c r="AS104" s="281">
        <f t="shared" si="294"/>
        <v>-8.6999999999999993</v>
      </c>
      <c r="AT104" s="281">
        <f t="shared" si="294"/>
        <v>-1.5</v>
      </c>
      <c r="AU104" s="281">
        <f t="shared" si="294"/>
        <v>-2.1</v>
      </c>
      <c r="AV104" s="281">
        <f t="shared" si="294"/>
        <v>-3.5999999999999996</v>
      </c>
      <c r="AW104" s="281">
        <f t="shared" si="294"/>
        <v>-2.2999999999999998</v>
      </c>
      <c r="AX104" s="281">
        <f t="shared" si="294"/>
        <v>-4.7999999999999989</v>
      </c>
      <c r="AY104" s="281">
        <f t="shared" si="294"/>
        <v>-7.1</v>
      </c>
      <c r="AZ104" s="281">
        <f t="shared" si="294"/>
        <v>-10.7</v>
      </c>
      <c r="BA104" s="281">
        <f t="shared" si="294"/>
        <v>-0.90000000000000013</v>
      </c>
      <c r="BB104" s="281">
        <f t="shared" si="294"/>
        <v>-1.1000000000000001</v>
      </c>
      <c r="BC104" s="281">
        <f t="shared" si="294"/>
        <v>-2.0000000000000004</v>
      </c>
      <c r="BD104" s="281">
        <f t="shared" si="294"/>
        <v>-1.2999999999999998</v>
      </c>
      <c r="BE104" s="281">
        <f t="shared" si="294"/>
        <v>-1.2999999999999989</v>
      </c>
      <c r="BF104" s="281">
        <f t="shared" si="294"/>
        <v>-2.5999999999999988</v>
      </c>
      <c r="BG104" s="281">
        <f t="shared" si="294"/>
        <v>-4.5999999999999996</v>
      </c>
      <c r="BH104" s="281">
        <f t="shared" si="294"/>
        <v>-1.0000000000000002</v>
      </c>
      <c r="BI104" s="281">
        <f t="shared" si="294"/>
        <v>-1.0999999999999999</v>
      </c>
      <c r="BJ104" s="281">
        <f t="shared" si="294"/>
        <v>-2.1</v>
      </c>
      <c r="BK104" s="281">
        <f t="shared" si="294"/>
        <v>-1</v>
      </c>
      <c r="BL104" s="281">
        <f t="shared" si="294"/>
        <v>-0.9</v>
      </c>
      <c r="BM104" s="281">
        <f t="shared" si="294"/>
        <v>-1.9</v>
      </c>
      <c r="BN104" s="281">
        <f t="shared" si="294"/>
        <v>-4</v>
      </c>
      <c r="BO104" s="281">
        <f t="shared" si="294"/>
        <v>-0.90000000000000013</v>
      </c>
      <c r="BP104" s="281">
        <f t="shared" ref="BP104:DO104" si="295">BP65</f>
        <v>-1.6</v>
      </c>
      <c r="BQ104" s="281">
        <f t="shared" si="295"/>
        <v>-2.5000000000000004</v>
      </c>
      <c r="BR104" s="281">
        <f t="shared" si="295"/>
        <v>-2.5</v>
      </c>
      <c r="BS104" s="281">
        <f t="shared" si="295"/>
        <v>-4.8000000000000007</v>
      </c>
      <c r="BT104" s="281">
        <f t="shared" si="295"/>
        <v>-7.3000000000000007</v>
      </c>
      <c r="BU104" s="281">
        <f t="shared" si="295"/>
        <v>-9.8000000000000007</v>
      </c>
      <c r="BV104" s="281">
        <f t="shared" si="295"/>
        <v>-5.9999999999999991</v>
      </c>
      <c r="BW104" s="281">
        <f t="shared" si="295"/>
        <v>-6.5000000000000009</v>
      </c>
      <c r="BX104" s="281">
        <f t="shared" si="295"/>
        <v>-12.5</v>
      </c>
      <c r="BY104" s="281">
        <f t="shared" si="295"/>
        <v>-6.6000000000000005</v>
      </c>
      <c r="BZ104" s="281">
        <f t="shared" si="295"/>
        <v>-5.9</v>
      </c>
      <c r="CA104" s="281">
        <f t="shared" si="295"/>
        <v>-12.5</v>
      </c>
      <c r="CB104" s="281">
        <f t="shared" si="295"/>
        <v>-25</v>
      </c>
      <c r="CC104" s="281">
        <f t="shared" si="295"/>
        <v>-5.3999999999999995</v>
      </c>
      <c r="CD104" s="281">
        <f t="shared" si="295"/>
        <v>-7.1</v>
      </c>
      <c r="CE104" s="281">
        <f t="shared" si="295"/>
        <v>-12.5</v>
      </c>
      <c r="CF104" s="281">
        <f t="shared" si="295"/>
        <v>-7</v>
      </c>
      <c r="CG104" s="281">
        <f t="shared" si="295"/>
        <v>-7.7</v>
      </c>
      <c r="CH104" s="281">
        <f t="shared" si="295"/>
        <v>-14.7</v>
      </c>
      <c r="CI104" s="281">
        <f t="shared" si="295"/>
        <v>-27.200000000000003</v>
      </c>
      <c r="CJ104" s="281">
        <f t="shared" si="295"/>
        <v>-6.6</v>
      </c>
      <c r="CK104" s="281">
        <f t="shared" si="295"/>
        <v>-7.4</v>
      </c>
      <c r="CL104" s="281">
        <f t="shared" si="295"/>
        <v>-14</v>
      </c>
      <c r="CM104" s="281">
        <f t="shared" si="295"/>
        <v>-8.6000000000000014</v>
      </c>
      <c r="CN104" s="281">
        <f t="shared" si="295"/>
        <v>-8.8000000000000007</v>
      </c>
      <c r="CO104" s="281">
        <f t="shared" si="295"/>
        <v>-17.400000000000002</v>
      </c>
      <c r="CP104" s="282">
        <f t="shared" si="295"/>
        <v>-31.400000000000002</v>
      </c>
      <c r="CQ104" s="282">
        <f t="shared" si="295"/>
        <v>-10.899999999999999</v>
      </c>
      <c r="CR104" s="282">
        <f t="shared" si="295"/>
        <v>-13</v>
      </c>
      <c r="CS104" s="282">
        <f t="shared" si="295"/>
        <v>-23.9</v>
      </c>
      <c r="CT104" s="282">
        <f t="shared" si="295"/>
        <v>-14.400000000000002</v>
      </c>
      <c r="CU104" s="282">
        <f t="shared" si="295"/>
        <v>-13.8</v>
      </c>
      <c r="CV104" s="282">
        <f t="shared" si="295"/>
        <v>-28.200000000000003</v>
      </c>
      <c r="CW104" s="282">
        <f t="shared" si="295"/>
        <v>-52.099999999999994</v>
      </c>
      <c r="CX104" s="282">
        <f t="shared" si="295"/>
        <v>-13.899999999999999</v>
      </c>
      <c r="CY104" s="282">
        <f t="shared" si="295"/>
        <v>-14.199999999999998</v>
      </c>
      <c r="CZ104" s="282">
        <f t="shared" si="295"/>
        <v>-28.099999999999998</v>
      </c>
      <c r="DA104" s="282">
        <f t="shared" si="295"/>
        <v>-13.8</v>
      </c>
      <c r="DB104" s="282">
        <f t="shared" si="295"/>
        <v>-13.299999999999999</v>
      </c>
      <c r="DC104" s="282">
        <f t="shared" si="295"/>
        <v>-27.099999999999998</v>
      </c>
      <c r="DD104" s="590">
        <f t="shared" si="295"/>
        <v>-55.199999999999996</v>
      </c>
      <c r="DE104" s="282">
        <f t="shared" si="295"/>
        <v>-12.6</v>
      </c>
      <c r="DF104" s="282">
        <f t="shared" si="295"/>
        <v>-12.8</v>
      </c>
      <c r="DG104" s="282">
        <f t="shared" si="295"/>
        <v>-25.400000000000002</v>
      </c>
      <c r="DH104" s="282">
        <f t="shared" si="295"/>
        <v>-13.8</v>
      </c>
      <c r="DI104" s="282">
        <f t="shared" si="292"/>
        <v>-21.599999999999991</v>
      </c>
      <c r="DJ104" s="282">
        <f t="shared" si="293"/>
        <v>-35.399999999999991</v>
      </c>
      <c r="DK104" s="590">
        <f t="shared" si="295"/>
        <v>-60.8</v>
      </c>
      <c r="DL104" s="284">
        <f t="shared" si="295"/>
        <v>-10.399999999999999</v>
      </c>
      <c r="DM104" s="282">
        <f t="shared" si="295"/>
        <v>-10.1</v>
      </c>
      <c r="DN104" s="282">
        <f t="shared" si="295"/>
        <v>-20.5</v>
      </c>
      <c r="DO104" s="282">
        <f t="shared" si="295"/>
        <v>-10.600000000000001</v>
      </c>
      <c r="DP104" s="282">
        <f>+DQ104-DO104</f>
        <v>-9.1000000000000014</v>
      </c>
      <c r="DQ104" s="282">
        <f>+DR104-DN104</f>
        <v>-19.700000000000003</v>
      </c>
      <c r="DR104" s="590">
        <f>DR65</f>
        <v>-40.200000000000003</v>
      </c>
      <c r="DS104" s="282">
        <f>DS65</f>
        <v>-9</v>
      </c>
      <c r="DT104" s="282">
        <f>DT65</f>
        <v>-8.9</v>
      </c>
      <c r="DU104" s="282">
        <f>DU65</f>
        <v>-17.900000000000002</v>
      </c>
      <c r="DV104" s="282">
        <f>DV65</f>
        <v>-7</v>
      </c>
      <c r="DW104" s="282">
        <f>+DX104-DV104</f>
        <v>-9.9999999999999964</v>
      </c>
      <c r="DX104" s="282">
        <f>+DY104-DU104</f>
        <v>-16.999999999999996</v>
      </c>
      <c r="DY104" s="590">
        <f>DY65</f>
        <v>-34.9</v>
      </c>
      <c r="DZ104" s="282">
        <f>DZ65</f>
        <v>-5.8000000000000007</v>
      </c>
      <c r="EA104" s="282">
        <f>EA65</f>
        <v>-4.4999999999999991</v>
      </c>
      <c r="EB104" s="282">
        <f>EB65</f>
        <v>-10.3</v>
      </c>
      <c r="EC104" s="283">
        <f>EC65</f>
        <v>-3.1000000000000014</v>
      </c>
      <c r="ED104" s="282">
        <f>+EE104-EC104</f>
        <v>-1.899999999999995</v>
      </c>
      <c r="EE104" s="282">
        <f>+EF104-EB104</f>
        <v>-4.9999999999999964</v>
      </c>
      <c r="EF104" s="590">
        <f>EF65</f>
        <v>-15.299999999999997</v>
      </c>
      <c r="EG104" s="282">
        <f>EG65</f>
        <v>-1.6999999999999993</v>
      </c>
      <c r="EH104" s="282">
        <f>EH65</f>
        <v>-1.9000000000000004</v>
      </c>
      <c r="EI104" s="282">
        <f>EI65</f>
        <v>-3.6000000000000014</v>
      </c>
      <c r="EJ104" s="283">
        <f>EJ65</f>
        <v>-3.7999999999999989</v>
      </c>
      <c r="EK104" s="282">
        <f>+EL104-EJ104</f>
        <v>-2.1000000000000068</v>
      </c>
      <c r="EL104" s="282">
        <f>+EM104-EI104</f>
        <v>-5.9000000000000057</v>
      </c>
      <c r="EM104" s="590">
        <f>EM65</f>
        <v>-9.5000000000000071</v>
      </c>
      <c r="EN104" s="282">
        <f>EN65</f>
        <v>-5.5</v>
      </c>
      <c r="EO104" s="282">
        <f>EO65</f>
        <v>-65.400000000000006</v>
      </c>
      <c r="EP104" s="282">
        <f>EP65</f>
        <v>-70.900000000000006</v>
      </c>
      <c r="EQ104" s="727">
        <f>EQ65</f>
        <v>-65.599999999999994</v>
      </c>
      <c r="ER104" s="282">
        <f t="shared" ref="ER104:FV104" si="296">ER65</f>
        <v>-66.376825000000011</v>
      </c>
      <c r="ES104" s="282">
        <f t="shared" si="296"/>
        <v>-132.67682500000001</v>
      </c>
      <c r="ET104" s="732">
        <f>ET65</f>
        <v>-203.57682500000004</v>
      </c>
      <c r="EU104" s="282">
        <f t="shared" si="296"/>
        <v>-60.176408535583903</v>
      </c>
      <c r="EV104" s="282">
        <f t="shared" si="296"/>
        <v>-56.661587512133195</v>
      </c>
      <c r="EW104" s="282">
        <f t="shared" si="296"/>
        <v>-116.8379960477171</v>
      </c>
      <c r="EX104" s="282">
        <f t="shared" si="296"/>
        <v>-55.458566477918765</v>
      </c>
      <c r="EY104" s="282">
        <f t="shared" si="296"/>
        <v>-53.058769131685246</v>
      </c>
      <c r="EZ104" s="282">
        <f t="shared" si="296"/>
        <v>-108.517335609604</v>
      </c>
      <c r="FA104" s="590">
        <f t="shared" si="296"/>
        <v>-225.3553316573211</v>
      </c>
      <c r="FB104" s="282">
        <f t="shared" si="296"/>
        <v>-52.114351492846232</v>
      </c>
      <c r="FC104" s="282">
        <f t="shared" si="296"/>
        <v>-47.895912479247521</v>
      </c>
      <c r="FD104" s="282">
        <f t="shared" si="296"/>
        <v>-100.01026397209375</v>
      </c>
      <c r="FE104" s="282">
        <f t="shared" si="296"/>
        <v>-46.14676584348247</v>
      </c>
      <c r="FF104" s="282">
        <f t="shared" si="296"/>
        <v>-42.902868074111247</v>
      </c>
      <c r="FG104" s="282">
        <f t="shared" si="296"/>
        <v>-89.049633917593724</v>
      </c>
      <c r="FH104" s="590">
        <f t="shared" si="296"/>
        <v>-189.05989788968748</v>
      </c>
      <c r="FI104" s="282">
        <f t="shared" si="296"/>
        <v>-41.378383230166094</v>
      </c>
      <c r="FJ104" s="282">
        <f t="shared" si="296"/>
        <v>-36.23515343017008</v>
      </c>
      <c r="FK104" s="282">
        <f t="shared" si="296"/>
        <v>-77.613536660336166</v>
      </c>
      <c r="FL104" s="282">
        <f t="shared" si="296"/>
        <v>-33.948817962830482</v>
      </c>
      <c r="FM104" s="282">
        <f t="shared" si="296"/>
        <v>-30.085767182921643</v>
      </c>
      <c r="FN104" s="282">
        <f t="shared" si="296"/>
        <v>-64.034585145752118</v>
      </c>
      <c r="FO104" s="590">
        <f t="shared" si="296"/>
        <v>-141.64812180608828</v>
      </c>
      <c r="FP104" s="282">
        <f t="shared" si="296"/>
        <v>-28.06829409996304</v>
      </c>
      <c r="FQ104" s="282">
        <f t="shared" si="296"/>
        <v>-22.243196917952183</v>
      </c>
      <c r="FR104" s="282">
        <f t="shared" si="296"/>
        <v>-50.31149101791523</v>
      </c>
      <c r="FS104" s="282">
        <f t="shared" si="296"/>
        <v>-19.397872712006759</v>
      </c>
      <c r="FT104" s="282">
        <f t="shared" si="296"/>
        <v>-14.851054519738335</v>
      </c>
      <c r="FU104" s="282">
        <f t="shared" si="296"/>
        <v>-34.2489272317451</v>
      </c>
      <c r="FV104" s="590">
        <f t="shared" si="296"/>
        <v>-84.56041824966033</v>
      </c>
    </row>
    <row r="105" spans="1:280" outlineLevel="1" x14ac:dyDescent="0.3">
      <c r="B105" s="279" t="s">
        <v>465</v>
      </c>
      <c r="C105" s="280" t="s">
        <v>226</v>
      </c>
      <c r="D105" s="281">
        <f t="shared" ref="D105:BK105" si="297">D68</f>
        <v>-32.299999999999997</v>
      </c>
      <c r="E105" s="281">
        <f t="shared" si="297"/>
        <v>-27.8</v>
      </c>
      <c r="F105" s="281">
        <f t="shared" si="297"/>
        <v>-60.099999999999994</v>
      </c>
      <c r="G105" s="281">
        <f t="shared" si="297"/>
        <v>-24.5</v>
      </c>
      <c r="H105" s="281">
        <f t="shared" si="297"/>
        <v>11</v>
      </c>
      <c r="I105" s="281">
        <f t="shared" si="297"/>
        <v>-13.5</v>
      </c>
      <c r="J105" s="281">
        <f t="shared" si="297"/>
        <v>-92.3</v>
      </c>
      <c r="K105" s="281">
        <f t="shared" si="297"/>
        <v>-32.299999999999997</v>
      </c>
      <c r="L105" s="281">
        <f t="shared" si="297"/>
        <v>-20.9</v>
      </c>
      <c r="M105" s="281">
        <f t="shared" si="297"/>
        <v>-53.199999999999996</v>
      </c>
      <c r="N105" s="281">
        <f t="shared" si="297"/>
        <v>-26</v>
      </c>
      <c r="O105" s="281">
        <f t="shared" si="297"/>
        <v>-14.9</v>
      </c>
      <c r="P105" s="281">
        <f t="shared" si="297"/>
        <v>-40.9</v>
      </c>
      <c r="Q105" s="281">
        <f t="shared" si="297"/>
        <v>-94.1</v>
      </c>
      <c r="R105" s="281">
        <f t="shared" si="297"/>
        <v>-36.4</v>
      </c>
      <c r="S105" s="281">
        <f t="shared" si="297"/>
        <v>-27.6</v>
      </c>
      <c r="T105" s="281">
        <f t="shared" si="297"/>
        <v>-64</v>
      </c>
      <c r="U105" s="281">
        <f t="shared" si="297"/>
        <v>-9.3000000000000007</v>
      </c>
      <c r="V105" s="281">
        <f t="shared" si="297"/>
        <v>36.799999999999997</v>
      </c>
      <c r="W105" s="281">
        <f t="shared" si="297"/>
        <v>27.499999999999996</v>
      </c>
      <c r="X105" s="281">
        <f t="shared" si="297"/>
        <v>-36.5</v>
      </c>
      <c r="Y105" s="281">
        <f t="shared" si="297"/>
        <v>-20.399999999999999</v>
      </c>
      <c r="Z105" s="281">
        <f t="shared" si="297"/>
        <v>-39</v>
      </c>
      <c r="AA105" s="281">
        <f t="shared" si="297"/>
        <v>-59.4</v>
      </c>
      <c r="AB105" s="281">
        <f t="shared" si="297"/>
        <v>-6.8</v>
      </c>
      <c r="AC105" s="281">
        <f t="shared" si="297"/>
        <v>46.7</v>
      </c>
      <c r="AD105" s="281">
        <f t="shared" si="297"/>
        <v>39.900000000000006</v>
      </c>
      <c r="AE105" s="281">
        <f t="shared" si="297"/>
        <v>-19.499999999999993</v>
      </c>
      <c r="AF105" s="281">
        <f t="shared" si="297"/>
        <v>-24.9</v>
      </c>
      <c r="AG105" s="281">
        <f t="shared" si="297"/>
        <v>-17.399999999999999</v>
      </c>
      <c r="AH105" s="281">
        <f t="shared" si="297"/>
        <v>-42.3</v>
      </c>
      <c r="AI105" s="281">
        <f t="shared" si="297"/>
        <v>-11.6</v>
      </c>
      <c r="AJ105" s="281">
        <f t="shared" si="297"/>
        <v>-12.3</v>
      </c>
      <c r="AK105" s="281">
        <f t="shared" si="297"/>
        <v>-23.9</v>
      </c>
      <c r="AL105" s="281">
        <f t="shared" si="297"/>
        <v>-66.199999999999989</v>
      </c>
      <c r="AM105" s="281">
        <f t="shared" si="297"/>
        <v>-16.600000000000001</v>
      </c>
      <c r="AN105" s="281">
        <f t="shared" si="297"/>
        <v>-363.7</v>
      </c>
      <c r="AO105" s="281">
        <f t="shared" si="297"/>
        <v>-380.3</v>
      </c>
      <c r="AP105" s="281">
        <f t="shared" si="297"/>
        <v>-10.9</v>
      </c>
      <c r="AQ105" s="281">
        <f t="shared" si="297"/>
        <v>-52.4</v>
      </c>
      <c r="AR105" s="281">
        <f t="shared" si="297"/>
        <v>-63.3</v>
      </c>
      <c r="AS105" s="281">
        <f t="shared" si="297"/>
        <v>-443.6</v>
      </c>
      <c r="AT105" s="281">
        <f t="shared" si="297"/>
        <v>-14</v>
      </c>
      <c r="AU105" s="281">
        <f t="shared" si="297"/>
        <v>-14.5</v>
      </c>
      <c r="AV105" s="281">
        <f t="shared" si="297"/>
        <v>-28.5</v>
      </c>
      <c r="AW105" s="281">
        <f t="shared" si="297"/>
        <v>-6.6</v>
      </c>
      <c r="AX105" s="281">
        <f t="shared" si="297"/>
        <v>488.3</v>
      </c>
      <c r="AY105" s="281">
        <f t="shared" si="297"/>
        <v>481.7</v>
      </c>
      <c r="AZ105" s="281">
        <f t="shared" si="297"/>
        <v>453.2</v>
      </c>
      <c r="BA105" s="281">
        <f t="shared" si="297"/>
        <v>-14.6</v>
      </c>
      <c r="BB105" s="281">
        <f t="shared" si="297"/>
        <v>-8.1</v>
      </c>
      <c r="BC105" s="281">
        <f t="shared" si="297"/>
        <v>-22.7</v>
      </c>
      <c r="BD105" s="281">
        <f t="shared" si="297"/>
        <v>-3.6</v>
      </c>
      <c r="BE105" s="281">
        <f t="shared" si="297"/>
        <v>38.1</v>
      </c>
      <c r="BF105" s="281">
        <f t="shared" si="297"/>
        <v>34.5</v>
      </c>
      <c r="BG105" s="281">
        <f t="shared" si="297"/>
        <v>11.8</v>
      </c>
      <c r="BH105" s="281">
        <f t="shared" si="297"/>
        <v>-14.9</v>
      </c>
      <c r="BI105" s="281">
        <f t="shared" si="297"/>
        <v>-15.6</v>
      </c>
      <c r="BJ105" s="281">
        <f t="shared" si="297"/>
        <v>-30.5</v>
      </c>
      <c r="BK105" s="281">
        <f t="shared" si="297"/>
        <v>-3.4</v>
      </c>
      <c r="BL105" s="281">
        <f>+BM105-BK105</f>
        <v>78.8</v>
      </c>
      <c r="BM105" s="281">
        <f t="shared" ref="BM105:CW105" si="298">BM68</f>
        <v>75.399999999999991</v>
      </c>
      <c r="BN105" s="281">
        <f t="shared" si="298"/>
        <v>44.899999999999991</v>
      </c>
      <c r="BO105" s="281">
        <f t="shared" si="298"/>
        <v>-16.7</v>
      </c>
      <c r="BP105" s="281">
        <f t="shared" si="298"/>
        <v>-17.5</v>
      </c>
      <c r="BQ105" s="281">
        <f t="shared" si="298"/>
        <v>-34.200000000000003</v>
      </c>
      <c r="BR105" s="281">
        <f t="shared" si="298"/>
        <v>-17.2</v>
      </c>
      <c r="BS105" s="281">
        <f t="shared" si="298"/>
        <v>20.100000000000001</v>
      </c>
      <c r="BT105" s="281">
        <f t="shared" si="298"/>
        <v>2.9000000000000021</v>
      </c>
      <c r="BU105" s="281">
        <f t="shared" si="298"/>
        <v>-31.3</v>
      </c>
      <c r="BV105" s="281">
        <f t="shared" si="298"/>
        <v>-21.3</v>
      </c>
      <c r="BW105" s="281">
        <f t="shared" si="298"/>
        <v>-23.7</v>
      </c>
      <c r="BX105" s="281">
        <f t="shared" si="298"/>
        <v>-45</v>
      </c>
      <c r="BY105" s="281">
        <f t="shared" si="298"/>
        <v>-21.9</v>
      </c>
      <c r="BZ105" s="281">
        <f t="shared" si="298"/>
        <v>-19.2</v>
      </c>
      <c r="CA105" s="281">
        <f t="shared" si="298"/>
        <v>-41.099999999999994</v>
      </c>
      <c r="CB105" s="281">
        <f t="shared" si="298"/>
        <v>-86.1</v>
      </c>
      <c r="CC105" s="281">
        <f t="shared" si="298"/>
        <v>-23.9</v>
      </c>
      <c r="CD105" s="281">
        <f t="shared" si="298"/>
        <v>-25</v>
      </c>
      <c r="CE105" s="281">
        <f t="shared" si="298"/>
        <v>-48.9</v>
      </c>
      <c r="CF105" s="281">
        <f t="shared" si="298"/>
        <v>-15</v>
      </c>
      <c r="CG105" s="281">
        <f t="shared" si="298"/>
        <v>-26.6</v>
      </c>
      <c r="CH105" s="281">
        <f t="shared" si="298"/>
        <v>-41.6</v>
      </c>
      <c r="CI105" s="281">
        <f t="shared" si="298"/>
        <v>-90.5</v>
      </c>
      <c r="CJ105" s="281">
        <f t="shared" si="298"/>
        <v>-19.7</v>
      </c>
      <c r="CK105" s="281">
        <f t="shared" si="298"/>
        <v>-22.8</v>
      </c>
      <c r="CL105" s="281">
        <f t="shared" si="298"/>
        <v>-42.5</v>
      </c>
      <c r="CM105" s="281">
        <f t="shared" si="298"/>
        <v>-30.2</v>
      </c>
      <c r="CN105" s="281">
        <f t="shared" si="298"/>
        <v>45.6</v>
      </c>
      <c r="CO105" s="281">
        <f t="shared" si="298"/>
        <v>15.400000000000002</v>
      </c>
      <c r="CP105" s="282">
        <f t="shared" si="298"/>
        <v>-27.099999999999998</v>
      </c>
      <c r="CQ105" s="282">
        <f t="shared" si="298"/>
        <v>-30.9</v>
      </c>
      <c r="CR105" s="282">
        <f t="shared" si="298"/>
        <v>-17.600000000000001</v>
      </c>
      <c r="CS105" s="282">
        <f t="shared" si="298"/>
        <v>-48.5</v>
      </c>
      <c r="CT105" s="282">
        <f t="shared" si="298"/>
        <v>-14.7</v>
      </c>
      <c r="CU105" s="282">
        <f t="shared" si="298"/>
        <v>-8.6</v>
      </c>
      <c r="CV105" s="282">
        <f t="shared" si="298"/>
        <v>-23.299999999999997</v>
      </c>
      <c r="CW105" s="282">
        <f t="shared" si="298"/>
        <v>-71.8</v>
      </c>
      <c r="CX105" s="282">
        <f t="shared" ref="CX105:DH105" si="299">CX70</f>
        <v>-20.100000000000001</v>
      </c>
      <c r="CY105" s="282">
        <f t="shared" si="299"/>
        <v>-21.1</v>
      </c>
      <c r="CZ105" s="282">
        <f t="shared" si="299"/>
        <v>-41.2</v>
      </c>
      <c r="DA105" s="282">
        <f t="shared" si="299"/>
        <v>-16.3</v>
      </c>
      <c r="DB105" s="282">
        <f t="shared" si="299"/>
        <v>-20.6</v>
      </c>
      <c r="DC105" s="282">
        <f t="shared" si="299"/>
        <v>-36.900000000000006</v>
      </c>
      <c r="DD105" s="590">
        <f t="shared" si="299"/>
        <v>-78.100000000000009</v>
      </c>
      <c r="DE105" s="282">
        <f t="shared" si="299"/>
        <v>-23.1</v>
      </c>
      <c r="DF105" s="282">
        <f t="shared" si="299"/>
        <v>-29.6</v>
      </c>
      <c r="DG105" s="282">
        <f t="shared" si="299"/>
        <v>-52.7</v>
      </c>
      <c r="DH105" s="282">
        <f t="shared" si="299"/>
        <v>-30.9</v>
      </c>
      <c r="DI105" s="282">
        <f t="shared" si="292"/>
        <v>-26.099999999999987</v>
      </c>
      <c r="DJ105" s="282">
        <f t="shared" si="293"/>
        <v>-56.999999999999986</v>
      </c>
      <c r="DK105" s="590">
        <f>DK70</f>
        <v>-109.69999999999999</v>
      </c>
      <c r="DL105" s="284">
        <f>DL70</f>
        <v>-35.9</v>
      </c>
      <c r="DM105" s="282">
        <f>DM70</f>
        <v>-40.600000000000009</v>
      </c>
      <c r="DN105" s="282">
        <f>DN70</f>
        <v>-76.5</v>
      </c>
      <c r="DO105" s="282">
        <f>DO70</f>
        <v>-39.200000000000003</v>
      </c>
      <c r="DP105" s="282">
        <f>+DQ105-DO105</f>
        <v>-38.799999999999997</v>
      </c>
      <c r="DQ105" s="282">
        <f>+DR105-DN105</f>
        <v>-78</v>
      </c>
      <c r="DR105" s="590">
        <f>DR70</f>
        <v>-154.5</v>
      </c>
      <c r="DS105" s="282">
        <f>DS70</f>
        <v>-44.900000000000006</v>
      </c>
      <c r="DT105" s="282">
        <f>DT70</f>
        <v>-46.2</v>
      </c>
      <c r="DU105" s="282">
        <f>DU70</f>
        <v>-91.1</v>
      </c>
      <c r="DV105" s="282">
        <f>DV70</f>
        <v>-27.8</v>
      </c>
      <c r="DW105" s="282">
        <f>+DX105-DV105</f>
        <v>-33.299999999999997</v>
      </c>
      <c r="DX105" s="282">
        <f>+DY105-DU105</f>
        <v>-61.099999999999994</v>
      </c>
      <c r="DY105" s="590">
        <f>DY70</f>
        <v>-152.19999999999999</v>
      </c>
      <c r="DZ105" s="282">
        <f>DZ70</f>
        <v>-51.899999999999991</v>
      </c>
      <c r="EA105" s="282">
        <f>EA70</f>
        <v>-56.3</v>
      </c>
      <c r="EB105" s="282">
        <f>EB70</f>
        <v>-108.19999999999999</v>
      </c>
      <c r="EC105" s="283">
        <f>EC70</f>
        <v>-49.5</v>
      </c>
      <c r="ED105" s="282">
        <f>+EE105-EC105</f>
        <v>-54</v>
      </c>
      <c r="EE105" s="282">
        <f>+EF105-EB105</f>
        <v>-103.5</v>
      </c>
      <c r="EF105" s="590">
        <f>EF70</f>
        <v>-211.7</v>
      </c>
      <c r="EG105" s="282">
        <f>EG70</f>
        <v>-53.899999999999991</v>
      </c>
      <c r="EH105" s="282">
        <f>EH70</f>
        <v>-49.3</v>
      </c>
      <c r="EI105" s="282">
        <f>EI70</f>
        <v>-103.19999999999999</v>
      </c>
      <c r="EJ105" s="283">
        <f>EJ70</f>
        <v>-46.9</v>
      </c>
      <c r="EK105" s="282">
        <f>+EL105-EJ105</f>
        <v>-48.200000000000024</v>
      </c>
      <c r="EL105" s="282">
        <f>+EM105-EI105</f>
        <v>-95.100000000000023</v>
      </c>
      <c r="EM105" s="590">
        <f>EM70</f>
        <v>-198.3</v>
      </c>
      <c r="EN105" s="282">
        <f>EN70</f>
        <v>-37.1</v>
      </c>
      <c r="EO105" s="282">
        <f>EO70</f>
        <v>-29.999999999999989</v>
      </c>
      <c r="EP105" s="282">
        <f>EP70</f>
        <v>-67.099999999999994</v>
      </c>
      <c r="EQ105" s="727">
        <f>EQ70</f>
        <v>-29.7</v>
      </c>
      <c r="ER105" s="282">
        <f t="shared" ref="ER105:FV105" si="300">ER70</f>
        <v>-40.924124999121226</v>
      </c>
      <c r="ES105" s="282">
        <f t="shared" si="300"/>
        <v>-70.624124999121221</v>
      </c>
      <c r="ET105" s="732">
        <f t="shared" si="300"/>
        <v>-137.72412499912122</v>
      </c>
      <c r="EU105" s="282">
        <f t="shared" si="300"/>
        <v>-50.956301296634209</v>
      </c>
      <c r="EV105" s="282">
        <f t="shared" si="300"/>
        <v>-50.491043362614292</v>
      </c>
      <c r="EW105" s="282">
        <f t="shared" si="300"/>
        <v>-101.4473446592485</v>
      </c>
      <c r="EX105" s="282">
        <f t="shared" si="300"/>
        <v>-53.436345040988549</v>
      </c>
      <c r="EY105" s="282">
        <f t="shared" si="300"/>
        <v>-62.606271446536866</v>
      </c>
      <c r="EZ105" s="282">
        <f t="shared" si="300"/>
        <v>-116.04261648752541</v>
      </c>
      <c r="FA105" s="590">
        <f t="shared" si="300"/>
        <v>-217.48996114677391</v>
      </c>
      <c r="FB105" s="282">
        <f t="shared" si="300"/>
        <v>-58.703047547391151</v>
      </c>
      <c r="FC105" s="282">
        <f t="shared" si="300"/>
        <v>-59.842677692449662</v>
      </c>
      <c r="FD105" s="282">
        <f t="shared" si="300"/>
        <v>-118.54572523984081</v>
      </c>
      <c r="FE105" s="282">
        <f t="shared" si="300"/>
        <v>-64.83246505440475</v>
      </c>
      <c r="FF105" s="282">
        <f t="shared" si="300"/>
        <v>-71.420421155877861</v>
      </c>
      <c r="FG105" s="282">
        <f t="shared" si="300"/>
        <v>-136.25288621028261</v>
      </c>
      <c r="FH105" s="590">
        <f t="shared" si="300"/>
        <v>-254.79861145012342</v>
      </c>
      <c r="FI105" s="282">
        <f t="shared" si="300"/>
        <v>-70.259912635075807</v>
      </c>
      <c r="FJ105" s="282">
        <f t="shared" si="300"/>
        <v>-69.780868927699842</v>
      </c>
      <c r="FK105" s="282">
        <f t="shared" si="300"/>
        <v>-140.04078156277563</v>
      </c>
      <c r="FL105" s="282">
        <f t="shared" si="300"/>
        <v>-74.808432887242901</v>
      </c>
      <c r="FM105" s="282">
        <f t="shared" si="300"/>
        <v>-81.115645031633107</v>
      </c>
      <c r="FN105" s="282">
        <f t="shared" si="300"/>
        <v>-155.92407791887601</v>
      </c>
      <c r="FO105" s="590">
        <f t="shared" si="300"/>
        <v>-295.96485948165162</v>
      </c>
      <c r="FP105" s="282">
        <f t="shared" si="300"/>
        <v>-80.91878072769633</v>
      </c>
      <c r="FQ105" s="282">
        <f t="shared" si="300"/>
        <v>-82.16724788320235</v>
      </c>
      <c r="FR105" s="282">
        <f t="shared" si="300"/>
        <v>-163.08602861089867</v>
      </c>
      <c r="FS105" s="282">
        <f t="shared" si="300"/>
        <v>-87.278243892692686</v>
      </c>
      <c r="FT105" s="282">
        <f t="shared" si="300"/>
        <v>-93.455291850717089</v>
      </c>
      <c r="FU105" s="282">
        <f t="shared" si="300"/>
        <v>-180.73353574340979</v>
      </c>
      <c r="FV105" s="590">
        <f t="shared" si="300"/>
        <v>-343.81956435430845</v>
      </c>
    </row>
    <row r="106" spans="1:280" outlineLevel="1" x14ac:dyDescent="0.3">
      <c r="B106" s="279" t="s">
        <v>466</v>
      </c>
      <c r="C106" s="280" t="s">
        <v>226</v>
      </c>
      <c r="D106" s="281">
        <f t="shared" ref="D106:BO106" si="301">-D232</f>
        <v>0</v>
      </c>
      <c r="E106" s="281">
        <f t="shared" si="301"/>
        <v>0</v>
      </c>
      <c r="F106" s="281">
        <f t="shared" si="301"/>
        <v>0</v>
      </c>
      <c r="G106" s="281">
        <f t="shared" si="301"/>
        <v>0</v>
      </c>
      <c r="H106" s="281">
        <f t="shared" si="301"/>
        <v>0</v>
      </c>
      <c r="I106" s="281">
        <f t="shared" si="301"/>
        <v>0</v>
      </c>
      <c r="J106" s="281">
        <f t="shared" si="301"/>
        <v>0</v>
      </c>
      <c r="K106" s="281">
        <f t="shared" si="301"/>
        <v>-21</v>
      </c>
      <c r="L106" s="281">
        <f t="shared" si="301"/>
        <v>-2.8999999999999773</v>
      </c>
      <c r="M106" s="281">
        <f t="shared" si="301"/>
        <v>-23.899999999999977</v>
      </c>
      <c r="N106" s="281">
        <f t="shared" si="301"/>
        <v>3.3999999999999204</v>
      </c>
      <c r="O106" s="281">
        <f t="shared" si="301"/>
        <v>-30.299999999999955</v>
      </c>
      <c r="P106" s="281">
        <f t="shared" si="301"/>
        <v>-26.900000000000034</v>
      </c>
      <c r="Q106" s="281">
        <f t="shared" si="301"/>
        <v>-50.800000000000011</v>
      </c>
      <c r="R106" s="281">
        <f t="shared" si="301"/>
        <v>34.200000000000045</v>
      </c>
      <c r="S106" s="281">
        <f t="shared" si="301"/>
        <v>19.599999999999994</v>
      </c>
      <c r="T106" s="281">
        <f t="shared" si="301"/>
        <v>53.80000000000004</v>
      </c>
      <c r="U106" s="281">
        <f t="shared" si="301"/>
        <v>-17.400000000000063</v>
      </c>
      <c r="V106" s="281">
        <f t="shared" si="301"/>
        <v>-29.700000000000017</v>
      </c>
      <c r="W106" s="281">
        <f t="shared" si="301"/>
        <v>-47.10000000000008</v>
      </c>
      <c r="X106" s="281">
        <f t="shared" si="301"/>
        <v>6.6999999999999602</v>
      </c>
      <c r="Y106" s="281">
        <f t="shared" si="301"/>
        <v>-3.6999999999999886</v>
      </c>
      <c r="Z106" s="281">
        <f t="shared" si="301"/>
        <v>38.900000000000006</v>
      </c>
      <c r="AA106" s="281">
        <f t="shared" si="301"/>
        <v>35.200000000000017</v>
      </c>
      <c r="AB106" s="281">
        <f t="shared" si="301"/>
        <v>40.100000000000023</v>
      </c>
      <c r="AC106" s="281">
        <f t="shared" si="301"/>
        <v>-23.000000000000028</v>
      </c>
      <c r="AD106" s="281">
        <f t="shared" si="301"/>
        <v>17.099999999999994</v>
      </c>
      <c r="AE106" s="281">
        <f t="shared" si="301"/>
        <v>52.300000000000011</v>
      </c>
      <c r="AF106" s="281">
        <f t="shared" si="301"/>
        <v>-12.699999999999989</v>
      </c>
      <c r="AG106" s="281">
        <f t="shared" si="301"/>
        <v>4.3000000000000114</v>
      </c>
      <c r="AH106" s="281">
        <f t="shared" si="301"/>
        <v>-8.3999999999999773</v>
      </c>
      <c r="AI106" s="281">
        <f t="shared" si="301"/>
        <v>-13.599999999999994</v>
      </c>
      <c r="AJ106" s="281">
        <f t="shared" si="301"/>
        <v>-30.000000000000028</v>
      </c>
      <c r="AK106" s="281">
        <f t="shared" si="301"/>
        <v>-43.600000000000023</v>
      </c>
      <c r="AL106" s="281">
        <f t="shared" si="301"/>
        <v>-52</v>
      </c>
      <c r="AM106" s="281">
        <f t="shared" si="301"/>
        <v>22.100000000000023</v>
      </c>
      <c r="AN106" s="281">
        <f t="shared" si="301"/>
        <v>-8.7999999999999829</v>
      </c>
      <c r="AO106" s="281">
        <f t="shared" si="301"/>
        <v>13.30000000000004</v>
      </c>
      <c r="AP106" s="281">
        <f t="shared" si="301"/>
        <v>33.599999999999966</v>
      </c>
      <c r="AQ106" s="281">
        <f t="shared" si="301"/>
        <v>-36.900000000000006</v>
      </c>
      <c r="AR106" s="281">
        <f t="shared" si="301"/>
        <v>-3.3000000000000398</v>
      </c>
      <c r="AS106" s="281">
        <f t="shared" si="301"/>
        <v>10</v>
      </c>
      <c r="AT106" s="281">
        <f t="shared" si="301"/>
        <v>-9.9000000000000057</v>
      </c>
      <c r="AU106" s="281">
        <f>+AV106-AT106</f>
        <v>-1.2999999999999829</v>
      </c>
      <c r="AV106" s="281">
        <f t="shared" si="301"/>
        <v>-11.199999999999989</v>
      </c>
      <c r="AW106" s="281">
        <f t="shared" si="301"/>
        <v>18.5</v>
      </c>
      <c r="AX106" s="281">
        <f t="shared" si="301"/>
        <v>-35.79358115906328</v>
      </c>
      <c r="AY106" s="281">
        <f t="shared" si="301"/>
        <v>-17.29358115906328</v>
      </c>
      <c r="AZ106" s="281">
        <f t="shared" si="301"/>
        <v>-28.493581159063268</v>
      </c>
      <c r="BA106" s="281">
        <f t="shared" si="301"/>
        <v>-17.906418840936738</v>
      </c>
      <c r="BB106" s="281">
        <f t="shared" si="301"/>
        <v>-3.6999999999999318</v>
      </c>
      <c r="BC106" s="281">
        <f t="shared" si="301"/>
        <v>-21.606418840936669</v>
      </c>
      <c r="BD106" s="281">
        <f t="shared" si="301"/>
        <v>39.799999999999926</v>
      </c>
      <c r="BE106" s="281">
        <f t="shared" si="301"/>
        <v>-30.596514887591439</v>
      </c>
      <c r="BF106" s="281">
        <f t="shared" si="301"/>
        <v>9.2034851124084867</v>
      </c>
      <c r="BG106" s="281">
        <f t="shared" si="301"/>
        <v>-12.402933728528183</v>
      </c>
      <c r="BH106" s="281">
        <f t="shared" si="301"/>
        <v>34.496514887591474</v>
      </c>
      <c r="BI106" s="281">
        <f t="shared" si="301"/>
        <v>24.199999999999989</v>
      </c>
      <c r="BJ106" s="281">
        <f t="shared" si="301"/>
        <v>58.696514887591462</v>
      </c>
      <c r="BK106" s="281">
        <f t="shared" si="301"/>
        <v>-1.2000000000000171</v>
      </c>
      <c r="BL106" s="281">
        <f t="shared" si="301"/>
        <v>-11.299999999999955</v>
      </c>
      <c r="BM106" s="281">
        <f t="shared" si="301"/>
        <v>-12.499999999999972</v>
      </c>
      <c r="BN106" s="281">
        <f t="shared" si="301"/>
        <v>46.196514887591491</v>
      </c>
      <c r="BO106" s="281">
        <f t="shared" si="301"/>
        <v>-8.1000000000000227</v>
      </c>
      <c r="BP106" s="281">
        <f t="shared" ref="BP106:DH106" si="302">-BP232</f>
        <v>9.3000000000000114</v>
      </c>
      <c r="BQ106" s="281">
        <f t="shared" si="302"/>
        <v>1.1999999999999886</v>
      </c>
      <c r="BR106" s="281">
        <f>-BR232</f>
        <v>-4.6000000000000227</v>
      </c>
      <c r="BS106" s="281">
        <f t="shared" si="302"/>
        <v>-10.400000000000006</v>
      </c>
      <c r="BT106" s="281">
        <f t="shared" si="302"/>
        <v>-15.000000000000028</v>
      </c>
      <c r="BU106" s="281">
        <f t="shared" si="302"/>
        <v>-13.80000000000004</v>
      </c>
      <c r="BV106" s="281">
        <f t="shared" si="302"/>
        <v>-9.3999999999999773</v>
      </c>
      <c r="BW106" s="281">
        <f t="shared" si="302"/>
        <v>17.500000000000028</v>
      </c>
      <c r="BX106" s="281">
        <f t="shared" si="302"/>
        <v>8.1000000000000512</v>
      </c>
      <c r="BY106" s="281">
        <f t="shared" si="302"/>
        <v>13.499999999999943</v>
      </c>
      <c r="BZ106" s="281">
        <f t="shared" si="302"/>
        <v>-59</v>
      </c>
      <c r="CA106" s="281">
        <f t="shared" si="302"/>
        <v>-45.500000000000057</v>
      </c>
      <c r="CB106" s="281">
        <f t="shared" si="302"/>
        <v>-37.400000000000006</v>
      </c>
      <c r="CC106" s="281">
        <f t="shared" si="302"/>
        <v>31.900000000000034</v>
      </c>
      <c r="CD106" s="281">
        <f t="shared" si="302"/>
        <v>4.6999999999999602</v>
      </c>
      <c r="CE106" s="281">
        <f>-CE232</f>
        <v>36.599999999999994</v>
      </c>
      <c r="CF106" s="281">
        <f t="shared" si="302"/>
        <v>40.400000000000034</v>
      </c>
      <c r="CG106" s="281">
        <f t="shared" si="302"/>
        <v>-108.19846461751459</v>
      </c>
      <c r="CH106" s="281">
        <f t="shared" si="302"/>
        <v>-67.798464617514554</v>
      </c>
      <c r="CI106" s="281">
        <f>-CI232</f>
        <v>-31.19846461751456</v>
      </c>
      <c r="CJ106" s="281">
        <f>-CJ232</f>
        <v>44.598464617514622</v>
      </c>
      <c r="CK106" s="281">
        <f>-CK232</f>
        <v>-14.300000000000068</v>
      </c>
      <c r="CL106" s="281">
        <f>-CL232</f>
        <v>30.298464617514554</v>
      </c>
      <c r="CM106" s="281">
        <f>-CM232</f>
        <v>20.000000000000057</v>
      </c>
      <c r="CN106" s="281">
        <f t="shared" si="302"/>
        <v>-45.099999999999994</v>
      </c>
      <c r="CO106" s="281">
        <f t="shared" si="302"/>
        <v>-25.099999999999937</v>
      </c>
      <c r="CP106" s="282">
        <f t="shared" si="302"/>
        <v>5.1984646175146167</v>
      </c>
      <c r="CQ106" s="282">
        <f>-CQ232</f>
        <v>10</v>
      </c>
      <c r="CR106" s="282">
        <f>-CR232</f>
        <v>3.8000000000000114</v>
      </c>
      <c r="CS106" s="282">
        <f t="shared" si="302"/>
        <v>13.800000000000011</v>
      </c>
      <c r="CT106" s="282">
        <f t="shared" si="302"/>
        <v>39.199999999999932</v>
      </c>
      <c r="CU106" s="282">
        <f t="shared" si="302"/>
        <v>-104.39999999999998</v>
      </c>
      <c r="CV106" s="282">
        <f t="shared" si="302"/>
        <v>-65.200000000000045</v>
      </c>
      <c r="CW106" s="282">
        <f t="shared" si="302"/>
        <v>-51.400000000000034</v>
      </c>
      <c r="CX106" s="282">
        <f t="shared" si="302"/>
        <v>39.100000000000023</v>
      </c>
      <c r="CY106" s="282">
        <f t="shared" si="302"/>
        <v>-9.6000000000000796</v>
      </c>
      <c r="CZ106" s="282">
        <f t="shared" si="302"/>
        <v>29.499999999999943</v>
      </c>
      <c r="DA106" s="282">
        <f t="shared" si="302"/>
        <v>25.100000000000023</v>
      </c>
      <c r="DB106" s="282">
        <f t="shared" si="302"/>
        <v>-131.80000000000007</v>
      </c>
      <c r="DC106" s="282">
        <f t="shared" si="302"/>
        <v>-106.70000000000005</v>
      </c>
      <c r="DD106" s="590">
        <f t="shared" si="302"/>
        <v>-77.200000000000102</v>
      </c>
      <c r="DE106" s="282">
        <f t="shared" si="302"/>
        <v>79.300000000000125</v>
      </c>
      <c r="DF106" s="282">
        <f t="shared" si="302"/>
        <v>69.799999999999955</v>
      </c>
      <c r="DG106" s="282">
        <f t="shared" si="302"/>
        <v>149.10000000000008</v>
      </c>
      <c r="DH106" s="282">
        <f t="shared" si="302"/>
        <v>75.199999999999989</v>
      </c>
      <c r="DI106" s="282">
        <f t="shared" si="292"/>
        <v>-75.099999999999966</v>
      </c>
      <c r="DJ106" s="282">
        <f t="shared" si="293"/>
        <v>0.10000000000002274</v>
      </c>
      <c r="DK106" s="590">
        <f>-DK232</f>
        <v>149.2000000000001</v>
      </c>
      <c r="DL106" s="284">
        <f>-DL232</f>
        <v>30.100000000000023</v>
      </c>
      <c r="DM106" s="282">
        <f>-DM232</f>
        <v>-3.1999999999999318</v>
      </c>
      <c r="DN106" s="282">
        <f>-DN232</f>
        <v>26.900000000000091</v>
      </c>
      <c r="DO106" s="282">
        <f>-DO232</f>
        <v>11.099999999999852</v>
      </c>
      <c r="DP106" s="282">
        <f>+DQ106-DO106</f>
        <v>-13.599999999999852</v>
      </c>
      <c r="DQ106" s="282">
        <f>+DR106-DN106</f>
        <v>-2.5</v>
      </c>
      <c r="DR106" s="590">
        <f>-DR232</f>
        <v>24.400000000000091</v>
      </c>
      <c r="DS106" s="282">
        <f>-DS232</f>
        <v>27.699999999999875</v>
      </c>
      <c r="DT106" s="282">
        <f>-DT232</f>
        <v>-51.399999999999864</v>
      </c>
      <c r="DU106" s="282">
        <f>-DU232</f>
        <v>-23.699999999999989</v>
      </c>
      <c r="DV106" s="282">
        <f>-DV232</f>
        <v>-17.300000000000011</v>
      </c>
      <c r="DW106" s="282">
        <f>+DX106-DV106</f>
        <v>-50.200000000000102</v>
      </c>
      <c r="DX106" s="282">
        <f>+DY106-DU106</f>
        <v>-67.500000000000114</v>
      </c>
      <c r="DY106" s="590">
        <f>-DY232</f>
        <v>-91.200000000000102</v>
      </c>
      <c r="DZ106" s="282">
        <f>-DZ232</f>
        <v>37.699999999999932</v>
      </c>
      <c r="EA106" s="282">
        <f>-EA232</f>
        <v>33.700000000000159</v>
      </c>
      <c r="EB106" s="282">
        <f>-EB232</f>
        <v>71.400000000000091</v>
      </c>
      <c r="EC106" s="283">
        <f>-EC232</f>
        <v>46.89999999999992</v>
      </c>
      <c r="ED106" s="282">
        <f>+EE106-EC106</f>
        <v>-47.60000000000008</v>
      </c>
      <c r="EE106" s="282">
        <f>+EF106-EB106</f>
        <v>-0.70000000000015916</v>
      </c>
      <c r="EF106" s="590">
        <f>-EF232</f>
        <v>70.699999999999932</v>
      </c>
      <c r="EG106" s="282">
        <f>-EG232</f>
        <v>-49.099999999999909</v>
      </c>
      <c r="EH106" s="282">
        <f>-EH232</f>
        <v>-17.800000000000011</v>
      </c>
      <c r="EI106" s="282">
        <f>-EI232</f>
        <v>-66.89999999999992</v>
      </c>
      <c r="EJ106" s="283">
        <f>-EJ232</f>
        <v>77.699999999999932</v>
      </c>
      <c r="EK106" s="282">
        <f>+EL106-EJ106</f>
        <v>-62.700000000000045</v>
      </c>
      <c r="EL106" s="282">
        <f>+EM106-EI106</f>
        <v>14.999999999999886</v>
      </c>
      <c r="EM106" s="590">
        <f>-EM232</f>
        <v>-51.900000000000034</v>
      </c>
      <c r="EN106" s="282">
        <f>-EN232</f>
        <v>88.900000000000205</v>
      </c>
      <c r="EO106" s="282">
        <f>-EO232</f>
        <v>-124.30000000000018</v>
      </c>
      <c r="EP106" s="282">
        <f>-EP232</f>
        <v>-35.399999999999977</v>
      </c>
      <c r="EQ106" s="727">
        <f>-EQ232</f>
        <v>18.300000000000182</v>
      </c>
      <c r="ER106" s="282">
        <f t="shared" ref="ER106:FV106" si="303">-ER232</f>
        <v>-116.54785860108984</v>
      </c>
      <c r="ES106" s="282">
        <f t="shared" si="303"/>
        <v>-98.247858601089661</v>
      </c>
      <c r="ET106" s="732">
        <f t="shared" si="303"/>
        <v>-133.64785860108964</v>
      </c>
      <c r="EU106" s="282">
        <f t="shared" si="303"/>
        <v>109.89174288295294</v>
      </c>
      <c r="EV106" s="282">
        <f t="shared" si="303"/>
        <v>-53.933332465354738</v>
      </c>
      <c r="EW106" s="282">
        <f t="shared" si="303"/>
        <v>55.958410417598202</v>
      </c>
      <c r="EX106" s="282">
        <f t="shared" si="303"/>
        <v>21.07112577188218</v>
      </c>
      <c r="EY106" s="282">
        <f t="shared" si="303"/>
        <v>-113.13069631664996</v>
      </c>
      <c r="EZ106" s="282">
        <f t="shared" si="303"/>
        <v>-92.05957054476778</v>
      </c>
      <c r="FA106" s="590">
        <f t="shared" si="303"/>
        <v>-36.101160127169578</v>
      </c>
      <c r="FB106" s="282">
        <f t="shared" si="303"/>
        <v>116.76580808210019</v>
      </c>
      <c r="FC106" s="282">
        <f t="shared" si="303"/>
        <v>-64.100837143315971</v>
      </c>
      <c r="FD106" s="282">
        <f t="shared" si="303"/>
        <v>52.664970938784222</v>
      </c>
      <c r="FE106" s="282">
        <f t="shared" si="303"/>
        <v>23.408604915353749</v>
      </c>
      <c r="FF106" s="282">
        <f t="shared" si="303"/>
        <v>-121.59256647664495</v>
      </c>
      <c r="FG106" s="282">
        <f t="shared" si="303"/>
        <v>-98.183961561291198</v>
      </c>
      <c r="FH106" s="590">
        <f t="shared" si="303"/>
        <v>-45.518990622506976</v>
      </c>
      <c r="FI106" s="282">
        <f t="shared" si="303"/>
        <v>134.84355516993708</v>
      </c>
      <c r="FJ106" s="282">
        <f t="shared" si="303"/>
        <v>-67.193897292548513</v>
      </c>
      <c r="FK106" s="282">
        <f t="shared" si="303"/>
        <v>67.649657877388563</v>
      </c>
      <c r="FL106" s="282">
        <f t="shared" si="303"/>
        <v>25.837850882992598</v>
      </c>
      <c r="FM106" s="282">
        <f t="shared" si="303"/>
        <v>-126.95249279381289</v>
      </c>
      <c r="FN106" s="282">
        <f t="shared" si="303"/>
        <v>-101.1146419108203</v>
      </c>
      <c r="FO106" s="590">
        <f t="shared" si="303"/>
        <v>-33.464984033431733</v>
      </c>
      <c r="FP106" s="282">
        <f t="shared" si="303"/>
        <v>142.23408289837971</v>
      </c>
      <c r="FQ106" s="282">
        <f t="shared" si="303"/>
        <v>-74.979482173085557</v>
      </c>
      <c r="FR106" s="282">
        <f t="shared" si="303"/>
        <v>67.254600725294154</v>
      </c>
      <c r="FS106" s="282">
        <f t="shared" si="303"/>
        <v>26.401046172790302</v>
      </c>
      <c r="FT106" s="282">
        <f t="shared" si="303"/>
        <v>-135.08195511965391</v>
      </c>
      <c r="FU106" s="282">
        <f t="shared" si="303"/>
        <v>-108.68090894686361</v>
      </c>
      <c r="FV106" s="590">
        <f t="shared" si="303"/>
        <v>-41.426308221569457</v>
      </c>
    </row>
    <row r="107" spans="1:280" outlineLevel="1" x14ac:dyDescent="0.3">
      <c r="B107" s="279" t="s">
        <v>467</v>
      </c>
      <c r="C107" s="280" t="s">
        <v>226</v>
      </c>
      <c r="D107" s="281"/>
      <c r="E107" s="281"/>
      <c r="F107" s="281"/>
      <c r="G107" s="281"/>
      <c r="H107" s="281"/>
      <c r="I107" s="281"/>
      <c r="J107" s="281"/>
      <c r="K107" s="281"/>
      <c r="L107" s="281"/>
      <c r="M107" s="281"/>
      <c r="N107" s="281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  <c r="AF107" s="281"/>
      <c r="AG107" s="281"/>
      <c r="AH107" s="281"/>
      <c r="AI107" s="281"/>
      <c r="AJ107" s="281"/>
      <c r="AK107" s="281"/>
      <c r="AL107" s="281"/>
      <c r="AM107" s="281"/>
      <c r="AN107" s="281"/>
      <c r="AO107" s="281"/>
      <c r="AP107" s="281"/>
      <c r="AQ107" s="281"/>
      <c r="AR107" s="281"/>
      <c r="AS107" s="281"/>
      <c r="AT107" s="281"/>
      <c r="AU107" s="281"/>
      <c r="AV107" s="281"/>
      <c r="AW107" s="281"/>
      <c r="AX107" s="281"/>
      <c r="AY107" s="281"/>
      <c r="AZ107" s="281"/>
      <c r="BA107" s="281"/>
      <c r="BB107" s="281"/>
      <c r="BC107" s="281"/>
      <c r="BD107" s="281"/>
      <c r="BE107" s="281"/>
      <c r="BF107" s="281"/>
      <c r="BG107" s="281"/>
      <c r="BH107" s="281"/>
      <c r="BI107" s="281"/>
      <c r="BJ107" s="281"/>
      <c r="BK107" s="281"/>
      <c r="BL107" s="281"/>
      <c r="BM107" s="281"/>
      <c r="BN107" s="281"/>
      <c r="BO107" s="281"/>
      <c r="BP107" s="281"/>
      <c r="BQ107" s="281"/>
      <c r="BR107" s="281"/>
      <c r="BS107" s="281"/>
      <c r="BT107" s="281"/>
      <c r="BU107" s="281"/>
      <c r="BV107" s="281"/>
      <c r="BW107" s="281"/>
      <c r="BX107" s="281"/>
      <c r="BY107" s="281"/>
      <c r="BZ107" s="281"/>
      <c r="CA107" s="281"/>
      <c r="CB107" s="281"/>
      <c r="CC107" s="281"/>
      <c r="CD107" s="281"/>
      <c r="CE107" s="281"/>
      <c r="CF107" s="281"/>
      <c r="CG107" s="281"/>
      <c r="CH107" s="281"/>
      <c r="CI107" s="281"/>
      <c r="CJ107" s="281"/>
      <c r="CK107" s="281"/>
      <c r="CL107" s="281"/>
      <c r="CM107" s="281"/>
      <c r="CN107" s="281"/>
      <c r="CO107" s="281"/>
      <c r="CP107" s="282"/>
      <c r="CQ107" s="282"/>
      <c r="CR107" s="282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82"/>
      <c r="DC107" s="282"/>
      <c r="DD107" s="590"/>
      <c r="DE107" s="282"/>
      <c r="DF107" s="282"/>
      <c r="DG107" s="282"/>
      <c r="DH107" s="282"/>
      <c r="DI107" s="282">
        <f t="shared" si="292"/>
        <v>0</v>
      </c>
      <c r="DJ107" s="282">
        <f t="shared" si="293"/>
        <v>0</v>
      </c>
      <c r="DK107" s="590"/>
      <c r="DL107" s="284"/>
      <c r="DM107" s="282"/>
      <c r="DN107" s="282"/>
      <c r="DO107" s="282"/>
      <c r="DP107" s="282"/>
      <c r="DQ107" s="282"/>
      <c r="DR107" s="590"/>
      <c r="DS107" s="282"/>
      <c r="DT107" s="282"/>
      <c r="DU107" s="282"/>
      <c r="DV107" s="282"/>
      <c r="DW107" s="282"/>
      <c r="DX107" s="282"/>
      <c r="DY107" s="590"/>
      <c r="DZ107" s="282"/>
      <c r="EA107" s="282"/>
      <c r="EB107" s="282"/>
      <c r="EC107" s="283"/>
      <c r="ED107" s="282"/>
      <c r="EE107" s="282"/>
      <c r="EF107" s="590"/>
      <c r="EG107" s="282"/>
      <c r="EH107" s="282"/>
      <c r="EI107" s="282"/>
      <c r="EJ107" s="283"/>
      <c r="EK107" s="282"/>
      <c r="EL107" s="282"/>
      <c r="EM107" s="590"/>
      <c r="EN107" s="282"/>
      <c r="EO107" s="282"/>
      <c r="EP107" s="282"/>
      <c r="EQ107" s="284"/>
      <c r="ER107" s="282"/>
      <c r="ES107" s="282"/>
      <c r="ET107" s="590"/>
      <c r="EU107" s="282"/>
      <c r="EV107" s="282"/>
      <c r="EW107" s="282"/>
      <c r="EX107" s="282"/>
      <c r="EY107" s="282"/>
      <c r="EZ107" s="282"/>
      <c r="FA107" s="590"/>
      <c r="FB107" s="282"/>
      <c r="FC107" s="282"/>
      <c r="FD107" s="282"/>
      <c r="FE107" s="282"/>
      <c r="FF107" s="282"/>
      <c r="FG107" s="282"/>
      <c r="FH107" s="590"/>
      <c r="FI107" s="282"/>
      <c r="FJ107" s="282"/>
      <c r="FK107" s="282"/>
      <c r="FL107" s="282"/>
      <c r="FM107" s="282"/>
      <c r="FN107" s="282"/>
      <c r="FO107" s="590"/>
      <c r="FP107" s="282"/>
      <c r="FQ107" s="282"/>
      <c r="FR107" s="282"/>
      <c r="FS107" s="282"/>
      <c r="FT107" s="282"/>
      <c r="FU107" s="282"/>
      <c r="FV107" s="590"/>
    </row>
    <row r="108" spans="1:280" outlineLevel="1" x14ac:dyDescent="0.3">
      <c r="B108" s="279" t="s">
        <v>468</v>
      </c>
      <c r="C108" s="280" t="s">
        <v>226</v>
      </c>
      <c r="D108" s="281"/>
      <c r="E108" s="281"/>
      <c r="F108" s="281"/>
      <c r="G108" s="281"/>
      <c r="H108" s="281"/>
      <c r="I108" s="281"/>
      <c r="J108" s="281"/>
      <c r="K108" s="281"/>
      <c r="L108" s="281"/>
      <c r="M108" s="281"/>
      <c r="N108" s="281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  <c r="AF108" s="281"/>
      <c r="AG108" s="281"/>
      <c r="AH108" s="281"/>
      <c r="AI108" s="281"/>
      <c r="AJ108" s="281"/>
      <c r="AK108" s="281"/>
      <c r="AL108" s="281"/>
      <c r="AM108" s="281"/>
      <c r="AN108" s="281"/>
      <c r="AO108" s="281"/>
      <c r="AP108" s="281"/>
      <c r="AQ108" s="281"/>
      <c r="AR108" s="281"/>
      <c r="AS108" s="281"/>
      <c r="AT108" s="281"/>
      <c r="AU108" s="281"/>
      <c r="AV108" s="281"/>
      <c r="AW108" s="281"/>
      <c r="AX108" s="281"/>
      <c r="AY108" s="281"/>
      <c r="AZ108" s="281"/>
      <c r="BA108" s="281"/>
      <c r="BB108" s="281"/>
      <c r="BC108" s="281"/>
      <c r="BD108" s="281"/>
      <c r="BE108" s="281"/>
      <c r="BF108" s="281"/>
      <c r="BG108" s="281"/>
      <c r="BH108" s="281"/>
      <c r="BI108" s="281"/>
      <c r="BJ108" s="281"/>
      <c r="BK108" s="281"/>
      <c r="BL108" s="281"/>
      <c r="BM108" s="281"/>
      <c r="BN108" s="281"/>
      <c r="BO108" s="281"/>
      <c r="BP108" s="281"/>
      <c r="BQ108" s="281"/>
      <c r="BR108" s="281"/>
      <c r="BS108" s="281"/>
      <c r="BT108" s="281"/>
      <c r="BU108" s="281"/>
      <c r="BV108" s="281"/>
      <c r="BW108" s="281"/>
      <c r="BX108" s="281"/>
      <c r="BY108" s="281"/>
      <c r="BZ108" s="281"/>
      <c r="CA108" s="281"/>
      <c r="CB108" s="281"/>
      <c r="CC108" s="281"/>
      <c r="CD108" s="281"/>
      <c r="CE108" s="281"/>
      <c r="CF108" s="281"/>
      <c r="CG108" s="281"/>
      <c r="CH108" s="281"/>
      <c r="CI108" s="281"/>
      <c r="CJ108" s="281"/>
      <c r="CK108" s="289">
        <v>-102.2</v>
      </c>
      <c r="CL108" s="281">
        <f>SUM(CJ108:CK108)</f>
        <v>-102.2</v>
      </c>
      <c r="CM108" s="281"/>
      <c r="CN108" s="281"/>
      <c r="CO108" s="281">
        <f>CM108+CN108</f>
        <v>0</v>
      </c>
      <c r="CP108" s="283">
        <f>CL108+CO108</f>
        <v>-102.2</v>
      </c>
      <c r="CQ108" s="282"/>
      <c r="CR108" s="290">
        <v>-103</v>
      </c>
      <c r="CS108" s="282">
        <f>CR108+CQ108</f>
        <v>-103</v>
      </c>
      <c r="CT108" s="325">
        <v>0</v>
      </c>
      <c r="CU108" s="282">
        <v>0</v>
      </c>
      <c r="CV108" s="282">
        <f>CU108+CT108</f>
        <v>0</v>
      </c>
      <c r="CW108" s="283">
        <f>CV108+CS108</f>
        <v>-103</v>
      </c>
      <c r="CX108" s="282">
        <v>0</v>
      </c>
      <c r="CY108" s="290">
        <v>-108.9</v>
      </c>
      <c r="CZ108" s="282">
        <f>CY108+CX108</f>
        <v>-108.9</v>
      </c>
      <c r="DA108" s="325">
        <v>0</v>
      </c>
      <c r="DB108" s="290">
        <v>0</v>
      </c>
      <c r="DC108" s="282">
        <f>DB108+DA108</f>
        <v>0</v>
      </c>
      <c r="DD108" s="668">
        <f>DC108+CZ108</f>
        <v>-108.9</v>
      </c>
      <c r="DE108" s="290">
        <v>0</v>
      </c>
      <c r="DF108" s="290">
        <v>0</v>
      </c>
      <c r="DG108" s="282">
        <f>DF108+DE108</f>
        <v>0</v>
      </c>
      <c r="DH108" s="325">
        <v>-76.7</v>
      </c>
      <c r="DI108" s="282">
        <f t="shared" si="292"/>
        <v>-76.600000000000009</v>
      </c>
      <c r="DJ108" s="282">
        <f t="shared" si="293"/>
        <v>-153.30000000000001</v>
      </c>
      <c r="DK108" s="668">
        <v>-153.30000000000001</v>
      </c>
      <c r="DL108" s="292">
        <v>-23.5</v>
      </c>
      <c r="DM108" s="282">
        <f>+DN108-DL108</f>
        <v>-38.6</v>
      </c>
      <c r="DN108" s="290">
        <v>-62.1</v>
      </c>
      <c r="DO108" s="290">
        <f>+-124.2-DN108</f>
        <v>-62.1</v>
      </c>
      <c r="DP108" s="282">
        <f>+DQ108-DO108</f>
        <v>-124.30000000000001</v>
      </c>
      <c r="DQ108" s="282">
        <f>+DR108-DN108</f>
        <v>-186.4</v>
      </c>
      <c r="DR108" s="668">
        <v>-248.5</v>
      </c>
      <c r="DS108" s="290">
        <v>0</v>
      </c>
      <c r="DT108" s="282">
        <f>+DU108-DS108</f>
        <v>-27.4</v>
      </c>
      <c r="DU108" s="290">
        <v>-27.4</v>
      </c>
      <c r="DV108" s="290">
        <f>+-54.8-DU108</f>
        <v>-27.4</v>
      </c>
      <c r="DW108" s="282">
        <f>+DX108-DV108</f>
        <v>-54.79999999999999</v>
      </c>
      <c r="DX108" s="282">
        <f>+DY108-DU108</f>
        <v>-82.199999999999989</v>
      </c>
      <c r="DY108" s="668">
        <v>-109.6</v>
      </c>
      <c r="DZ108" s="290">
        <v>0</v>
      </c>
      <c r="EA108" s="282">
        <f>+EB108-DZ108</f>
        <v>-23</v>
      </c>
      <c r="EB108" s="290">
        <v>-23</v>
      </c>
      <c r="EC108" s="317">
        <f>-45.9-EB108</f>
        <v>-22.9</v>
      </c>
      <c r="ED108" s="282">
        <f>+EE108-EC108</f>
        <v>-45.9</v>
      </c>
      <c r="EE108" s="282">
        <f>+EF108-EB108</f>
        <v>-68.8</v>
      </c>
      <c r="EF108" s="668">
        <v>-91.8</v>
      </c>
      <c r="EG108" s="290">
        <v>0</v>
      </c>
      <c r="EH108" s="282">
        <f>+EI108-EG108</f>
        <v>-24.8</v>
      </c>
      <c r="EI108" s="290">
        <v>-24.8</v>
      </c>
      <c r="EJ108" s="317">
        <f>-49.6-EI108</f>
        <v>-24.8</v>
      </c>
      <c r="EK108" s="282">
        <f>+EL108-EJ108</f>
        <v>-49.600000000000009</v>
      </c>
      <c r="EL108" s="282">
        <f>+EM108-EI108</f>
        <v>-74.400000000000006</v>
      </c>
      <c r="EM108" s="668">
        <v>-99.2</v>
      </c>
      <c r="EN108" s="290">
        <v>-29.3</v>
      </c>
      <c r="EO108" s="282">
        <f>+EP108-EN108</f>
        <v>-2.0999999999999979</v>
      </c>
      <c r="EP108" s="290">
        <v>-31.4</v>
      </c>
      <c r="EQ108" s="725">
        <f>-86.8-EP108</f>
        <v>-55.4</v>
      </c>
      <c r="ER108" s="282">
        <f>ES108-EQ108</f>
        <v>19.459999999999994</v>
      </c>
      <c r="ES108" s="282">
        <f>ET108-EP108</f>
        <v>-35.940000000000005</v>
      </c>
      <c r="ET108" s="735">
        <f>-103.6*0.65</f>
        <v>-67.34</v>
      </c>
      <c r="EU108" s="325">
        <f>EW108/2</f>
        <v>-25</v>
      </c>
      <c r="EV108" s="282">
        <f>EW108-EU108</f>
        <v>-25</v>
      </c>
      <c r="EW108" s="282">
        <f>FA108/2</f>
        <v>-50</v>
      </c>
      <c r="EX108" s="325">
        <f>EZ108/2</f>
        <v>-25</v>
      </c>
      <c r="EY108" s="282">
        <f>EZ108-EX108</f>
        <v>-25</v>
      </c>
      <c r="EZ108" s="282">
        <f>FA108-EW108</f>
        <v>-50</v>
      </c>
      <c r="FA108" s="603">
        <v>-100</v>
      </c>
      <c r="FB108" s="325">
        <f>FD108/2</f>
        <v>-25</v>
      </c>
      <c r="FC108" s="282">
        <f>FD108-FB108</f>
        <v>-25</v>
      </c>
      <c r="FD108" s="282">
        <f>FH108/2</f>
        <v>-50</v>
      </c>
      <c r="FE108" s="325">
        <f>FG108/2</f>
        <v>-25</v>
      </c>
      <c r="FF108" s="282">
        <f>FG108-FE108</f>
        <v>-25</v>
      </c>
      <c r="FG108" s="282">
        <f>FH108-FD108</f>
        <v>-50</v>
      </c>
      <c r="FH108" s="603">
        <v>-100</v>
      </c>
      <c r="FI108" s="325">
        <f>FK108/2</f>
        <v>-25</v>
      </c>
      <c r="FJ108" s="282">
        <f>FK108-FI108</f>
        <v>-25</v>
      </c>
      <c r="FK108" s="282">
        <f>FO108/2</f>
        <v>-50</v>
      </c>
      <c r="FL108" s="325">
        <f>FN108/2</f>
        <v>-25</v>
      </c>
      <c r="FM108" s="282">
        <f>FN108-FL108</f>
        <v>-25</v>
      </c>
      <c r="FN108" s="282">
        <f>FO108-FK108</f>
        <v>-50</v>
      </c>
      <c r="FO108" s="603">
        <v>-100</v>
      </c>
      <c r="FP108" s="325">
        <f>FR108/2</f>
        <v>-25</v>
      </c>
      <c r="FQ108" s="282">
        <f>FR108-FP108</f>
        <v>-25</v>
      </c>
      <c r="FR108" s="282">
        <f>FV108/2</f>
        <v>-50</v>
      </c>
      <c r="FS108" s="325">
        <f>FU108/2</f>
        <v>-25</v>
      </c>
      <c r="FT108" s="282">
        <f>FU108-FS108</f>
        <v>-25</v>
      </c>
      <c r="FU108" s="282">
        <f>FV108-FR108</f>
        <v>-50</v>
      </c>
      <c r="FV108" s="603">
        <v>-100</v>
      </c>
    </row>
    <row r="109" spans="1:280" outlineLevel="1" x14ac:dyDescent="0.3">
      <c r="B109" s="279" t="s">
        <v>469</v>
      </c>
      <c r="C109" s="280" t="s">
        <v>226</v>
      </c>
      <c r="D109" s="281">
        <f t="shared" ref="D109:AL109" si="304">D110-SUM(D103:D107)</f>
        <v>8.0999999999999943</v>
      </c>
      <c r="E109" s="281">
        <f t="shared" si="304"/>
        <v>4.5000000000000142</v>
      </c>
      <c r="F109" s="281">
        <f t="shared" si="304"/>
        <v>9.9999999999999716</v>
      </c>
      <c r="G109" s="281">
        <f t="shared" si="304"/>
        <v>12.5</v>
      </c>
      <c r="H109" s="281">
        <f t="shared" si="304"/>
        <v>-69.7</v>
      </c>
      <c r="I109" s="281">
        <f t="shared" si="304"/>
        <v>-57.200000000000017</v>
      </c>
      <c r="J109" s="281">
        <f t="shared" si="304"/>
        <v>4.8999999999999488</v>
      </c>
      <c r="K109" s="281">
        <f t="shared" si="304"/>
        <v>8.9000000000000057</v>
      </c>
      <c r="L109" s="281">
        <f t="shared" si="304"/>
        <v>-161.60000000000002</v>
      </c>
      <c r="M109" s="281">
        <f t="shared" si="304"/>
        <v>-152.70000000000005</v>
      </c>
      <c r="N109" s="281">
        <f t="shared" si="304"/>
        <v>14.000000000000085</v>
      </c>
      <c r="O109" s="281">
        <f t="shared" si="304"/>
        <v>-146.50000000000003</v>
      </c>
      <c r="P109" s="281">
        <f t="shared" si="304"/>
        <v>-132.49999999999994</v>
      </c>
      <c r="Q109" s="281">
        <f t="shared" si="304"/>
        <v>-285.29999999999984</v>
      </c>
      <c r="R109" s="281">
        <f t="shared" si="304"/>
        <v>13.199999999999932</v>
      </c>
      <c r="S109" s="281">
        <f t="shared" si="304"/>
        <v>18</v>
      </c>
      <c r="T109" s="281">
        <f t="shared" si="304"/>
        <v>31.19999999999996</v>
      </c>
      <c r="U109" s="281">
        <f t="shared" si="304"/>
        <v>3.8000000000000398</v>
      </c>
      <c r="V109" s="281">
        <f t="shared" si="304"/>
        <v>-21.299999999999955</v>
      </c>
      <c r="W109" s="281">
        <f t="shared" si="304"/>
        <v>-17.499999999999943</v>
      </c>
      <c r="X109" s="281">
        <f t="shared" si="304"/>
        <v>13.700000000000102</v>
      </c>
      <c r="Y109" s="281">
        <f t="shared" si="304"/>
        <v>41.4</v>
      </c>
      <c r="Z109" s="281">
        <f t="shared" si="304"/>
        <v>-70.7</v>
      </c>
      <c r="AA109" s="281">
        <f t="shared" si="304"/>
        <v>-29.299999999999997</v>
      </c>
      <c r="AB109" s="281">
        <f t="shared" si="304"/>
        <v>-143.20000000000002</v>
      </c>
      <c r="AC109" s="281">
        <f t="shared" si="304"/>
        <v>-123.39999999999998</v>
      </c>
      <c r="AD109" s="281">
        <f t="shared" si="304"/>
        <v>-266.59999999999997</v>
      </c>
      <c r="AE109" s="281">
        <f t="shared" si="304"/>
        <v>-295.90000000000003</v>
      </c>
      <c r="AF109" s="281">
        <f t="shared" si="304"/>
        <v>42.599999999999987</v>
      </c>
      <c r="AG109" s="281">
        <f t="shared" si="304"/>
        <v>6.599999999999973</v>
      </c>
      <c r="AH109" s="281">
        <f t="shared" si="304"/>
        <v>49.2</v>
      </c>
      <c r="AI109" s="281">
        <f t="shared" si="304"/>
        <v>13.799999999999997</v>
      </c>
      <c r="AJ109" s="281">
        <f t="shared" si="304"/>
        <v>-24.799999999999969</v>
      </c>
      <c r="AK109" s="281">
        <f t="shared" si="304"/>
        <v>-10.999999999999972</v>
      </c>
      <c r="AL109" s="281">
        <f t="shared" si="304"/>
        <v>38.200000000000017</v>
      </c>
      <c r="AM109" s="281">
        <f>AM110-SUM(AM103:AM107)</f>
        <v>-44.700000000000031</v>
      </c>
      <c r="AN109" s="281">
        <f>AN110-SUM(AN103:AN107)</f>
        <v>349.59999999999997</v>
      </c>
      <c r="AO109" s="281">
        <f>AO110-SUM(AO103:AO107)</f>
        <v>240.49999999999997</v>
      </c>
      <c r="AP109" s="281">
        <f>AP110-SUM(AP103:AP107)</f>
        <v>31.200000000000045</v>
      </c>
      <c r="AQ109" s="281">
        <f>AQ110-SUM(AQ103:AQ107)</f>
        <v>70.899999999999977</v>
      </c>
      <c r="AR109" s="281">
        <f>AQ109+AP109</f>
        <v>102.10000000000002</v>
      </c>
      <c r="AS109" s="281">
        <f>AR109+AO109</f>
        <v>342.6</v>
      </c>
      <c r="AT109" s="281">
        <f>AT110-SUM(AT103:AT107)</f>
        <v>-65.000000000000028</v>
      </c>
      <c r="AU109" s="281">
        <f>AU110-SUM(AU103:AU107)</f>
        <v>45.199999999999989</v>
      </c>
      <c r="AV109" s="281">
        <f>AU109+AT109</f>
        <v>-19.80000000000004</v>
      </c>
      <c r="AW109" s="281">
        <f>AW110-SUM(AW103:AW107)</f>
        <v>-27.40000000000002</v>
      </c>
      <c r="AX109" s="281">
        <f>AX110-SUM(AX103:AX107)</f>
        <v>-228.0064188409367</v>
      </c>
      <c r="AY109" s="281">
        <f>AX109+AW109</f>
        <v>-255.40641884093674</v>
      </c>
      <c r="AZ109" s="281">
        <f>AY109+AV109</f>
        <v>-275.20641884093675</v>
      </c>
      <c r="BA109" s="281">
        <f>BA110-SUM(BA103:BA107)</f>
        <v>34.606418840936747</v>
      </c>
      <c r="BB109" s="281">
        <f>BB110-SUM(BB103:BB107)</f>
        <v>-135.30000000000007</v>
      </c>
      <c r="BC109" s="281">
        <f>BB109+BA109</f>
        <v>-100.69358115906331</v>
      </c>
      <c r="BD109" s="281">
        <f t="shared" ref="BD109:BL109" si="305">BD110-SUM(BD103:BD107)</f>
        <v>9.0000000000000568</v>
      </c>
      <c r="BE109" s="281">
        <f t="shared" si="305"/>
        <v>-130.60348511240852</v>
      </c>
      <c r="BF109" s="281">
        <f t="shared" si="305"/>
        <v>-121.60348511240846</v>
      </c>
      <c r="BG109" s="281">
        <f t="shared" si="305"/>
        <v>-222.29706627147175</v>
      </c>
      <c r="BH109" s="281">
        <f t="shared" si="305"/>
        <v>66.903485112408504</v>
      </c>
      <c r="BI109" s="281">
        <f t="shared" si="305"/>
        <v>-2.6000000000000085</v>
      </c>
      <c r="BJ109" s="281">
        <f>BI109+BH109</f>
        <v>64.303485112408495</v>
      </c>
      <c r="BK109" s="281">
        <f t="shared" si="305"/>
        <v>62.6</v>
      </c>
      <c r="BL109" s="281">
        <f t="shared" si="305"/>
        <v>20.599999999999987</v>
      </c>
      <c r="BM109" s="281">
        <f>BL109+BK109</f>
        <v>83.199999999999989</v>
      </c>
      <c r="BN109" s="281">
        <f>+BN110-SUM(BN103:BN107)</f>
        <v>147.5034851124085</v>
      </c>
      <c r="BO109" s="281">
        <f>BO110-SUM(BO103:BO107)</f>
        <v>-40.799999999999983</v>
      </c>
      <c r="BP109" s="281">
        <f>BP110-SUM(BP103:BP107)</f>
        <v>-39.400000000000013</v>
      </c>
      <c r="BQ109" s="281">
        <f>BP109+BO109</f>
        <v>-80.199999999999989</v>
      </c>
      <c r="BR109" s="281">
        <f>BR110-SUM(BR103:BR107)</f>
        <v>68.400000000000006</v>
      </c>
      <c r="BS109" s="281">
        <f>BS110-SUM(BS103:BS107)</f>
        <v>-58.799999999999983</v>
      </c>
      <c r="BT109" s="281">
        <f>BS109+BR109</f>
        <v>9.6000000000000227</v>
      </c>
      <c r="BU109" s="281">
        <f>BT109+BQ109</f>
        <v>-70.599999999999966</v>
      </c>
      <c r="BV109" s="281">
        <f>BV110-SUM(BV103:BV107)</f>
        <v>-19.200000000000024</v>
      </c>
      <c r="BW109" s="281">
        <f>BW110-SUM(BW103:BW107)</f>
        <v>-5.1000000000000298</v>
      </c>
      <c r="BX109" s="281">
        <f>BW109+BV109</f>
        <v>-24.300000000000054</v>
      </c>
      <c r="BY109" s="281">
        <f>BY110-SUM(BY103:BY107)</f>
        <v>-2.0999999999999801</v>
      </c>
      <c r="BZ109" s="281">
        <f>BZ110-SUM(BZ103:BZ107)</f>
        <v>4.3000000000000114</v>
      </c>
      <c r="CA109" s="281">
        <f>BZ109+BY109</f>
        <v>2.2000000000000313</v>
      </c>
      <c r="CB109" s="281">
        <f>CA109+BX109</f>
        <v>-22.100000000000023</v>
      </c>
      <c r="CC109" s="281">
        <f>CC110-SUM(CC103:CC107)</f>
        <v>15.799999999999983</v>
      </c>
      <c r="CD109" s="281">
        <f>CD110-SUM(CD103:CD107)</f>
        <v>-100.89999999999995</v>
      </c>
      <c r="CE109" s="281">
        <f>CD109+CC109</f>
        <v>-85.099999999999966</v>
      </c>
      <c r="CF109" s="281">
        <f>CF110-SUM(CF103:CF107)</f>
        <v>55.699999999999918</v>
      </c>
      <c r="CG109" s="281">
        <f>CG110-SUM(CG103:CG107)</f>
        <v>59.398464617514634</v>
      </c>
      <c r="CH109" s="281">
        <f>CG109+CF109</f>
        <v>115.09846461751455</v>
      </c>
      <c r="CI109" s="281">
        <f>CH109+CE109</f>
        <v>29.998464617514585</v>
      </c>
      <c r="CJ109" s="281">
        <f>CJ110-SUM(CJ103:CJ107)</f>
        <v>-29.998464617514628</v>
      </c>
      <c r="CK109" s="281">
        <f>CK110-SUM(CK103:CK108)</f>
        <v>5.4000000000000909</v>
      </c>
      <c r="CL109" s="281">
        <f>CK109+CJ109</f>
        <v>-24.598464617514537</v>
      </c>
      <c r="CM109" s="281">
        <f>CM110-SUM(CM103:CM107)</f>
        <v>49.899999999999991</v>
      </c>
      <c r="CN109" s="281">
        <f>CN110-SUM(CN103:CN107)</f>
        <v>-201.50000000000006</v>
      </c>
      <c r="CO109" s="281">
        <f>CN109+CM109</f>
        <v>-151.60000000000008</v>
      </c>
      <c r="CP109" s="282">
        <f>CL109+CO109</f>
        <v>-176.19846461751462</v>
      </c>
      <c r="CQ109" s="282">
        <f>CQ110-SUM(CQ103:CQ107)</f>
        <v>21.399999999999991</v>
      </c>
      <c r="CR109" s="282">
        <f>CR110-SUM(CR103:CR108)</f>
        <v>4.9999999999999574</v>
      </c>
      <c r="CS109" s="282">
        <f>CR109+CQ109</f>
        <v>26.399999999999949</v>
      </c>
      <c r="CT109" s="282">
        <f>CT110-SUM(CT103:CT108)</f>
        <v>16.000000000000142</v>
      </c>
      <c r="CU109" s="282">
        <f>((CT174-CU174)+(CT178-CU178)+(CT181-CU181)+(CT182-CU182)+(CT183-CU183)+(CT185-CU185)+(CT186-CU186)+(CT187-CU187)-((CT193-CU193)+(CT194-CU194)+(CT195-CU195)+(CT196-CU196)+(CT198-CU198)+(CT202-CU202)+(CT203-CU203)+(CT205-CU205)+(CT206-CU206)+(CT212-CU212)+(CT215-CU215)))</f>
        <v>32.199999999999946</v>
      </c>
      <c r="CV109" s="282">
        <f>CU109+CT109</f>
        <v>48.200000000000088</v>
      </c>
      <c r="CW109" s="282">
        <f>CS109+CV109</f>
        <v>74.600000000000037</v>
      </c>
      <c r="CX109" s="282">
        <f>CX110-SUM(CX103:CX108)</f>
        <v>-24.600000000000051</v>
      </c>
      <c r="CY109" s="282">
        <f>CY110-SUM(CY103:CY108)</f>
        <v>103.7000000000001</v>
      </c>
      <c r="CZ109" s="282">
        <f>CY109+CX109</f>
        <v>79.100000000000051</v>
      </c>
      <c r="DA109" s="282">
        <f>DA110-SUM(DA103:DA108)</f>
        <v>9.1999999999999886</v>
      </c>
      <c r="DB109" s="282">
        <f>DB110-SUM(DB103:DB108)</f>
        <v>-14.399999999999892</v>
      </c>
      <c r="DC109" s="282">
        <f>DB109+DA109</f>
        <v>-5.1999999999999034</v>
      </c>
      <c r="DD109" s="590">
        <f>CZ109+DC109</f>
        <v>73.900000000000148</v>
      </c>
      <c r="DE109" s="282">
        <f>DE110-SUM(DE103:DE108)</f>
        <v>-90.400000000000148</v>
      </c>
      <c r="DF109" s="282">
        <f>DF110-SUM(DF103:DF108)</f>
        <v>-28.499999999999886</v>
      </c>
      <c r="DG109" s="282">
        <f>DF109+DE109</f>
        <v>-118.90000000000003</v>
      </c>
      <c r="DH109" s="282">
        <f>DH110-SUM(DH103:DH108)</f>
        <v>51.199999999999818</v>
      </c>
      <c r="DI109" s="282">
        <f t="shared" si="292"/>
        <v>70.000000000000057</v>
      </c>
      <c r="DJ109" s="282">
        <f t="shared" si="293"/>
        <v>121.19999999999987</v>
      </c>
      <c r="DK109" s="590">
        <f>DK110-SUM(DK103:DK108)</f>
        <v>2.2999999999998408</v>
      </c>
      <c r="DL109" s="284">
        <f>DL110-SUM(DL103:DL108)</f>
        <v>-8.0000000000000568</v>
      </c>
      <c r="DM109" s="282">
        <f>DM110-SUM(DM103:DM108)</f>
        <v>15.499999999999943</v>
      </c>
      <c r="DN109" s="290">
        <f>DM109+DL109</f>
        <v>7.4999999999998863</v>
      </c>
      <c r="DO109" s="282">
        <f>DO110-SUM(DO103:DO108)</f>
        <v>32.600000000000108</v>
      </c>
      <c r="DP109" s="282">
        <f>+DQ109-DO109</f>
        <v>-3.0999999999999943</v>
      </c>
      <c r="DQ109" s="282">
        <f>+DR109-DN109</f>
        <v>29.500000000000114</v>
      </c>
      <c r="DR109" s="590">
        <f>DR110-SUM(DR103:DR108)</f>
        <v>37</v>
      </c>
      <c r="DS109" s="282">
        <f>DS110-SUM(DS103:DS108)</f>
        <v>-60.499999999999886</v>
      </c>
      <c r="DT109" s="282">
        <f>DT110-SUM(DT103:DT108)</f>
        <v>-24.600000000000136</v>
      </c>
      <c r="DU109" s="282">
        <f>DT109+DS109</f>
        <v>-85.100000000000023</v>
      </c>
      <c r="DV109" s="282">
        <f>DV110-SUM(DV103:DV108)</f>
        <v>9.0000000000000568</v>
      </c>
      <c r="DW109" s="282">
        <f>+DX109-DV109</f>
        <v>25.800000000000011</v>
      </c>
      <c r="DX109" s="282">
        <f>+DY109-DU109</f>
        <v>34.800000000000068</v>
      </c>
      <c r="DY109" s="590">
        <f>DY110-SUM(DY103:DY108)</f>
        <v>-50.299999999999955</v>
      </c>
      <c r="DZ109" s="282">
        <f>DZ110-SUM(DZ103:DZ108)</f>
        <v>-33.100000000000023</v>
      </c>
      <c r="EA109" s="282">
        <f>EA110-SUM(EA103:EA108)</f>
        <v>-55.800000000000068</v>
      </c>
      <c r="EB109" s="282">
        <f>EA109+DZ109</f>
        <v>-88.900000000000091</v>
      </c>
      <c r="EC109" s="283">
        <f>EC110-SUM(EC103:EC108)</f>
        <v>8.6000000000000227</v>
      </c>
      <c r="ED109" s="282">
        <f>+EE109-EC109</f>
        <v>-79.799999999999841</v>
      </c>
      <c r="EE109" s="282">
        <f>+EF109-EB109</f>
        <v>-71.199999999999818</v>
      </c>
      <c r="EF109" s="590">
        <f>EF110-SUM(EF103:EF108)</f>
        <v>-160.09999999999991</v>
      </c>
      <c r="EG109" s="282">
        <f>EG110-SUM(EG103:EG108)</f>
        <v>-28.700000000000131</v>
      </c>
      <c r="EH109" s="282">
        <f>EH110-SUM(EH103:EH108)</f>
        <v>-75.69999999999996</v>
      </c>
      <c r="EI109" s="282">
        <f>EH109+EG109</f>
        <v>-104.40000000000009</v>
      </c>
      <c r="EJ109" s="283">
        <f>EJ110-SUM(EJ103:EJ108)</f>
        <v>7.6000000000000227</v>
      </c>
      <c r="EK109" s="282">
        <f>+EL109-EJ109</f>
        <v>-40.399999999999977</v>
      </c>
      <c r="EL109" s="282">
        <f>+EM109-EI109</f>
        <v>-32.799999999999955</v>
      </c>
      <c r="EM109" s="590">
        <f>EM110-SUM(EM103:EM108)</f>
        <v>-137.20000000000005</v>
      </c>
      <c r="EN109" s="282">
        <f>EN110-SUM(EN103:EN108)</f>
        <v>-58.100000000000165</v>
      </c>
      <c r="EO109" s="282">
        <f>EO110-SUM(EO103:EO108)</f>
        <v>-273.89999999999986</v>
      </c>
      <c r="EP109" s="282">
        <f>EO109+EN109</f>
        <v>-332</v>
      </c>
      <c r="EQ109" s="727">
        <f>EQ110-SUM(EQ103:EQ108)</f>
        <v>-69.900000000000205</v>
      </c>
      <c r="ER109" s="282">
        <f>((EQ174-ER174)+(EQ178-ER178)+(EQ181-ER181)+(EQ182-ER182)+(EQ183-ER183)+(EQ185-ER185)+(EQ186-ER186)+(EQ187-ER187)-((EQ193-ER193)+(EQ194-ER194)+(EQ195-ER195)+(EQ196-ER196)+(EQ198-ER198)+(EQ202-ER202)+(EQ203-ER203)+(EQ205-ER205)+(EQ206-ER206)+(EQ212-ER212)+(EQ215-ER215)))</f>
        <v>0</v>
      </c>
      <c r="ES109" s="282">
        <f>ER109+EQ109</f>
        <v>-69.900000000000205</v>
      </c>
      <c r="ET109" s="732">
        <f>EP109+ES109</f>
        <v>-401.9000000000002</v>
      </c>
      <c r="EU109" s="282">
        <f>((ET174-EU174)+(ET178-EU178)+(ET181-EU181)+(ET182-EU182)+(ET183-EU183)+(ET185-EU185)+(ET186-EU186)+(ET187-EU187)-((ET193-EU193)+(ET194-EU194)+(ET195-EU195)+(ET196-EU196)+(ET198-EU198)+(ET202-EU202)+(ET203-EU203)+(ET205-EU205)+(ET206-EU206)+(ET212-EU212)+(ET215-EU215)))</f>
        <v>0</v>
      </c>
      <c r="EV109" s="282">
        <f>((EU174-EV174)+(EU178-EV178)+(EU181-EV181)+(EU182-EV182)+(EU183-EV183)+(EU185-EV185)+(EU186-EV186)+(EU187-EV187)-((EU193-EV193)+(EU194-EV194)+(EU195-EV195)+(EU196-EV196)+(EU198-EV198)+(EU202-EV202)+(EU203-EV203)+(EU205-EV205)+(EU206-EV206)+(EU212-EV212)+(EU215-EV215)))</f>
        <v>0</v>
      </c>
      <c r="EW109" s="282">
        <f>EV109+EU109</f>
        <v>0</v>
      </c>
      <c r="EX109" s="282">
        <f>((EW174-EX174)+(EW178-EX178)+(EW181-EX181)+(EW182-EX182)+(EW183-EX183)+(EW185-EX185)+(EW186-EX186)+(EW187-EX187)-((EW193-EX193)+(EW194-EX194)+(EW195-EX195)+(EW196-EX196)+(EW198-EX198)+(EW202-EX202)+(EW203-EX203)+(EW205-EX205)+(EW206-EX206)+(EW212-EX212)+(EW215-EX215)))</f>
        <v>0</v>
      </c>
      <c r="EY109" s="282">
        <f>((EX174-EY174)+(EX178-EY178)+(EX181-EY181)+(EX182-EY182)+(EX183-EY183)+(EX185-EY185)+(EX186-EY186)+(EX187-EY187)-((EX193-EY193)+(EX194-EY194)+(EX195-EY195)+(EX196-EY196)+(EX198-EY198)+(EX202-EY202)+(EX203-EY203)+(EX205-EY205)+(EX206-EY206)+(EX212-EY212)+(EX215-EY215)))</f>
        <v>0</v>
      </c>
      <c r="EZ109" s="282">
        <f>EY109+EX109</f>
        <v>0</v>
      </c>
      <c r="FA109" s="590">
        <f>EW109+EZ109</f>
        <v>0</v>
      </c>
      <c r="FB109" s="282">
        <f>((FA174-FB174)+(FA178-FB178)+(FA181-FB181)+(FA182-FB182)+(FA183-FB183)+(FA185-FB185)+(FA186-FB186)+(FA187-FB187)-((FA193-FB193)+(FA194-FB194)+(FA195-FB195)+(FA196-FB196)+(FA198-FB198)+(FA202-FB202)+(FA203-FB203)+(FA205-FB205)+(FA206-FB206)+(FA212-FB212)+(FA215-FB215)))</f>
        <v>0</v>
      </c>
      <c r="FC109" s="282">
        <f>((FB174-FC174)+(FB178-FC178)+(FB181-FC181)+(FB182-FC182)+(FB183-FC183)+(FB185-FC185)+(FB186-FC186)+(FB187-FC187)-((FB193-FC193)+(FB194-FC194)+(FB195-FC195)+(FB196-FC196)+(FB198-FC198)+(FB202-FC202)+(FB203-FC203)+(FB205-FC205)+(FB206-FC206)+(FB212-FC212)+(FB215-FC215)))</f>
        <v>0</v>
      </c>
      <c r="FD109" s="282">
        <f>FC109+FB109</f>
        <v>0</v>
      </c>
      <c r="FE109" s="282">
        <f>((FD174-FE174)+(FD178-FE178)+(FD181-FE181)+(FD182-FE182)+(FD183-FE183)+(FD185-FE185)+(FD186-FE186)+(FD187-FE187)-((FD193-FE193)+(FD194-FE194)+(FD195-FE195)+(FD196-FE196)+(FD198-FE198)+(FD202-FE202)+(FD203-FE203)+(FD205-FE205)+(FD206-FE206)+(FD212-FE212)+(FD215-FE215)))</f>
        <v>0</v>
      </c>
      <c r="FF109" s="282">
        <f>((FE174-FF174)+(FE178-FF178)+(FE181-FF181)+(FE182-FF182)+(FE183-FF183)+(FE185-FF185)+(FE186-FF186)+(FE187-FF187)-((FE193-FF193)+(FE194-FF194)+(FE195-FF195)+(FE196-FF196)+(FE198-FF198)+(FE202-FF202)+(FE203-FF203)+(FE205-FF205)+(FE206-FF206)+(FE212-FF212)+(FE215-FF215)))</f>
        <v>0</v>
      </c>
      <c r="FG109" s="282">
        <f>FF109+FE109</f>
        <v>0</v>
      </c>
      <c r="FH109" s="590">
        <f>FD109+FG109</f>
        <v>0</v>
      </c>
      <c r="FI109" s="282">
        <f>((FH174-FI174)+(FH178-FI178)+(FH181-FI181)+(FH182-FI182)+(FH183-FI183)+(FH185-FI185)+(FH186-FI186)+(FH187-FI187)-((FH193-FI193)+(FH194-FI194)+(FH195-FI195)+(FH196-FI196)+(FH198-FI198)+(FH202-FI202)+(FH203-FI203)+(FH205-FI205)+(FH206-FI206)+(FH212-FI212)+(FH215-FI215)))</f>
        <v>0</v>
      </c>
      <c r="FJ109" s="282">
        <f>((FI174-FJ174)+(FI178-FJ178)+(FI181-FJ181)+(FI182-FJ182)+(FI183-FJ183)+(FI185-FJ185)+(FI186-FJ186)+(FI187-FJ187)-((FI193-FJ193)+(FI194-FJ194)+(FI195-FJ195)+(FI196-FJ196)+(FI198-FJ198)+(FI202-FJ202)+(FI203-FJ203)+(FI205-FJ205)+(FI206-FJ206)+(FI212-FJ212)+(FI215-FJ215)))</f>
        <v>0</v>
      </c>
      <c r="FK109" s="282">
        <f>FJ109+FI109</f>
        <v>0</v>
      </c>
      <c r="FL109" s="282">
        <f>((FK174-FL174)+(FK178-FL178)+(FK181-FL181)+(FK182-FL182)+(FK183-FL183)+(FK185-FL185)+(FK186-FL186)+(FK187-FL187)-((FK193-FL193)+(FK194-FL194)+(FK195-FL195)+(FK196-FL196)+(FK198-FL198)+(FK202-FL202)+(FK203-FL203)+(FK205-FL205)+(FK206-FL206)+(FK212-FL212)+(FK215-FL215)))</f>
        <v>0</v>
      </c>
      <c r="FM109" s="282">
        <f>((FL174-FM174)+(FL178-FM178)+(FL181-FM181)+(FL182-FM182)+(FL183-FM183)+(FL185-FM185)+(FL186-FM186)+(FL187-FM187)-((FL193-FM193)+(FL194-FM194)+(FL195-FM195)+(FL196-FM196)+(FL198-FM198)+(FL202-FM202)+(FL203-FM203)+(FL205-FM205)+(FL206-FM206)+(FL212-FM212)+(FL215-FM215)))</f>
        <v>0</v>
      </c>
      <c r="FN109" s="282">
        <f>FM109+FL109</f>
        <v>0</v>
      </c>
      <c r="FO109" s="590">
        <f>FK109+FN109</f>
        <v>0</v>
      </c>
      <c r="FP109" s="282">
        <f>((FO174-FP174)+(FO178-FP178)+(FO181-FP181)+(FO182-FP182)+(FO183-FP183)+(FO185-FP185)+(FO186-FP186)+(FO187-FP187)-((FO193-FP193)+(FO194-FP194)+(FO195-FP195)+(FO196-FP196)+(FO198-FP198)+(FO202-FP202)+(FO203-FP203)+(FO205-FP205)+(FO206-FP206)+(FO212-FP212)+(FO215-FP215)))</f>
        <v>0</v>
      </c>
      <c r="FQ109" s="282">
        <f>((FP174-FQ174)+(FP178-FQ178)+(FP181-FQ181)+(FP182-FQ182)+(FP183-FQ183)+(FP185-FQ185)+(FP186-FQ186)+(FP187-FQ187)-((FP193-FQ193)+(FP194-FQ194)+(FP195-FQ195)+(FP196-FQ196)+(FP198-FQ198)+(FP202-FQ202)+(FP203-FQ203)+(FP205-FQ205)+(FP206-FQ206)+(FP212-FQ212)+(FP215-FQ215)))</f>
        <v>0</v>
      </c>
      <c r="FR109" s="282">
        <f>FQ109+FP109</f>
        <v>0</v>
      </c>
      <c r="FS109" s="282">
        <f>((FR174-FS174)+(FR178-FS178)+(FR181-FS181)+(FR182-FS182)+(FR183-FS183)+(FR185-FS185)+(FR186-FS186)+(FR187-FS187)-((FR193-FS193)+(FR194-FS194)+(FR195-FS195)+(FR196-FS196)+(FR198-FS198)+(FR202-FS202)+(FR203-FS203)+(FR205-FS205)+(FR206-FS206)+(FR212-FS212)+(FR215-FS215)))</f>
        <v>0</v>
      </c>
      <c r="FT109" s="282">
        <f>((FS174-FT174)+(FS178-FT178)+(FS181-FT181)+(FS182-FT182)+(FS183-FT183)+(FS185-FT185)+(FS186-FT186)+(FS187-FT187)-((FS193-FT193)+(FS194-FT194)+(FS195-FT195)+(FS196-FT196)+(FS198-FT198)+(FS202-FT202)+(FS203-FT203)+(FS205-FT205)+(FS206-FT206)+(FS212-FT212)+(FS215-FT215)))</f>
        <v>0</v>
      </c>
      <c r="FU109" s="282">
        <f>FT109+FS109</f>
        <v>0</v>
      </c>
      <c r="FV109" s="590">
        <f>FR109+FU109</f>
        <v>0</v>
      </c>
    </row>
    <row r="110" spans="1:280" s="247" customFormat="1" outlineLevel="1" x14ac:dyDescent="0.3">
      <c r="A110" s="302"/>
      <c r="B110" s="321" t="s">
        <v>462</v>
      </c>
      <c r="C110" s="294" t="s">
        <v>226</v>
      </c>
      <c r="D110" s="379">
        <v>76.599999999999994</v>
      </c>
      <c r="E110" s="297">
        <f>F110-D110</f>
        <v>69.900000000000006</v>
      </c>
      <c r="F110" s="379">
        <v>146.5</v>
      </c>
      <c r="G110" s="297">
        <f>215.8-E110-D110</f>
        <v>69.300000000000011</v>
      </c>
      <c r="H110" s="297">
        <f>I110-G110</f>
        <v>22.599999999999994</v>
      </c>
      <c r="I110" s="297">
        <f>J110-F110</f>
        <v>91.9</v>
      </c>
      <c r="J110" s="379">
        <v>238.4</v>
      </c>
      <c r="K110" s="379">
        <v>60.7</v>
      </c>
      <c r="L110" s="297">
        <f>M110-K110</f>
        <v>-83</v>
      </c>
      <c r="M110" s="379">
        <v>-22.3</v>
      </c>
      <c r="N110" s="297">
        <f>44.7-L110-K110</f>
        <v>67</v>
      </c>
      <c r="O110" s="297">
        <f>P110-N110</f>
        <v>-111.8</v>
      </c>
      <c r="P110" s="297">
        <f>Q110-M110</f>
        <v>-44.8</v>
      </c>
      <c r="Q110" s="379">
        <v>-67.099999999999994</v>
      </c>
      <c r="R110" s="379">
        <v>131.5</v>
      </c>
      <c r="S110" s="297">
        <f>T110-R110</f>
        <v>99.5</v>
      </c>
      <c r="T110" s="379">
        <v>231</v>
      </c>
      <c r="U110" s="297">
        <f>279.4-S110-R110</f>
        <v>48.399999999999977</v>
      </c>
      <c r="V110" s="297">
        <f>W110-U110</f>
        <v>39.900000000000034</v>
      </c>
      <c r="W110" s="297">
        <f>X110-T110</f>
        <v>88.300000000000011</v>
      </c>
      <c r="X110" s="379">
        <v>319.3</v>
      </c>
      <c r="Y110" s="379">
        <v>94.8</v>
      </c>
      <c r="Z110" s="297">
        <f>AA110-Y110</f>
        <v>-1.5</v>
      </c>
      <c r="AA110" s="379">
        <v>93.3</v>
      </c>
      <c r="AB110" s="297">
        <f>25.3-Z110-Y110</f>
        <v>-68</v>
      </c>
      <c r="AC110" s="297">
        <f>AD110-AB110</f>
        <v>-70.5</v>
      </c>
      <c r="AD110" s="297">
        <f>AE110-AA110</f>
        <v>-138.5</v>
      </c>
      <c r="AE110" s="379">
        <v>-45.2</v>
      </c>
      <c r="AF110" s="379">
        <v>82.4</v>
      </c>
      <c r="AG110" s="297">
        <f>AH110-AF110</f>
        <v>69.699999999999989</v>
      </c>
      <c r="AH110" s="379">
        <v>152.1</v>
      </c>
      <c r="AI110" s="297">
        <f>198.6-AG110-AF110</f>
        <v>46.5</v>
      </c>
      <c r="AJ110" s="297">
        <f>AK110-AI110</f>
        <v>-15.5</v>
      </c>
      <c r="AK110" s="297">
        <f>AL110-AH110</f>
        <v>31</v>
      </c>
      <c r="AL110" s="379">
        <v>183.1</v>
      </c>
      <c r="AM110" s="379">
        <v>-25</v>
      </c>
      <c r="AN110" s="297">
        <f>AO110-AM110</f>
        <v>32.799999999999997</v>
      </c>
      <c r="AO110" s="379">
        <v>7.8</v>
      </c>
      <c r="AP110" s="297">
        <f>105.8-AO110</f>
        <v>98</v>
      </c>
      <c r="AQ110" s="297">
        <f>AR110-AP110</f>
        <v>41.399999999999977</v>
      </c>
      <c r="AR110" s="297">
        <f>AS110-AO110</f>
        <v>139.39999999999998</v>
      </c>
      <c r="AS110" s="379">
        <v>147.19999999999999</v>
      </c>
      <c r="AT110" s="379">
        <v>22</v>
      </c>
      <c r="AU110" s="297">
        <f>+AV110-AT110</f>
        <v>15.100000000000001</v>
      </c>
      <c r="AV110" s="379">
        <v>37.1</v>
      </c>
      <c r="AW110" s="297">
        <f>109.2-AV110</f>
        <v>72.099999999999994</v>
      </c>
      <c r="AX110" s="297">
        <f>+AY110-AW110</f>
        <v>278</v>
      </c>
      <c r="AY110" s="297">
        <f>+AZ110-AV110</f>
        <v>350.09999999999997</v>
      </c>
      <c r="AZ110" s="379">
        <v>387.2</v>
      </c>
      <c r="BA110" s="379">
        <v>49.6</v>
      </c>
      <c r="BB110" s="297">
        <f>+BC110-BA110</f>
        <v>-57.4</v>
      </c>
      <c r="BC110" s="379">
        <v>-7.8</v>
      </c>
      <c r="BD110" s="297">
        <f>83.3-BC110</f>
        <v>91.1</v>
      </c>
      <c r="BE110" s="297">
        <f>+BF110-BD110</f>
        <v>26</v>
      </c>
      <c r="BF110" s="297">
        <f>+BG110-BC110</f>
        <v>117.1</v>
      </c>
      <c r="BG110" s="379">
        <v>109.3</v>
      </c>
      <c r="BH110" s="379">
        <v>78.2</v>
      </c>
      <c r="BI110" s="297">
        <f>+BJ110-BH110</f>
        <v>97.2</v>
      </c>
      <c r="BJ110" s="379">
        <v>175.4</v>
      </c>
      <c r="BK110" s="297">
        <f>254.7-BJ110</f>
        <v>79.299999999999983</v>
      </c>
      <c r="BL110" s="297">
        <f>+BM110-BK110</f>
        <v>68.100000000000023</v>
      </c>
      <c r="BM110" s="297">
        <f>+BN110-BJ110</f>
        <v>147.4</v>
      </c>
      <c r="BN110" s="379">
        <v>322.8</v>
      </c>
      <c r="BO110" s="379">
        <v>42.5</v>
      </c>
      <c r="BP110" s="297">
        <f>34.1-BO110</f>
        <v>-8.3999999999999986</v>
      </c>
      <c r="BQ110" s="297">
        <f>SUM(BQ103:BQ109)</f>
        <v>34.100000000000009</v>
      </c>
      <c r="BR110" s="297">
        <f>104.1-BQ110</f>
        <v>69.999999999999986</v>
      </c>
      <c r="BS110" s="297">
        <f>179.5-BR110-BQ110</f>
        <v>75.400000000000006</v>
      </c>
      <c r="BT110" s="297">
        <f>SUM(BT103:BT109)</f>
        <v>145.39999999999998</v>
      </c>
      <c r="BU110" s="297">
        <f>SUM(BU103:BU109)</f>
        <v>179.49999999999997</v>
      </c>
      <c r="BV110" s="297">
        <f>55.1</f>
        <v>55.1</v>
      </c>
      <c r="BW110" s="297">
        <f>85.5-BV110</f>
        <v>30.4</v>
      </c>
      <c r="BX110" s="297">
        <f>SUM(BX103:BX109)</f>
        <v>85.500000000000043</v>
      </c>
      <c r="BY110" s="297">
        <f>200.5-BX110</f>
        <v>114.99999999999996</v>
      </c>
      <c r="BZ110" s="297">
        <f>260.4-BY110-BX110</f>
        <v>59.899999999999991</v>
      </c>
      <c r="CA110" s="297">
        <f>SUM(CA103:CA109)</f>
        <v>174.89999999999992</v>
      </c>
      <c r="CB110" s="297">
        <f>SUM(CB103:CB109)</f>
        <v>260.39999999999998</v>
      </c>
      <c r="CC110" s="379">
        <v>115.1</v>
      </c>
      <c r="CD110" s="297">
        <f>130.9-CC110</f>
        <v>15.800000000000011</v>
      </c>
      <c r="CE110" s="297">
        <f>SUM(CE103:CE109)</f>
        <v>130.90000000000003</v>
      </c>
      <c r="CF110" s="297">
        <f>265.8-CE110</f>
        <v>134.89999999999998</v>
      </c>
      <c r="CG110" s="297">
        <f>292.1-CF110-CE110</f>
        <v>26.300000000000011</v>
      </c>
      <c r="CH110" s="297">
        <f>SUM(CH103:CH109)</f>
        <v>161.19999999999999</v>
      </c>
      <c r="CI110" s="297">
        <f>SUM(CI103:CI109)</f>
        <v>292.10000000000002</v>
      </c>
      <c r="CJ110" s="379">
        <v>102.9</v>
      </c>
      <c r="CK110" s="297">
        <f>98-CJ110</f>
        <v>-4.9000000000000057</v>
      </c>
      <c r="CL110" s="297">
        <f>SUM(CL103:CL109)</f>
        <v>97.999999999999986</v>
      </c>
      <c r="CM110" s="297">
        <f>239.4-CL110</f>
        <v>141.40000000000003</v>
      </c>
      <c r="CN110" s="297">
        <f>295-CM110-CL110</f>
        <v>55.59999999999998</v>
      </c>
      <c r="CO110" s="297">
        <f>SUM(CO103:CO109)</f>
        <v>197.00000000000006</v>
      </c>
      <c r="CP110" s="299">
        <f>SUM(CP103:CP109)</f>
        <v>294.99999999999989</v>
      </c>
      <c r="CQ110" s="329">
        <v>113.3</v>
      </c>
      <c r="CR110" s="299">
        <f>137.6-CQ110</f>
        <v>24.299999999999997</v>
      </c>
      <c r="CS110" s="299">
        <f>SUM(CS103:CS109)</f>
        <v>137.59999999999997</v>
      </c>
      <c r="CT110" s="299">
        <f>282.1-CS110</f>
        <v>144.50000000000006</v>
      </c>
      <c r="CU110" s="329">
        <f>288.4-SUM(CS110:CT110)</f>
        <v>6.2999999999999545</v>
      </c>
      <c r="CV110" s="299">
        <f>SUM(CV103:CV109)</f>
        <v>180.60000000000002</v>
      </c>
      <c r="CW110" s="299">
        <f>SUM(CW103:CW109)</f>
        <v>318.19999999999993</v>
      </c>
      <c r="CX110" s="329">
        <v>140.19999999999999</v>
      </c>
      <c r="CY110" s="329">
        <f>251.8-CX110</f>
        <v>111.60000000000002</v>
      </c>
      <c r="CZ110" s="299">
        <f>SUM(CZ103:CZ109)</f>
        <v>251.79999999999995</v>
      </c>
      <c r="DA110" s="329">
        <f>393.4-CZ110</f>
        <v>141.60000000000002</v>
      </c>
      <c r="DB110" s="329">
        <f>451.2-DA110-CZ110</f>
        <v>57.800000000000011</v>
      </c>
      <c r="DC110" s="299">
        <f>SUM(DC103:DC109)</f>
        <v>199.40000000000012</v>
      </c>
      <c r="DD110" s="669">
        <f>SUM(DD103:DD109)</f>
        <v>451.2</v>
      </c>
      <c r="DE110" s="329">
        <v>189.2</v>
      </c>
      <c r="DF110" s="329">
        <f>416.8-DE110</f>
        <v>227.60000000000002</v>
      </c>
      <c r="DG110" s="299">
        <f>SUM(DG103:DG109)</f>
        <v>416.80000000000013</v>
      </c>
      <c r="DH110" s="329">
        <f>678.4-DG110</f>
        <v>261.59999999999985</v>
      </c>
      <c r="DI110" s="299">
        <f t="shared" si="292"/>
        <v>108.5</v>
      </c>
      <c r="DJ110" s="299">
        <f t="shared" si="293"/>
        <v>370.09999999999985</v>
      </c>
      <c r="DK110" s="669">
        <v>786.9</v>
      </c>
      <c r="DL110" s="417">
        <v>184.1</v>
      </c>
      <c r="DM110" s="299">
        <f>+DN110-DL110</f>
        <v>173.4</v>
      </c>
      <c r="DN110" s="329">
        <v>357.5</v>
      </c>
      <c r="DO110" s="329">
        <f>553.3-DN110</f>
        <v>195.79999999999995</v>
      </c>
      <c r="DP110" s="299">
        <f>+DQ110-DO110</f>
        <v>203.90000000000009</v>
      </c>
      <c r="DQ110" s="299">
        <f>+DR110-DN110</f>
        <v>399.70000000000005</v>
      </c>
      <c r="DR110" s="669">
        <v>757.2</v>
      </c>
      <c r="DS110" s="329">
        <v>153.6</v>
      </c>
      <c r="DT110" s="299">
        <f>+DU110-DS110</f>
        <v>111.00000000000003</v>
      </c>
      <c r="DU110" s="539">
        <v>264.60000000000002</v>
      </c>
      <c r="DV110" s="546">
        <f>432.1-DU110</f>
        <v>167.5</v>
      </c>
      <c r="DW110" s="299">
        <f>+DX110-DV110</f>
        <v>175.5</v>
      </c>
      <c r="DX110" s="299">
        <f>+DY110-DU110</f>
        <v>343</v>
      </c>
      <c r="DY110" s="669">
        <v>607.6</v>
      </c>
      <c r="DZ110" s="329">
        <v>252.3</v>
      </c>
      <c r="EA110" s="299">
        <f>+EB110-DZ110</f>
        <v>206.8</v>
      </c>
      <c r="EB110" s="539">
        <v>459.1</v>
      </c>
      <c r="EC110" s="539">
        <f>749.5-EB110</f>
        <v>290.39999999999998</v>
      </c>
      <c r="ED110" s="299">
        <f>+EE110-EC110</f>
        <v>164.70000000000005</v>
      </c>
      <c r="EE110" s="299">
        <f>+EF110-EB110</f>
        <v>455.1</v>
      </c>
      <c r="EF110" s="669">
        <v>914.2</v>
      </c>
      <c r="EG110" s="329">
        <v>185.1</v>
      </c>
      <c r="EH110" s="299">
        <f>+EI110-EG110</f>
        <v>179.20000000000002</v>
      </c>
      <c r="EI110" s="539">
        <v>364.3</v>
      </c>
      <c r="EJ110" s="539">
        <f>657.4-EI110</f>
        <v>293.09999999999997</v>
      </c>
      <c r="EK110" s="299">
        <f>+EL110-EJ110</f>
        <v>145.39999999999998</v>
      </c>
      <c r="EL110" s="299">
        <f>+EM110-EI110</f>
        <v>438.49999999999994</v>
      </c>
      <c r="EM110" s="669">
        <v>802.8</v>
      </c>
      <c r="EN110" s="329">
        <v>206.9</v>
      </c>
      <c r="EO110" s="299">
        <f>+EP110-EN110</f>
        <v>47.400000000000006</v>
      </c>
      <c r="EP110" s="539">
        <v>254.3</v>
      </c>
      <c r="EQ110" s="417">
        <f>455.4-EP110</f>
        <v>201.09999999999997</v>
      </c>
      <c r="ER110" s="299">
        <f t="shared" ref="ER110:ET110" si="306">SUM(ER103:ER109)</f>
        <v>172.37995435290372</v>
      </c>
      <c r="ES110" s="299">
        <f t="shared" si="306"/>
        <v>372.77995435290364</v>
      </c>
      <c r="ET110" s="591">
        <f t="shared" si="306"/>
        <v>627.07995435290366</v>
      </c>
      <c r="EU110" s="299">
        <f t="shared" ref="EU110:FV110" si="307">SUM(EU103:EU109)</f>
        <v>348.86675434226368</v>
      </c>
      <c r="EV110" s="299">
        <f t="shared" si="307"/>
        <v>199.60612820068116</v>
      </c>
      <c r="EW110" s="299">
        <f t="shared" si="307"/>
        <v>548.47288254294483</v>
      </c>
      <c r="EX110" s="299">
        <f t="shared" si="307"/>
        <v>277.81323203430821</v>
      </c>
      <c r="EY110" s="299">
        <f t="shared" si="307"/>
        <v>173.92360802227586</v>
      </c>
      <c r="EZ110" s="299">
        <f t="shared" si="307"/>
        <v>451.73684005658401</v>
      </c>
      <c r="FA110" s="591">
        <f t="shared" si="307"/>
        <v>1000.2097225995287</v>
      </c>
      <c r="FB110" s="299">
        <f t="shared" si="307"/>
        <v>397.66182828699914</v>
      </c>
      <c r="FC110" s="299">
        <f t="shared" si="307"/>
        <v>237.55917524976155</v>
      </c>
      <c r="FD110" s="299">
        <f t="shared" si="307"/>
        <v>635.2210035367608</v>
      </c>
      <c r="FE110" s="299">
        <f t="shared" si="307"/>
        <v>337.00550666639265</v>
      </c>
      <c r="FF110" s="299">
        <f t="shared" si="307"/>
        <v>214.54539692469308</v>
      </c>
      <c r="FG110" s="299">
        <f t="shared" si="307"/>
        <v>551.55090359108567</v>
      </c>
      <c r="FH110" s="591">
        <f t="shared" si="307"/>
        <v>1186.7719071278466</v>
      </c>
      <c r="FI110" s="299">
        <f t="shared" si="307"/>
        <v>461.00221377962083</v>
      </c>
      <c r="FJ110" s="299">
        <f t="shared" si="307"/>
        <v>273.91179283636552</v>
      </c>
      <c r="FK110" s="299">
        <f t="shared" si="307"/>
        <v>734.91400661598641</v>
      </c>
      <c r="FL110" s="299">
        <f t="shared" si="307"/>
        <v>379.45394379495076</v>
      </c>
      <c r="FM110" s="299">
        <f t="shared" si="307"/>
        <v>248.09715282250727</v>
      </c>
      <c r="FN110" s="299">
        <f t="shared" si="307"/>
        <v>627.55109661745803</v>
      </c>
      <c r="FO110" s="591">
        <f t="shared" si="307"/>
        <v>1362.4651032334446</v>
      </c>
      <c r="FP110" s="299">
        <f t="shared" si="307"/>
        <v>510.32335374023501</v>
      </c>
      <c r="FQ110" s="299">
        <f t="shared" si="307"/>
        <v>314.82581692193367</v>
      </c>
      <c r="FR110" s="299">
        <f t="shared" si="307"/>
        <v>825.14917066216867</v>
      </c>
      <c r="FS110" s="299">
        <f t="shared" si="307"/>
        <v>429.48304735742067</v>
      </c>
      <c r="FT110" s="299">
        <f t="shared" si="307"/>
        <v>288.89181736923047</v>
      </c>
      <c r="FU110" s="299">
        <f t="shared" si="307"/>
        <v>718.37486472665125</v>
      </c>
      <c r="FV110" s="591">
        <f t="shared" si="307"/>
        <v>1543.5240353888198</v>
      </c>
      <c r="FW110" s="632"/>
      <c r="FX110" s="639"/>
      <c r="FY110" s="639"/>
      <c r="FZ110" s="639"/>
      <c r="GA110" s="639"/>
      <c r="GB110"/>
      <c r="GC110"/>
      <c r="GD110"/>
      <c r="GE110"/>
      <c r="GF110"/>
      <c r="GG110"/>
      <c r="GH110" s="532"/>
      <c r="GI110" s="532"/>
      <c r="GJ110" s="532"/>
      <c r="GK110" s="532"/>
      <c r="GL110" s="532"/>
      <c r="GM110" s="532"/>
      <c r="GN110" s="532"/>
      <c r="GO110" s="532"/>
      <c r="GP110" s="532"/>
      <c r="GQ110" s="532"/>
      <c r="GR110" s="532"/>
      <c r="GS110" s="532"/>
      <c r="GT110" s="532"/>
      <c r="GU110" s="532"/>
      <c r="GV110" s="532"/>
      <c r="GW110" s="532"/>
      <c r="GX110" s="532"/>
      <c r="GY110" s="532"/>
      <c r="GZ110" s="532"/>
      <c r="HA110" s="532"/>
      <c r="HB110" s="532"/>
      <c r="HC110" s="532"/>
      <c r="HD110" s="532"/>
      <c r="HE110" s="532"/>
      <c r="HF110" s="532"/>
      <c r="HG110" s="532"/>
      <c r="HH110" s="532"/>
      <c r="HI110" s="532"/>
      <c r="HJ110" s="532"/>
      <c r="HK110" s="532"/>
      <c r="HL110" s="532"/>
      <c r="HM110" s="532"/>
      <c r="HN110" s="532"/>
      <c r="HO110" s="532"/>
      <c r="HP110" s="532"/>
      <c r="HQ110" s="532"/>
      <c r="HR110" s="532"/>
      <c r="HS110" s="532"/>
      <c r="HT110" s="532"/>
      <c r="HU110" s="532"/>
      <c r="HV110" s="532"/>
      <c r="HW110" s="532"/>
      <c r="HX110" s="532"/>
      <c r="HY110" s="532"/>
      <c r="HZ110" s="532"/>
      <c r="IA110" s="532"/>
      <c r="IB110" s="532"/>
      <c r="IC110" s="532"/>
      <c r="ID110" s="532"/>
      <c r="IE110" s="532"/>
      <c r="IF110" s="532"/>
      <c r="IG110" s="532"/>
      <c r="IH110" s="532"/>
      <c r="II110" s="532"/>
      <c r="IJ110" s="532"/>
      <c r="IK110" s="532"/>
      <c r="IL110" s="532"/>
      <c r="IM110" s="532"/>
      <c r="IN110" s="532"/>
      <c r="IO110" s="532"/>
      <c r="IP110" s="532"/>
      <c r="IQ110" s="532"/>
      <c r="IR110" s="532"/>
      <c r="IS110" s="532"/>
      <c r="IT110" s="532"/>
      <c r="IU110" s="532"/>
      <c r="IV110" s="532"/>
      <c r="IW110" s="532"/>
      <c r="IX110" s="532"/>
      <c r="IY110" s="532"/>
      <c r="IZ110" s="532"/>
      <c r="JA110" s="532"/>
      <c r="JB110" s="532"/>
      <c r="JC110" s="532"/>
      <c r="JD110" s="532"/>
      <c r="JE110" s="532"/>
      <c r="JF110" s="532"/>
      <c r="JG110" s="532"/>
      <c r="JH110" s="532"/>
      <c r="JI110" s="532"/>
      <c r="JJ110" s="532"/>
      <c r="JK110" s="532"/>
      <c r="JL110" s="532"/>
      <c r="JM110" s="532"/>
      <c r="JN110" s="532"/>
      <c r="JO110" s="532"/>
      <c r="JP110" s="532"/>
      <c r="JQ110" s="532"/>
      <c r="JR110" s="532"/>
      <c r="JS110" s="532"/>
      <c r="JT110" s="532"/>
    </row>
    <row r="111" spans="1:280" outlineLevel="1" x14ac:dyDescent="0.3">
      <c r="B111" s="273" t="s">
        <v>470</v>
      </c>
      <c r="C111" s="415"/>
      <c r="D111" s="273"/>
      <c r="E111" s="273"/>
      <c r="F111" s="273"/>
      <c r="G111" s="273"/>
      <c r="H111" s="273"/>
      <c r="I111" s="273"/>
      <c r="J111" s="273"/>
      <c r="K111" s="273"/>
      <c r="L111" s="273"/>
      <c r="M111" s="273"/>
      <c r="N111" s="273"/>
      <c r="O111" s="273"/>
      <c r="P111" s="273"/>
      <c r="Q111" s="273"/>
      <c r="R111" s="273"/>
      <c r="S111" s="273"/>
      <c r="T111" s="273"/>
      <c r="U111" s="273"/>
      <c r="V111" s="273"/>
      <c r="W111" s="273"/>
      <c r="X111" s="273"/>
      <c r="Y111" s="273"/>
      <c r="Z111" s="273"/>
      <c r="AA111" s="273"/>
      <c r="AB111" s="273"/>
      <c r="AC111" s="273"/>
      <c r="AD111" s="273"/>
      <c r="AE111" s="273"/>
      <c r="AF111" s="273"/>
      <c r="AG111" s="273"/>
      <c r="AH111" s="273"/>
      <c r="AI111" s="273"/>
      <c r="AJ111" s="273"/>
      <c r="AK111" s="273"/>
      <c r="AL111" s="273"/>
      <c r="AM111" s="273"/>
      <c r="AN111" s="273"/>
      <c r="AO111" s="273"/>
      <c r="AP111" s="273"/>
      <c r="AQ111" s="273"/>
      <c r="AR111" s="273"/>
      <c r="AS111" s="273"/>
      <c r="AT111" s="273"/>
      <c r="AU111" s="273"/>
      <c r="AV111" s="273"/>
      <c r="AW111" s="273"/>
      <c r="AX111" s="273"/>
      <c r="AY111" s="273"/>
      <c r="AZ111" s="273"/>
      <c r="BA111" s="273"/>
      <c r="BB111" s="273"/>
      <c r="BC111" s="273"/>
      <c r="BD111" s="273"/>
      <c r="BE111" s="273"/>
      <c r="BF111" s="273"/>
      <c r="BG111" s="273"/>
      <c r="BH111" s="273"/>
      <c r="BI111" s="273"/>
      <c r="BJ111" s="273"/>
      <c r="BK111" s="273"/>
      <c r="BL111" s="273"/>
      <c r="BM111" s="273"/>
      <c r="BN111" s="273"/>
      <c r="BO111" s="273"/>
      <c r="BP111" s="273"/>
      <c r="BQ111" s="273"/>
      <c r="BR111" s="273"/>
      <c r="BS111" s="273"/>
      <c r="BT111" s="273"/>
      <c r="BU111" s="273"/>
      <c r="BV111" s="273"/>
      <c r="BW111" s="273"/>
      <c r="BX111" s="273"/>
      <c r="BY111" s="273"/>
      <c r="BZ111" s="273"/>
      <c r="CA111" s="273"/>
      <c r="CB111" s="273"/>
      <c r="CC111" s="273"/>
      <c r="CD111" s="273"/>
      <c r="CE111" s="273"/>
      <c r="CF111" s="273"/>
      <c r="CG111" s="273"/>
      <c r="CH111" s="273"/>
      <c r="CI111" s="273"/>
      <c r="CJ111" s="273"/>
      <c r="CK111" s="273"/>
      <c r="CL111" s="273"/>
      <c r="CM111" s="273"/>
      <c r="CN111" s="273"/>
      <c r="CO111" s="273"/>
      <c r="CP111" s="273"/>
      <c r="CQ111" s="273"/>
      <c r="CR111" s="273"/>
      <c r="CS111" s="273"/>
      <c r="CT111" s="273"/>
      <c r="CU111" s="273"/>
      <c r="CV111" s="273"/>
      <c r="CW111" s="273"/>
      <c r="CX111" s="273"/>
      <c r="CY111" s="273"/>
      <c r="CZ111" s="273"/>
      <c r="DA111" s="273"/>
      <c r="DB111" s="273"/>
      <c r="DC111" s="273"/>
      <c r="DD111" s="602"/>
      <c r="DE111" s="273"/>
      <c r="DF111" s="273"/>
      <c r="DG111" s="273"/>
      <c r="DH111" s="273"/>
      <c r="DI111" s="273"/>
      <c r="DJ111" s="273"/>
      <c r="DK111" s="602"/>
      <c r="DL111" s="416"/>
      <c r="DM111" s="273"/>
      <c r="DN111" s="273"/>
      <c r="DO111" s="273"/>
      <c r="DP111" s="273"/>
      <c r="DQ111" s="273"/>
      <c r="DR111" s="602"/>
      <c r="DS111" s="273"/>
      <c r="DT111" s="273"/>
      <c r="DU111" s="273"/>
      <c r="DV111" s="273"/>
      <c r="DW111" s="273"/>
      <c r="DX111" s="273"/>
      <c r="DY111" s="602"/>
      <c r="DZ111" s="273"/>
      <c r="EA111" s="273"/>
      <c r="EB111" s="273"/>
      <c r="EC111" s="481"/>
      <c r="ED111" s="273"/>
      <c r="EE111" s="273"/>
      <c r="EF111" s="602"/>
      <c r="EG111" s="273"/>
      <c r="EH111" s="273"/>
      <c r="EI111" s="273"/>
      <c r="EJ111" s="481"/>
      <c r="EK111" s="273"/>
      <c r="EL111" s="273"/>
      <c r="EM111" s="602"/>
      <c r="EN111" s="273"/>
      <c r="EO111" s="273"/>
      <c r="EP111" s="273"/>
      <c r="EQ111" s="416"/>
      <c r="ER111" s="273"/>
      <c r="ES111" s="273"/>
      <c r="ET111" s="602"/>
      <c r="EU111" s="273"/>
      <c r="EV111" s="273"/>
      <c r="EW111" s="273"/>
      <c r="EX111" s="273"/>
      <c r="EY111" s="273"/>
      <c r="EZ111" s="273"/>
      <c r="FA111" s="602"/>
      <c r="FB111" s="273"/>
      <c r="FC111" s="273"/>
      <c r="FD111" s="273"/>
      <c r="FE111" s="273"/>
      <c r="FF111" s="273"/>
      <c r="FG111" s="273"/>
      <c r="FH111" s="602"/>
      <c r="FI111" s="273"/>
      <c r="FJ111" s="273"/>
      <c r="FK111" s="273"/>
      <c r="FL111" s="273"/>
      <c r="FM111" s="273"/>
      <c r="FN111" s="273"/>
      <c r="FO111" s="602"/>
      <c r="FP111" s="273"/>
      <c r="FQ111" s="273"/>
      <c r="FR111" s="273"/>
      <c r="FS111" s="273"/>
      <c r="FT111" s="273"/>
      <c r="FU111" s="273"/>
      <c r="FV111" s="602"/>
    </row>
    <row r="112" spans="1:280" outlineLevel="1" x14ac:dyDescent="0.3">
      <c r="B112" s="279" t="s">
        <v>53</v>
      </c>
      <c r="C112" s="280" t="s">
        <v>226</v>
      </c>
      <c r="D112" s="281">
        <f t="shared" ref="D112:AO112" si="308">-(IF(D30&lt;-D114,D30,-D114))</f>
        <v>-9.4</v>
      </c>
      <c r="E112" s="281">
        <f t="shared" si="308"/>
        <v>-13.099999999999998</v>
      </c>
      <c r="F112" s="281">
        <f t="shared" si="308"/>
        <v>-22.499999999999996</v>
      </c>
      <c r="G112" s="281">
        <f t="shared" si="308"/>
        <v>-11.299999999999999</v>
      </c>
      <c r="H112" s="281">
        <f t="shared" si="308"/>
        <v>-11.499999999999998</v>
      </c>
      <c r="I112" s="281">
        <f t="shared" si="308"/>
        <v>-22.799999999999997</v>
      </c>
      <c r="J112" s="281">
        <f t="shared" si="308"/>
        <v>-45.3</v>
      </c>
      <c r="K112" s="281">
        <f t="shared" si="308"/>
        <v>-11</v>
      </c>
      <c r="L112" s="281">
        <f t="shared" si="308"/>
        <v>-13.2</v>
      </c>
      <c r="M112" s="281">
        <f t="shared" si="308"/>
        <v>-24.2</v>
      </c>
      <c r="N112" s="281">
        <f t="shared" si="308"/>
        <v>-12.799999999999999</v>
      </c>
      <c r="O112" s="281">
        <f t="shared" si="308"/>
        <v>-13.199999999999989</v>
      </c>
      <c r="P112" s="281">
        <f t="shared" si="308"/>
        <v>-26.4</v>
      </c>
      <c r="Q112" s="281">
        <f t="shared" si="308"/>
        <v>-50.699999999999996</v>
      </c>
      <c r="R112" s="281">
        <f t="shared" si="308"/>
        <v>-14.2</v>
      </c>
      <c r="S112" s="281">
        <f t="shared" si="308"/>
        <v>-7.6999999999999993</v>
      </c>
      <c r="T112" s="281">
        <f t="shared" si="308"/>
        <v>-24.2</v>
      </c>
      <c r="U112" s="281">
        <f t="shared" si="308"/>
        <v>-4.5</v>
      </c>
      <c r="V112" s="281">
        <f t="shared" si="308"/>
        <v>-9.8000000000000007</v>
      </c>
      <c r="W112" s="281">
        <f t="shared" si="308"/>
        <v>-14.3</v>
      </c>
      <c r="X112" s="281">
        <f t="shared" si="308"/>
        <v>-38.5</v>
      </c>
      <c r="Y112" s="281">
        <f t="shared" si="308"/>
        <v>-3.8</v>
      </c>
      <c r="Z112" s="281">
        <f t="shared" si="308"/>
        <v>-5.6000000000000005</v>
      </c>
      <c r="AA112" s="281">
        <f t="shared" si="308"/>
        <v>-9.4</v>
      </c>
      <c r="AB112" s="281">
        <f t="shared" si="308"/>
        <v>-7.3999999999999995</v>
      </c>
      <c r="AC112" s="281">
        <f t="shared" si="308"/>
        <v>-9.3000000000000043</v>
      </c>
      <c r="AD112" s="281">
        <f t="shared" si="308"/>
        <v>-16.700000000000003</v>
      </c>
      <c r="AE112" s="281">
        <f t="shared" si="308"/>
        <v>-26.1</v>
      </c>
      <c r="AF112" s="281">
        <f t="shared" si="308"/>
        <v>-9.6999999999999993</v>
      </c>
      <c r="AG112" s="281">
        <f t="shared" si="308"/>
        <v>-11.2</v>
      </c>
      <c r="AH112" s="281">
        <f t="shared" si="308"/>
        <v>-20.9</v>
      </c>
      <c r="AI112" s="281">
        <f t="shared" si="308"/>
        <v>-14.300000000000004</v>
      </c>
      <c r="AJ112" s="281">
        <f t="shared" si="308"/>
        <v>-15.299999999999997</v>
      </c>
      <c r="AK112" s="281">
        <f t="shared" si="308"/>
        <v>-29.6</v>
      </c>
      <c r="AL112" s="281">
        <f t="shared" si="308"/>
        <v>-50.5</v>
      </c>
      <c r="AM112" s="281">
        <f t="shared" si="308"/>
        <v>-13.5</v>
      </c>
      <c r="AN112" s="281">
        <f t="shared" si="308"/>
        <v>-11.3</v>
      </c>
      <c r="AO112" s="281">
        <f t="shared" si="308"/>
        <v>-24.8</v>
      </c>
      <c r="AP112" s="281">
        <v>-12.299999999999997</v>
      </c>
      <c r="AQ112" s="281">
        <f t="shared" ref="AQ112:AQ117" si="309">AR112-AP112</f>
        <v>-13.2</v>
      </c>
      <c r="AR112" s="281">
        <f t="shared" ref="AR112:AR117" si="310">AS112-AO112</f>
        <v>-25.499999999999996</v>
      </c>
      <c r="AS112" s="281">
        <f>-(IF(AS30&lt;-AS114,AS30,-AS114))</f>
        <v>-50.3</v>
      </c>
      <c r="AT112" s="281">
        <v>-12.100000000000001</v>
      </c>
      <c r="AU112" s="281">
        <v>-6.2999999999999989</v>
      </c>
      <c r="AV112" s="281">
        <v>-18.399999999999999</v>
      </c>
      <c r="AW112" s="281">
        <v>-7.1000000000000023</v>
      </c>
      <c r="AX112" s="281">
        <v>-10.3</v>
      </c>
      <c r="AY112" s="281">
        <v>-17.400000000000002</v>
      </c>
      <c r="AZ112" s="281">
        <f>AY112+AV112</f>
        <v>-35.799999999999997</v>
      </c>
      <c r="BA112" s="281">
        <v>-15.2</v>
      </c>
      <c r="BB112" s="281">
        <v>-10.3</v>
      </c>
      <c r="BC112" s="281">
        <v>-25.5</v>
      </c>
      <c r="BD112" s="281">
        <v>-15.800000000000002</v>
      </c>
      <c r="BE112" s="281">
        <v>-13.200000000000001</v>
      </c>
      <c r="BF112" s="281">
        <v>-29.000000000000004</v>
      </c>
      <c r="BG112" s="281">
        <f>BF112+BC112</f>
        <v>-54.5</v>
      </c>
      <c r="BH112" s="281">
        <f>-BH30</f>
        <v>-15.4</v>
      </c>
      <c r="BI112" s="281">
        <v>-13.4</v>
      </c>
      <c r="BJ112" s="281">
        <f>-BJ30</f>
        <v>-30.6</v>
      </c>
      <c r="BK112" s="281">
        <v>-15.6</v>
      </c>
      <c r="BL112" s="281">
        <v>-15.200000000000001</v>
      </c>
      <c r="BM112" s="281">
        <f>+BL112+BK112</f>
        <v>-30.8</v>
      </c>
      <c r="BN112" s="281">
        <f>BM112+BJ112</f>
        <v>-61.400000000000006</v>
      </c>
      <c r="BO112" s="281">
        <v>-16.600000000000001</v>
      </c>
      <c r="BP112" s="281">
        <v>-17.5</v>
      </c>
      <c r="BQ112" s="281">
        <v>-34.1</v>
      </c>
      <c r="BR112" s="281">
        <v>-17.899999999999999</v>
      </c>
      <c r="BS112" s="281">
        <v>-18.899999999999999</v>
      </c>
      <c r="BT112" s="281">
        <v>-36.799999999999997</v>
      </c>
      <c r="BU112" s="281">
        <f>BT112+BQ112</f>
        <v>-70.900000000000006</v>
      </c>
      <c r="BV112" s="281">
        <v>-17</v>
      </c>
      <c r="BW112" s="281">
        <v>-16.599999999999998</v>
      </c>
      <c r="BX112" s="281">
        <v>-33.6</v>
      </c>
      <c r="BY112" s="281">
        <v>-7.5</v>
      </c>
      <c r="BZ112" s="289">
        <v>-18</v>
      </c>
      <c r="CA112" s="281">
        <f t="shared" ref="CA112:CA117" si="311">BZ112+BY112</f>
        <v>-25.5</v>
      </c>
      <c r="CB112" s="281">
        <f t="shared" ref="CB112:CB117" si="312">CA112+BX112</f>
        <v>-59.1</v>
      </c>
      <c r="CC112" s="281">
        <f>CC114-CC113</f>
        <v>-12.8</v>
      </c>
      <c r="CD112" s="281">
        <f>CD114-CD113</f>
        <v>-12.8</v>
      </c>
      <c r="CE112" s="281">
        <f>CC112+CD112</f>
        <v>-25.6</v>
      </c>
      <c r="CF112" s="281">
        <f>CF114-CF113</f>
        <v>-15.399999999999999</v>
      </c>
      <c r="CG112" s="289">
        <v>-28</v>
      </c>
      <c r="CH112" s="281">
        <f t="shared" ref="CH112:CH117" si="313">CG112+CF112</f>
        <v>-43.4</v>
      </c>
      <c r="CI112" s="281">
        <f t="shared" ref="CI112:CI117" si="314">CH112+CE112</f>
        <v>-69</v>
      </c>
      <c r="CJ112" s="289">
        <v>-18</v>
      </c>
      <c r="CK112" s="281">
        <f>CK114-CK113</f>
        <v>-7.4999999999999929</v>
      </c>
      <c r="CL112" s="281">
        <f>SUM(CJ112:CK112)</f>
        <v>-25.499999999999993</v>
      </c>
      <c r="CM112" s="281">
        <f>CM114-CM113</f>
        <v>-22.700000000000017</v>
      </c>
      <c r="CN112" s="289">
        <f>-18</f>
        <v>-18</v>
      </c>
      <c r="CO112" s="281">
        <f t="shared" ref="CO112:CO117" si="315">CN112+CM112</f>
        <v>-40.700000000000017</v>
      </c>
      <c r="CP112" s="282">
        <f t="shared" ref="CP112:CP117" si="316">CO112+CL112</f>
        <v>-66.200000000000017</v>
      </c>
      <c r="CQ112" s="290">
        <f>-18</f>
        <v>-18</v>
      </c>
      <c r="CR112" s="290">
        <v>-18</v>
      </c>
      <c r="CS112" s="282">
        <f>CR112+CQ112</f>
        <v>-36</v>
      </c>
      <c r="CT112" s="290">
        <v>-22</v>
      </c>
      <c r="CU112" s="290">
        <v>-20</v>
      </c>
      <c r="CV112" s="282">
        <f>CU112+CT112</f>
        <v>-42</v>
      </c>
      <c r="CW112" s="282">
        <f>CV112+CS112</f>
        <v>-78</v>
      </c>
      <c r="CX112" s="290">
        <v>-35</v>
      </c>
      <c r="CY112" s="290">
        <v>-32</v>
      </c>
      <c r="CZ112" s="282">
        <f>CY112+CX112</f>
        <v>-67</v>
      </c>
      <c r="DA112" s="290">
        <v>-25</v>
      </c>
      <c r="DB112" s="290">
        <f>+-106.6-DA112-CZ112</f>
        <v>-14.599999999999994</v>
      </c>
      <c r="DC112" s="282">
        <f>DB112+DA112</f>
        <v>-39.599999999999994</v>
      </c>
      <c r="DD112" s="670">
        <f>DC112+CZ112</f>
        <v>-106.6</v>
      </c>
      <c r="DE112" s="290">
        <v>-16.7</v>
      </c>
      <c r="DF112" s="290">
        <f>-30.6-DE112</f>
        <v>-13.900000000000002</v>
      </c>
      <c r="DG112" s="282">
        <f>DF112+DE112</f>
        <v>-30.6</v>
      </c>
      <c r="DH112" s="290">
        <f>+-53.7-DG112</f>
        <v>-23.1</v>
      </c>
      <c r="DI112" s="282">
        <f t="shared" ref="DI112:DI118" si="317">+DJ112-DH112</f>
        <v>-17.599999999999994</v>
      </c>
      <c r="DJ112" s="282">
        <f t="shared" ref="DJ112:DJ118" si="318">+DK112-DG112</f>
        <v>-40.699999999999996</v>
      </c>
      <c r="DK112" s="670">
        <v>-71.3</v>
      </c>
      <c r="DL112" s="292">
        <v>-29.6</v>
      </c>
      <c r="DM112" s="282">
        <f t="shared" ref="DM112:DM117" si="319">+DN112-DL112</f>
        <v>-40.4</v>
      </c>
      <c r="DN112" s="290">
        <v>-70</v>
      </c>
      <c r="DO112" s="290">
        <f>+-104.8-DN112</f>
        <v>-34.799999999999997</v>
      </c>
      <c r="DP112" s="282">
        <f t="shared" ref="DP112:DP118" si="320">+DQ112-DO112</f>
        <v>-56.8</v>
      </c>
      <c r="DQ112" s="282">
        <f t="shared" ref="DQ112:DQ118" si="321">+DR112-DN112</f>
        <v>-91.6</v>
      </c>
      <c r="DR112" s="670">
        <v>-161.6</v>
      </c>
      <c r="DS112" s="290">
        <v>-44.1</v>
      </c>
      <c r="DT112" s="282">
        <f t="shared" ref="DT112:DT117" si="322">+DU112-DS112</f>
        <v>-60.300000000000004</v>
      </c>
      <c r="DU112" s="290">
        <v>-104.4</v>
      </c>
      <c r="DV112" s="290">
        <f>+-163.2-DU112</f>
        <v>-58.799999999999983</v>
      </c>
      <c r="DW112" s="282">
        <f t="shared" ref="DW112:DW118" si="323">+DX112-DV112</f>
        <v>-49.700000000000017</v>
      </c>
      <c r="DX112" s="282">
        <f t="shared" ref="DX112:DX118" si="324">+DY112-DU112</f>
        <v>-108.5</v>
      </c>
      <c r="DY112" s="670">
        <v>-212.9</v>
      </c>
      <c r="DZ112" s="290">
        <f>-125.6-DZ113</f>
        <v>-62.199999999999996</v>
      </c>
      <c r="EA112" s="282">
        <f t="shared" ref="EA112:EA117" si="325">+EB112-DZ112</f>
        <v>-45.199999999999996</v>
      </c>
      <c r="EB112" s="282">
        <f>EB114-EB113</f>
        <v>-107.39999999999999</v>
      </c>
      <c r="EC112" s="283">
        <f>EC114-EC113</f>
        <v>-39.999999999999986</v>
      </c>
      <c r="ED112" s="282">
        <f t="shared" ref="ED112:ED118" si="326">+EE112-EC112</f>
        <v>-33.200000000000045</v>
      </c>
      <c r="EE112" s="282">
        <f t="shared" ref="EE112:EE118" si="327">+EF112-EB112</f>
        <v>-73.200000000000031</v>
      </c>
      <c r="EF112" s="670">
        <f>EF114-EF113</f>
        <v>-180.60000000000002</v>
      </c>
      <c r="EG112" s="290">
        <f>-129.8-EG113</f>
        <v>-64.100000000000009</v>
      </c>
      <c r="EH112" s="282">
        <f t="shared" ref="EH112:EH117" si="328">+EI112-EG112</f>
        <v>-56.799999999999983</v>
      </c>
      <c r="EI112" s="282">
        <f>EI114-EI113</f>
        <v>-120.89999999999999</v>
      </c>
      <c r="EJ112" s="283">
        <f>EJ114-EJ113</f>
        <v>-77.8</v>
      </c>
      <c r="EK112" s="282">
        <f t="shared" ref="EK112:EK118" si="329">+EL112-EJ112</f>
        <v>-58.2</v>
      </c>
      <c r="EL112" s="282">
        <f t="shared" ref="EL112:EL118" si="330">+EM112-EI112</f>
        <v>-136</v>
      </c>
      <c r="EM112" s="670">
        <f>EM114-EM113</f>
        <v>-256.89999999999998</v>
      </c>
      <c r="EN112" s="290">
        <f>-103.2-EN113</f>
        <v>-78.2</v>
      </c>
      <c r="EO112" s="282">
        <f t="shared" ref="EO112:EO117" si="331">+EP112-EN112</f>
        <v>-65.3</v>
      </c>
      <c r="EP112" s="282">
        <f>EP114-EP113</f>
        <v>-143.5</v>
      </c>
      <c r="EQ112" s="727">
        <f>EQ114-EQ113</f>
        <v>-87.300000000000011</v>
      </c>
      <c r="ER112" s="282">
        <f>-ER30*0.65</f>
        <v>-61.924200000000027</v>
      </c>
      <c r="ES112" s="282">
        <f>ER112+EQ112</f>
        <v>-149.22420000000005</v>
      </c>
      <c r="ET112" s="732">
        <f>ES112+EP112</f>
        <v>-292.72420000000005</v>
      </c>
      <c r="EU112" s="282">
        <f>-EU30*0.8</f>
        <v>-66.862943999999999</v>
      </c>
      <c r="EV112" s="282">
        <f>-EV30*0.8</f>
        <v>-79.831016320000003</v>
      </c>
      <c r="EW112" s="282">
        <f>EV112+EU112</f>
        <v>-146.69396032</v>
      </c>
      <c r="EX112" s="282">
        <f>-EX30*0.8</f>
        <v>-74.051166809600005</v>
      </c>
      <c r="EY112" s="282">
        <f>-EY30*0.8</f>
        <v>-72.291121813888012</v>
      </c>
      <c r="EZ112" s="282">
        <f>EY112+EX112</f>
        <v>-146.342288623488</v>
      </c>
      <c r="FA112" s="590">
        <f>EZ112+EW112</f>
        <v>-293.03624894348798</v>
      </c>
      <c r="FB112" s="282">
        <f>-FB30*0.8</f>
        <v>-68.265864319999991</v>
      </c>
      <c r="FC112" s="282">
        <f>-FC30*0.8</f>
        <v>-81.444356809600009</v>
      </c>
      <c r="FD112" s="282">
        <f>FC112+FB112</f>
        <v>-149.7102211296</v>
      </c>
      <c r="FE112" s="282">
        <f>-FE30*0.8</f>
        <v>-75.994211813887986</v>
      </c>
      <c r="FF112" s="282">
        <f>-FF30*0.8</f>
        <v>-74.193503668304658</v>
      </c>
      <c r="FG112" s="282">
        <f>FF112+FE112</f>
        <v>-150.18771548219263</v>
      </c>
      <c r="FH112" s="590">
        <f>FG112+FD112</f>
        <v>-299.8979366117926</v>
      </c>
      <c r="FI112" s="282">
        <f>-FI30*0.8</f>
        <v>-69.701693529599993</v>
      </c>
      <c r="FJ112" s="282">
        <f>-FJ30*0.8</f>
        <v>-83.094207163888001</v>
      </c>
      <c r="FK112" s="282">
        <f>FJ112+FI112</f>
        <v>-152.79590069348799</v>
      </c>
      <c r="FL112" s="282">
        <f>-FL30*0.8</f>
        <v>-77.989170918304637</v>
      </c>
      <c r="FM112" s="282">
        <f>-FM30*0.8</f>
        <v>-76.146883183353779</v>
      </c>
      <c r="FN112" s="282">
        <f>FM112+FL112</f>
        <v>-154.13605410165843</v>
      </c>
      <c r="FO112" s="590">
        <f>FN112+FK112</f>
        <v>-306.93195479514645</v>
      </c>
      <c r="FP112" s="282">
        <f>-FP30*0.8</f>
        <v>-71.171269084687992</v>
      </c>
      <c r="FQ112" s="282">
        <f>-FQ30*0.8</f>
        <v>-84.781471386054633</v>
      </c>
      <c r="FR112" s="282">
        <f>FQ112+FP112</f>
        <v>-155.95274047074264</v>
      </c>
      <c r="FS112" s="282">
        <f>-FS30*0.8</f>
        <v>-80.037442114603763</v>
      </c>
      <c r="FT112" s="282">
        <f>-FT30*0.8</f>
        <v>-78.152638443979399</v>
      </c>
      <c r="FU112" s="282">
        <f>FT112+FS112</f>
        <v>-158.19008055858316</v>
      </c>
      <c r="FV112" s="590">
        <f>FU112+FR112</f>
        <v>-314.14282102932577</v>
      </c>
    </row>
    <row r="113" spans="1:280" outlineLevel="1" x14ac:dyDescent="0.3">
      <c r="B113" s="279" t="s">
        <v>471</v>
      </c>
      <c r="C113" s="280" t="s">
        <v>226</v>
      </c>
      <c r="D113" s="281">
        <f>D114-D112</f>
        <v>-24.6</v>
      </c>
      <c r="E113" s="281">
        <f>E114-E112</f>
        <v>-27.900000000000002</v>
      </c>
      <c r="F113" s="281">
        <f t="shared" ref="F113:AO113" si="332">F114-F112</f>
        <v>-52.5</v>
      </c>
      <c r="G113" s="281">
        <f t="shared" si="332"/>
        <v>-37.5</v>
      </c>
      <c r="H113" s="281">
        <f t="shared" si="332"/>
        <v>-26.700000000000003</v>
      </c>
      <c r="I113" s="281">
        <f t="shared" si="332"/>
        <v>-64.2</v>
      </c>
      <c r="J113" s="281">
        <f t="shared" si="332"/>
        <v>-116.7</v>
      </c>
      <c r="K113" s="281">
        <f t="shared" si="332"/>
        <v>-24.5</v>
      </c>
      <c r="L113" s="281">
        <f t="shared" si="332"/>
        <v>-12.7</v>
      </c>
      <c r="M113" s="281">
        <f t="shared" si="332"/>
        <v>-37.200000000000003</v>
      </c>
      <c r="N113" s="281">
        <f t="shared" si="332"/>
        <v>-5.2000000000000082</v>
      </c>
      <c r="O113" s="281">
        <f t="shared" si="332"/>
        <v>0</v>
      </c>
      <c r="P113" s="281">
        <f t="shared" si="332"/>
        <v>-4.7999999999999972</v>
      </c>
      <c r="Q113" s="281">
        <f t="shared" si="332"/>
        <v>-41.9</v>
      </c>
      <c r="R113" s="281">
        <f t="shared" si="332"/>
        <v>-2.3000000000000007</v>
      </c>
      <c r="S113" s="281">
        <f t="shared" si="332"/>
        <v>0</v>
      </c>
      <c r="T113" s="281">
        <f t="shared" si="332"/>
        <v>0</v>
      </c>
      <c r="U113" s="281">
        <f t="shared" si="332"/>
        <v>0</v>
      </c>
      <c r="V113" s="281">
        <f t="shared" si="332"/>
        <v>0</v>
      </c>
      <c r="W113" s="281">
        <f t="shared" si="332"/>
        <v>0</v>
      </c>
      <c r="X113" s="281">
        <f t="shared" si="332"/>
        <v>0</v>
      </c>
      <c r="Y113" s="281">
        <f t="shared" si="332"/>
        <v>0</v>
      </c>
      <c r="Z113" s="281">
        <f t="shared" si="332"/>
        <v>0</v>
      </c>
      <c r="AA113" s="281">
        <f t="shared" si="332"/>
        <v>0</v>
      </c>
      <c r="AB113" s="281">
        <f t="shared" si="332"/>
        <v>0</v>
      </c>
      <c r="AC113" s="281">
        <f t="shared" si="332"/>
        <v>0</v>
      </c>
      <c r="AD113" s="281">
        <f t="shared" si="332"/>
        <v>0</v>
      </c>
      <c r="AE113" s="281">
        <f t="shared" si="332"/>
        <v>0</v>
      </c>
      <c r="AF113" s="281">
        <f t="shared" si="332"/>
        <v>0</v>
      </c>
      <c r="AG113" s="281">
        <f t="shared" si="332"/>
        <v>0</v>
      </c>
      <c r="AH113" s="281">
        <f t="shared" si="332"/>
        <v>0</v>
      </c>
      <c r="AI113" s="281">
        <f t="shared" si="332"/>
        <v>0</v>
      </c>
      <c r="AJ113" s="281">
        <f t="shared" si="332"/>
        <v>0</v>
      </c>
      <c r="AK113" s="281">
        <f t="shared" si="332"/>
        <v>0</v>
      </c>
      <c r="AL113" s="281">
        <f t="shared" si="332"/>
        <v>0</v>
      </c>
      <c r="AM113" s="281">
        <f t="shared" si="332"/>
        <v>0</v>
      </c>
      <c r="AN113" s="281">
        <f t="shared" si="332"/>
        <v>0</v>
      </c>
      <c r="AO113" s="281">
        <f t="shared" si="332"/>
        <v>0</v>
      </c>
      <c r="AP113" s="281">
        <v>-0.29999999999999982</v>
      </c>
      <c r="AQ113" s="281">
        <f>+AQ114-AQ112</f>
        <v>0.19999999999999929</v>
      </c>
      <c r="AR113" s="281">
        <f t="shared" si="310"/>
        <v>0</v>
      </c>
      <c r="AS113" s="281">
        <f>AS114-AS112</f>
        <v>0</v>
      </c>
      <c r="AT113" s="281">
        <v>0</v>
      </c>
      <c r="AU113" s="281">
        <v>0</v>
      </c>
      <c r="AV113" s="281">
        <f>AU113+AT113</f>
        <v>0</v>
      </c>
      <c r="AW113" s="281">
        <v>0</v>
      </c>
      <c r="AX113" s="289">
        <v>0</v>
      </c>
      <c r="AY113" s="281">
        <f>AX113+AW113</f>
        <v>0</v>
      </c>
      <c r="AZ113" s="281">
        <f>AY113+AV113</f>
        <v>0</v>
      </c>
      <c r="BA113" s="281">
        <v>0</v>
      </c>
      <c r="BB113" s="281">
        <v>0</v>
      </c>
      <c r="BC113" s="281">
        <f>BB113+BA113</f>
        <v>0</v>
      </c>
      <c r="BD113" s="281">
        <v>-0.50000000000000044</v>
      </c>
      <c r="BE113" s="281">
        <v>-6.0999999999999961</v>
      </c>
      <c r="BF113" s="281">
        <f>BE113+BD113</f>
        <v>-6.5999999999999961</v>
      </c>
      <c r="BG113" s="281">
        <f>BF113+BC113</f>
        <v>-6.5999999999999961</v>
      </c>
      <c r="BH113" s="281">
        <f>+BH114-BH112</f>
        <v>-10.700000000000001</v>
      </c>
      <c r="BI113" s="281">
        <f>+BI114-BI112</f>
        <v>-4.9999999999999982</v>
      </c>
      <c r="BJ113" s="281">
        <f>+BJ114-BJ112</f>
        <v>-13.899999999999999</v>
      </c>
      <c r="BK113" s="281">
        <f>+BK114-BK112</f>
        <v>-8.4</v>
      </c>
      <c r="BL113" s="281">
        <v>-25</v>
      </c>
      <c r="BM113" s="281">
        <f>+BL113+BK113</f>
        <v>-33.4</v>
      </c>
      <c r="BN113" s="281">
        <f>+BM113+BJ113</f>
        <v>-47.3</v>
      </c>
      <c r="BO113" s="281">
        <f>+BO114-BO112</f>
        <v>-32</v>
      </c>
      <c r="BP113" s="281">
        <f>+BP114-BP112</f>
        <v>-93.4</v>
      </c>
      <c r="BQ113" s="281">
        <f>BP113+BO113</f>
        <v>-125.4</v>
      </c>
      <c r="BR113" s="281">
        <f>+BR114-BR112</f>
        <v>-63.000000000000007</v>
      </c>
      <c r="BS113" s="281">
        <f>+BS114-BS112</f>
        <v>-16.899999999999984</v>
      </c>
      <c r="BT113" s="281">
        <f>BS113+BR113</f>
        <v>-79.899999999999991</v>
      </c>
      <c r="BU113" s="281">
        <f>+BT113+BQ113</f>
        <v>-205.3</v>
      </c>
      <c r="BV113" s="281">
        <f>+BV114-BV112</f>
        <v>-2</v>
      </c>
      <c r="BW113" s="281">
        <f>+BW114-BW112</f>
        <v>-6.8000000000000007</v>
      </c>
      <c r="BX113" s="281">
        <f>BW113+BV113</f>
        <v>-8.8000000000000007</v>
      </c>
      <c r="BY113" s="281">
        <f>+BY114-BY112</f>
        <v>-2.1999999999999957</v>
      </c>
      <c r="BZ113" s="281">
        <f>+BZ114-BZ112</f>
        <v>-3.1000000000000014</v>
      </c>
      <c r="CA113" s="281">
        <f t="shared" si="311"/>
        <v>-5.2999999999999972</v>
      </c>
      <c r="CB113" s="281">
        <f t="shared" si="312"/>
        <v>-14.099999999999998</v>
      </c>
      <c r="CC113" s="289">
        <v>-5</v>
      </c>
      <c r="CD113" s="289">
        <v>-5</v>
      </c>
      <c r="CE113" s="281">
        <f>CC113+CD113</f>
        <v>-10</v>
      </c>
      <c r="CF113" s="289">
        <v>-7.5</v>
      </c>
      <c r="CG113" s="281">
        <f>+CG114-CG112</f>
        <v>-15.399999999999999</v>
      </c>
      <c r="CH113" s="281">
        <f t="shared" si="313"/>
        <v>-22.9</v>
      </c>
      <c r="CI113" s="281">
        <f t="shared" si="314"/>
        <v>-32.9</v>
      </c>
      <c r="CJ113" s="281">
        <f>CJ114-CJ112</f>
        <v>-30.1</v>
      </c>
      <c r="CK113" s="289">
        <f>-28</f>
        <v>-28</v>
      </c>
      <c r="CL113" s="281">
        <f>SUM(CJ113:CK113)</f>
        <v>-58.1</v>
      </c>
      <c r="CM113" s="289">
        <f>-42.5</f>
        <v>-42.5</v>
      </c>
      <c r="CN113" s="281">
        <f>+CN114-CN112</f>
        <v>-36.899999999999977</v>
      </c>
      <c r="CO113" s="281">
        <f t="shared" si="315"/>
        <v>-79.399999999999977</v>
      </c>
      <c r="CP113" s="282">
        <f t="shared" si="316"/>
        <v>-137.49999999999997</v>
      </c>
      <c r="CQ113" s="282">
        <f>+CQ114-CQ112</f>
        <v>-55.599999999999994</v>
      </c>
      <c r="CR113" s="282">
        <f>+CR114-CR112</f>
        <v>-48.400000000000006</v>
      </c>
      <c r="CS113" s="282">
        <f>SUM(CQ113:CR113)</f>
        <v>-104</v>
      </c>
      <c r="CT113" s="282">
        <f>+CT114-CT112</f>
        <v>-62.699999999999989</v>
      </c>
      <c r="CU113" s="282">
        <f>+CU114-CU112</f>
        <v>-56.400000000000006</v>
      </c>
      <c r="CV113" s="282">
        <f>SUM(CT113:CU113)</f>
        <v>-119.1</v>
      </c>
      <c r="CW113" s="282">
        <f>CW114-CW112</f>
        <v>-223.10000000000002</v>
      </c>
      <c r="CX113" s="282">
        <f>CX114-CX112</f>
        <v>-28.299999999999997</v>
      </c>
      <c r="CY113" s="282">
        <f>CY114-CY112</f>
        <v>-32.5</v>
      </c>
      <c r="CZ113" s="282">
        <f>SUM(CX113:CY113)</f>
        <v>-60.8</v>
      </c>
      <c r="DA113" s="282">
        <f>+DA114-DA112</f>
        <v>-8.6000000000000085</v>
      </c>
      <c r="DB113" s="282">
        <f>+DB114-DB112</f>
        <v>-17.799999999999997</v>
      </c>
      <c r="DC113" s="282">
        <f>SUM(DA113:DB113)</f>
        <v>-26.400000000000006</v>
      </c>
      <c r="DD113" s="670">
        <f>DD114-DD112</f>
        <v>-87.200000000000017</v>
      </c>
      <c r="DE113" s="290">
        <v>-10.4</v>
      </c>
      <c r="DF113" s="282">
        <f>+DF114-DF112</f>
        <v>-3.6999999999999993</v>
      </c>
      <c r="DG113" s="282">
        <f>SUM(DE113:DF113)</f>
        <v>-14.1</v>
      </c>
      <c r="DH113" s="282">
        <f>+-23.3-DG113</f>
        <v>-9.2000000000000011</v>
      </c>
      <c r="DI113" s="282">
        <f t="shared" si="317"/>
        <v>-16.099999999999994</v>
      </c>
      <c r="DJ113" s="282">
        <f t="shared" si="318"/>
        <v>-25.299999999999997</v>
      </c>
      <c r="DK113" s="670">
        <v>-39.4</v>
      </c>
      <c r="DL113" s="292">
        <v>-13.8</v>
      </c>
      <c r="DM113" s="282">
        <f t="shared" si="319"/>
        <v>-24.3</v>
      </c>
      <c r="DN113" s="290">
        <v>-38.1</v>
      </c>
      <c r="DO113" s="290">
        <f>+DO114-DO112</f>
        <v>-31.600000000000009</v>
      </c>
      <c r="DP113" s="282">
        <f t="shared" si="320"/>
        <v>-26.499999999999993</v>
      </c>
      <c r="DQ113" s="282">
        <f t="shared" si="321"/>
        <v>-58.1</v>
      </c>
      <c r="DR113" s="670">
        <v>-96.2</v>
      </c>
      <c r="DS113" s="290">
        <v>-130</v>
      </c>
      <c r="DT113" s="282">
        <f t="shared" si="322"/>
        <v>-75.699999999999989</v>
      </c>
      <c r="DU113" s="290">
        <v>-205.7</v>
      </c>
      <c r="DV113" s="282">
        <f>+DV114-DV112</f>
        <v>-81.799999999999983</v>
      </c>
      <c r="DW113" s="282">
        <f t="shared" si="323"/>
        <v>-90.9</v>
      </c>
      <c r="DX113" s="282">
        <f t="shared" si="324"/>
        <v>-172.7</v>
      </c>
      <c r="DY113" s="670">
        <v>-378.4</v>
      </c>
      <c r="DZ113" s="290">
        <v>-63.4</v>
      </c>
      <c r="EA113" s="282">
        <f t="shared" si="325"/>
        <v>-61.800000000000004</v>
      </c>
      <c r="EB113" s="290">
        <v>-125.2</v>
      </c>
      <c r="EC113" s="317">
        <f>-180.8-EB113</f>
        <v>-55.600000000000009</v>
      </c>
      <c r="ED113" s="282">
        <f t="shared" si="326"/>
        <v>-87.899999999999991</v>
      </c>
      <c r="EE113" s="282">
        <f t="shared" si="327"/>
        <v>-143.5</v>
      </c>
      <c r="EF113" s="670">
        <v>-268.7</v>
      </c>
      <c r="EG113" s="290">
        <v>-65.7</v>
      </c>
      <c r="EH113" s="282">
        <f t="shared" si="328"/>
        <v>-38.599999999999994</v>
      </c>
      <c r="EI113" s="290">
        <v>-104.3</v>
      </c>
      <c r="EJ113" s="317">
        <f>-134.3-EI113</f>
        <v>-30.000000000000014</v>
      </c>
      <c r="EK113" s="282">
        <f t="shared" si="329"/>
        <v>-31</v>
      </c>
      <c r="EL113" s="282">
        <f t="shared" si="330"/>
        <v>-61.000000000000014</v>
      </c>
      <c r="EM113" s="670">
        <v>-165.3</v>
      </c>
      <c r="EN113" s="290">
        <v>-25</v>
      </c>
      <c r="EO113" s="282">
        <f t="shared" si="331"/>
        <v>-27.4</v>
      </c>
      <c r="EP113" s="290">
        <v>-52.4</v>
      </c>
      <c r="EQ113" s="725">
        <f>-72-EP113</f>
        <v>-19.600000000000001</v>
      </c>
      <c r="ER113" s="325">
        <v>-10</v>
      </c>
      <c r="ES113" s="282">
        <f>SUM(EQ113:ER113)</f>
        <v>-29.6</v>
      </c>
      <c r="ET113" s="732">
        <f>ES113+EP113</f>
        <v>-82</v>
      </c>
      <c r="EU113" s="325">
        <v>-35</v>
      </c>
      <c r="EV113" s="325">
        <v>-35</v>
      </c>
      <c r="EW113" s="282">
        <f>SUM(EU113:EV113)</f>
        <v>-70</v>
      </c>
      <c r="EX113" s="325">
        <f>EV113</f>
        <v>-35</v>
      </c>
      <c r="EY113" s="325">
        <f>EX113</f>
        <v>-35</v>
      </c>
      <c r="EZ113" s="282">
        <f>SUM(EX113:EY113)</f>
        <v>-70</v>
      </c>
      <c r="FA113" s="590">
        <f>EZ113+EW113</f>
        <v>-140</v>
      </c>
      <c r="FB113" s="325">
        <v>-33</v>
      </c>
      <c r="FC113" s="325">
        <v>-33</v>
      </c>
      <c r="FD113" s="282">
        <f>FC113+FB113</f>
        <v>-66</v>
      </c>
      <c r="FE113" s="325">
        <v>-33</v>
      </c>
      <c r="FF113" s="325">
        <v>-33</v>
      </c>
      <c r="FG113" s="282">
        <f>FE113+FF113</f>
        <v>-66</v>
      </c>
      <c r="FH113" s="590">
        <f>FG113+FD113</f>
        <v>-132</v>
      </c>
      <c r="FI113" s="325">
        <v>-30</v>
      </c>
      <c r="FJ113" s="325">
        <v>-30</v>
      </c>
      <c r="FK113" s="282">
        <f>FJ113+FI113</f>
        <v>-60</v>
      </c>
      <c r="FL113" s="325">
        <v>-30</v>
      </c>
      <c r="FM113" s="325">
        <v>-30</v>
      </c>
      <c r="FN113" s="282">
        <f>FL113+FM113</f>
        <v>-60</v>
      </c>
      <c r="FO113" s="590">
        <f>FN113+FK113</f>
        <v>-120</v>
      </c>
      <c r="FP113" s="325">
        <v>-30</v>
      </c>
      <c r="FQ113" s="325">
        <v>-30</v>
      </c>
      <c r="FR113" s="282">
        <f>FQ113+FP113</f>
        <v>-60</v>
      </c>
      <c r="FS113" s="325">
        <v>-30</v>
      </c>
      <c r="FT113" s="325">
        <v>-30</v>
      </c>
      <c r="FU113" s="282">
        <f>FS113+FT113</f>
        <v>-60</v>
      </c>
      <c r="FV113" s="590">
        <f>FU113+FR113</f>
        <v>-120</v>
      </c>
    </row>
    <row r="114" spans="1:280" outlineLevel="1" x14ac:dyDescent="0.3">
      <c r="B114" s="418" t="s">
        <v>472</v>
      </c>
      <c r="C114" s="419" t="s">
        <v>226</v>
      </c>
      <c r="D114" s="420">
        <v>-34</v>
      </c>
      <c r="E114" s="383">
        <f>F114-D114</f>
        <v>-41</v>
      </c>
      <c r="F114" s="420">
        <v>-75</v>
      </c>
      <c r="G114" s="383">
        <f>-123.8-E114-D114</f>
        <v>-48.8</v>
      </c>
      <c r="H114" s="383">
        <f>I114-G114</f>
        <v>-38.200000000000003</v>
      </c>
      <c r="I114" s="383">
        <f>J114-F114</f>
        <v>-87</v>
      </c>
      <c r="J114" s="420">
        <v>-162</v>
      </c>
      <c r="K114" s="420">
        <v>-35.5</v>
      </c>
      <c r="L114" s="383">
        <f>M114-K114</f>
        <v>-25.9</v>
      </c>
      <c r="M114" s="420">
        <v>-61.4</v>
      </c>
      <c r="N114" s="383">
        <f>-79.4-L114-K114</f>
        <v>-18.000000000000007</v>
      </c>
      <c r="O114" s="383">
        <f>P114-N114</f>
        <v>-13.199999999999989</v>
      </c>
      <c r="P114" s="383">
        <f>Q114-M114</f>
        <v>-31.199999999999996</v>
      </c>
      <c r="Q114" s="420">
        <v>-92.6</v>
      </c>
      <c r="R114" s="420">
        <v>-16.5</v>
      </c>
      <c r="S114" s="383">
        <f>T114-R114</f>
        <v>-7.6999999999999993</v>
      </c>
      <c r="T114" s="420">
        <v>-24.2</v>
      </c>
      <c r="U114" s="383">
        <f>-28.7-S114-R114</f>
        <v>-4.5</v>
      </c>
      <c r="V114" s="383">
        <f>W114-U114</f>
        <v>-9.8000000000000007</v>
      </c>
      <c r="W114" s="383">
        <f>X114-T114</f>
        <v>-14.3</v>
      </c>
      <c r="X114" s="420">
        <v>-38.5</v>
      </c>
      <c r="Y114" s="420">
        <v>-3.8</v>
      </c>
      <c r="Z114" s="383">
        <f>AA114-Y114</f>
        <v>-5.6000000000000005</v>
      </c>
      <c r="AA114" s="420">
        <v>-9.4</v>
      </c>
      <c r="AB114" s="383">
        <f>-16.8-Z114-Y114</f>
        <v>-7.3999999999999995</v>
      </c>
      <c r="AC114" s="383">
        <f>AD114-AB114</f>
        <v>-9.3000000000000043</v>
      </c>
      <c r="AD114" s="383">
        <f>AE114-AA114</f>
        <v>-16.700000000000003</v>
      </c>
      <c r="AE114" s="420">
        <v>-26.1</v>
      </c>
      <c r="AF114" s="420">
        <v>-9.6999999999999993</v>
      </c>
      <c r="AG114" s="383">
        <f>AH114-AF114</f>
        <v>-11.2</v>
      </c>
      <c r="AH114" s="420">
        <v>-20.9</v>
      </c>
      <c r="AI114" s="420">
        <f>-35.2-AG114-AF114</f>
        <v>-14.300000000000004</v>
      </c>
      <c r="AJ114" s="383">
        <f>AK114-AI114</f>
        <v>-15.299999999999997</v>
      </c>
      <c r="AK114" s="383">
        <f>AL114-AH114</f>
        <v>-29.6</v>
      </c>
      <c r="AL114" s="420">
        <v>-50.5</v>
      </c>
      <c r="AM114" s="420">
        <v>-13.5</v>
      </c>
      <c r="AN114" s="383">
        <f>AO114-AM114</f>
        <v>-11.3</v>
      </c>
      <c r="AO114" s="420">
        <v>-24.8</v>
      </c>
      <c r="AP114" s="383">
        <f>-37.3-AO114</f>
        <v>-12.499999999999996</v>
      </c>
      <c r="AQ114" s="383">
        <f t="shared" si="309"/>
        <v>-13</v>
      </c>
      <c r="AR114" s="383">
        <f t="shared" si="310"/>
        <v>-25.499999999999996</v>
      </c>
      <c r="AS114" s="420">
        <v>-50.3</v>
      </c>
      <c r="AT114" s="420">
        <v>-12.1</v>
      </c>
      <c r="AU114" s="383">
        <f t="shared" ref="AU114:CE114" si="333">SUM(AU112:AU113)</f>
        <v>-6.2999999999999989</v>
      </c>
      <c r="AV114" s="421">
        <f t="shared" si="333"/>
        <v>-18.399999999999999</v>
      </c>
      <c r="AW114" s="383">
        <f t="shared" si="333"/>
        <v>-7.1000000000000023</v>
      </c>
      <c r="AX114" s="383">
        <f t="shared" si="333"/>
        <v>-10.3</v>
      </c>
      <c r="AY114" s="383">
        <f t="shared" si="333"/>
        <v>-17.400000000000002</v>
      </c>
      <c r="AZ114" s="383">
        <f>SUM(AZ112:AZ113)</f>
        <v>-35.799999999999997</v>
      </c>
      <c r="BA114" s="383">
        <f t="shared" si="333"/>
        <v>-15.2</v>
      </c>
      <c r="BB114" s="383">
        <f t="shared" si="333"/>
        <v>-10.3</v>
      </c>
      <c r="BC114" s="383">
        <f t="shared" si="333"/>
        <v>-25.5</v>
      </c>
      <c r="BD114" s="383">
        <f t="shared" si="333"/>
        <v>-16.300000000000004</v>
      </c>
      <c r="BE114" s="383">
        <f t="shared" si="333"/>
        <v>-19.299999999999997</v>
      </c>
      <c r="BF114" s="383">
        <f t="shared" si="333"/>
        <v>-35.6</v>
      </c>
      <c r="BG114" s="383">
        <f t="shared" si="333"/>
        <v>-61.099999999999994</v>
      </c>
      <c r="BH114" s="420">
        <v>-26.1</v>
      </c>
      <c r="BI114" s="383">
        <f>+BJ114-BH114</f>
        <v>-18.399999999999999</v>
      </c>
      <c r="BJ114" s="420">
        <v>-44.5</v>
      </c>
      <c r="BK114" s="420">
        <f>-68.5-BJ114</f>
        <v>-24</v>
      </c>
      <c r="BL114" s="383">
        <f>BN114-BK114-BJ114</f>
        <v>-40.200000000000003</v>
      </c>
      <c r="BM114" s="383">
        <f t="shared" si="333"/>
        <v>-64.2</v>
      </c>
      <c r="BN114" s="383">
        <f>+BM114+BJ114</f>
        <v>-108.7</v>
      </c>
      <c r="BO114" s="420">
        <v>-48.6</v>
      </c>
      <c r="BP114" s="420">
        <f>-159.5-BO114</f>
        <v>-110.9</v>
      </c>
      <c r="BQ114" s="383">
        <f t="shared" si="333"/>
        <v>-159.5</v>
      </c>
      <c r="BR114" s="420">
        <f>-240.4-BQ114</f>
        <v>-80.900000000000006</v>
      </c>
      <c r="BS114" s="420">
        <f>-276.2-BR114-BQ114</f>
        <v>-35.799999999999983</v>
      </c>
      <c r="BT114" s="383">
        <f t="shared" si="333"/>
        <v>-116.69999999999999</v>
      </c>
      <c r="BU114" s="383">
        <f t="shared" si="333"/>
        <v>-276.20000000000005</v>
      </c>
      <c r="BV114" s="420">
        <f>-19</f>
        <v>-19</v>
      </c>
      <c r="BW114" s="420">
        <f>-42.4-BV114</f>
        <v>-23.4</v>
      </c>
      <c r="BX114" s="383">
        <f t="shared" si="333"/>
        <v>-42.400000000000006</v>
      </c>
      <c r="BY114" s="420">
        <f>-52.1-BX114</f>
        <v>-9.6999999999999957</v>
      </c>
      <c r="BZ114" s="420">
        <f>-73.2-BY114-BX114</f>
        <v>-21.1</v>
      </c>
      <c r="CA114" s="383">
        <f t="shared" si="311"/>
        <v>-30.799999999999997</v>
      </c>
      <c r="CB114" s="383">
        <f t="shared" si="312"/>
        <v>-73.2</v>
      </c>
      <c r="CC114" s="420">
        <v>-17.8</v>
      </c>
      <c r="CD114" s="420">
        <f>-35.6-CC114</f>
        <v>-17.8</v>
      </c>
      <c r="CE114" s="383">
        <f t="shared" si="333"/>
        <v>-35.6</v>
      </c>
      <c r="CF114" s="420">
        <f>-58.5-CE114</f>
        <v>-22.9</v>
      </c>
      <c r="CG114" s="420">
        <f>-101.9-CF114-CE114</f>
        <v>-43.4</v>
      </c>
      <c r="CH114" s="383">
        <f t="shared" si="313"/>
        <v>-66.3</v>
      </c>
      <c r="CI114" s="383">
        <f t="shared" si="314"/>
        <v>-101.9</v>
      </c>
      <c r="CJ114" s="420">
        <f>-48.1</f>
        <v>-48.1</v>
      </c>
      <c r="CK114" s="420">
        <f>-83.6-CJ114</f>
        <v>-35.499999999999993</v>
      </c>
      <c r="CL114" s="383">
        <f>SUM(CJ114:CK114)</f>
        <v>-83.6</v>
      </c>
      <c r="CM114" s="420">
        <f>-148.8-CL114</f>
        <v>-65.200000000000017</v>
      </c>
      <c r="CN114" s="420">
        <f>-203.7-CM114-CL114</f>
        <v>-54.899999999999977</v>
      </c>
      <c r="CO114" s="383">
        <f t="shared" si="315"/>
        <v>-120.1</v>
      </c>
      <c r="CP114" s="422">
        <f t="shared" si="316"/>
        <v>-203.7</v>
      </c>
      <c r="CQ114" s="423">
        <f>-73.6</f>
        <v>-73.599999999999994</v>
      </c>
      <c r="CR114" s="422">
        <f>-140-CQ114</f>
        <v>-66.400000000000006</v>
      </c>
      <c r="CS114" s="422">
        <f>SUM(CS112:CS113)</f>
        <v>-140</v>
      </c>
      <c r="CT114" s="423">
        <f>-224.7-CS114</f>
        <v>-84.699999999999989</v>
      </c>
      <c r="CU114" s="423">
        <v>-76.400000000000006</v>
      </c>
      <c r="CV114" s="422">
        <f>SUM(CV112:CV113)</f>
        <v>-161.1</v>
      </c>
      <c r="CW114" s="424">
        <f>CV114+CS114</f>
        <v>-301.10000000000002</v>
      </c>
      <c r="CX114" s="423">
        <v>-63.3</v>
      </c>
      <c r="CY114" s="423">
        <f>-127.8-CX114</f>
        <v>-64.5</v>
      </c>
      <c r="CZ114" s="424">
        <f>SUM(CZ112:CZ113)</f>
        <v>-127.8</v>
      </c>
      <c r="DA114" s="423">
        <f>+-161.4-CZ114</f>
        <v>-33.600000000000009</v>
      </c>
      <c r="DB114" s="423">
        <f>+-193.8-DA114-CZ114</f>
        <v>-32.399999999999991</v>
      </c>
      <c r="DC114" s="422">
        <f>SUM(DC112:DC113)</f>
        <v>-66</v>
      </c>
      <c r="DD114" s="671">
        <f>DC114+CZ114</f>
        <v>-193.8</v>
      </c>
      <c r="DE114" s="422">
        <f>+DE113+DE112</f>
        <v>-27.1</v>
      </c>
      <c r="DF114" s="422">
        <f>-44.7-DE114</f>
        <v>-17.600000000000001</v>
      </c>
      <c r="DG114" s="424">
        <f>SUM(DG112:DG113)</f>
        <v>-44.7</v>
      </c>
      <c r="DH114" s="423">
        <f>SUM(DH112:DH113)</f>
        <v>-32.300000000000004</v>
      </c>
      <c r="DI114" s="422">
        <f t="shared" si="317"/>
        <v>-33.699999999999982</v>
      </c>
      <c r="DJ114" s="424">
        <f t="shared" si="318"/>
        <v>-65.999999999999986</v>
      </c>
      <c r="DK114" s="671">
        <f>+DK113+DK112</f>
        <v>-110.69999999999999</v>
      </c>
      <c r="DL114" s="425">
        <f>SUM(DL112:DL113)</f>
        <v>-43.400000000000006</v>
      </c>
      <c r="DM114" s="422">
        <f t="shared" si="319"/>
        <v>-64.699999999999989</v>
      </c>
      <c r="DN114" s="424">
        <f>SUM(DN112:DN113)</f>
        <v>-108.1</v>
      </c>
      <c r="DO114" s="422">
        <f>+-174.5-DN114</f>
        <v>-66.400000000000006</v>
      </c>
      <c r="DP114" s="422">
        <f t="shared" si="320"/>
        <v>-83.300000000000011</v>
      </c>
      <c r="DQ114" s="424">
        <f t="shared" si="321"/>
        <v>-149.70000000000002</v>
      </c>
      <c r="DR114" s="671">
        <f>+DR113+DR112</f>
        <v>-257.8</v>
      </c>
      <c r="DS114" s="422">
        <f>SUM(DS112:DS113)</f>
        <v>-174.1</v>
      </c>
      <c r="DT114" s="422">
        <f t="shared" si="322"/>
        <v>-136.00000000000003</v>
      </c>
      <c r="DU114" s="424">
        <f>SUM(DU112:DU113)</f>
        <v>-310.10000000000002</v>
      </c>
      <c r="DV114" s="422">
        <f>+-450.7-DU114</f>
        <v>-140.59999999999997</v>
      </c>
      <c r="DW114" s="422">
        <f t="shared" si="323"/>
        <v>-140.59999999999997</v>
      </c>
      <c r="DX114" s="424">
        <f t="shared" si="324"/>
        <v>-281.19999999999993</v>
      </c>
      <c r="DY114" s="671">
        <f>+DY113+DY112</f>
        <v>-591.29999999999995</v>
      </c>
      <c r="DZ114" s="422">
        <f>SUM(DZ112:DZ113)</f>
        <v>-125.6</v>
      </c>
      <c r="EA114" s="422">
        <f t="shared" si="325"/>
        <v>-107</v>
      </c>
      <c r="EB114" s="423">
        <v>-232.6</v>
      </c>
      <c r="EC114" s="558">
        <f>-328.2-EB114</f>
        <v>-95.6</v>
      </c>
      <c r="ED114" s="422">
        <f t="shared" si="326"/>
        <v>-121.10000000000002</v>
      </c>
      <c r="EE114" s="424">
        <f t="shared" si="327"/>
        <v>-216.70000000000002</v>
      </c>
      <c r="EF114" s="671">
        <v>-449.3</v>
      </c>
      <c r="EG114" s="422">
        <f>SUM(EG112:EG113)</f>
        <v>-129.80000000000001</v>
      </c>
      <c r="EH114" s="422">
        <f t="shared" si="328"/>
        <v>-95.399999999999977</v>
      </c>
      <c r="EI114" s="423">
        <v>-225.2</v>
      </c>
      <c r="EJ114" s="558">
        <f>-333-EI114</f>
        <v>-107.80000000000001</v>
      </c>
      <c r="EK114" s="422">
        <f t="shared" si="329"/>
        <v>-89.199999999999989</v>
      </c>
      <c r="EL114" s="424">
        <f t="shared" si="330"/>
        <v>-197</v>
      </c>
      <c r="EM114" s="671">
        <v>-422.2</v>
      </c>
      <c r="EN114" s="422">
        <f>SUM(EN112:EN113)</f>
        <v>-103.2</v>
      </c>
      <c r="EO114" s="422">
        <f t="shared" si="331"/>
        <v>-92.7</v>
      </c>
      <c r="EP114" s="423">
        <v>-195.9</v>
      </c>
      <c r="EQ114" s="724">
        <f>-302.8-EP114</f>
        <v>-106.9</v>
      </c>
      <c r="ER114" s="422">
        <f t="shared" ref="ER114:ES114" si="334">SUM(ER112:ER113)</f>
        <v>-71.924200000000027</v>
      </c>
      <c r="ES114" s="422">
        <f t="shared" si="334"/>
        <v>-178.82420000000005</v>
      </c>
      <c r="ET114" s="604">
        <f>ES114+EP114</f>
        <v>-374.72420000000005</v>
      </c>
      <c r="EU114" s="422">
        <f t="shared" ref="EU114:EZ114" si="335">SUM(EU112:EU113)</f>
        <v>-101.862944</v>
      </c>
      <c r="EV114" s="422">
        <f t="shared" si="335"/>
        <v>-114.83101632</v>
      </c>
      <c r="EW114" s="422">
        <f t="shared" si="335"/>
        <v>-216.69396032</v>
      </c>
      <c r="EX114" s="422">
        <f t="shared" si="335"/>
        <v>-109.05116680960001</v>
      </c>
      <c r="EY114" s="422">
        <f t="shared" si="335"/>
        <v>-107.29112181388801</v>
      </c>
      <c r="EZ114" s="422">
        <f t="shared" si="335"/>
        <v>-216.342288623488</v>
      </c>
      <c r="FA114" s="604">
        <f>EZ114+EW114</f>
        <v>-433.03624894348798</v>
      </c>
      <c r="FB114" s="422">
        <f t="shared" ref="FB114:FG114" si="336">SUM(FB112:FB113)</f>
        <v>-101.26586431999999</v>
      </c>
      <c r="FC114" s="422">
        <f t="shared" si="336"/>
        <v>-114.44435680960001</v>
      </c>
      <c r="FD114" s="422">
        <f t="shared" si="336"/>
        <v>-215.7102211296</v>
      </c>
      <c r="FE114" s="422">
        <f t="shared" si="336"/>
        <v>-108.99421181388799</v>
      </c>
      <c r="FF114" s="422">
        <f t="shared" si="336"/>
        <v>-107.19350366830466</v>
      </c>
      <c r="FG114" s="422">
        <f t="shared" si="336"/>
        <v>-216.18771548219263</v>
      </c>
      <c r="FH114" s="604">
        <f>FG114+FD114</f>
        <v>-431.8979366117926</v>
      </c>
      <c r="FI114" s="422">
        <f t="shared" ref="FI114:FN114" si="337">SUM(FI112:FI113)</f>
        <v>-99.701693529599993</v>
      </c>
      <c r="FJ114" s="422">
        <f t="shared" si="337"/>
        <v>-113.094207163888</v>
      </c>
      <c r="FK114" s="422">
        <f t="shared" si="337"/>
        <v>-212.79590069348799</v>
      </c>
      <c r="FL114" s="422">
        <f t="shared" si="337"/>
        <v>-107.98917091830464</v>
      </c>
      <c r="FM114" s="422">
        <f t="shared" si="337"/>
        <v>-106.14688318335378</v>
      </c>
      <c r="FN114" s="422">
        <f t="shared" si="337"/>
        <v>-214.13605410165843</v>
      </c>
      <c r="FO114" s="604">
        <f>FN114+FK114</f>
        <v>-426.93195479514645</v>
      </c>
      <c r="FP114" s="422">
        <f t="shared" ref="FP114:FU114" si="338">SUM(FP112:FP113)</f>
        <v>-101.17126908468799</v>
      </c>
      <c r="FQ114" s="422">
        <f t="shared" si="338"/>
        <v>-114.78147138605463</v>
      </c>
      <c r="FR114" s="422">
        <f t="shared" si="338"/>
        <v>-215.95274047074264</v>
      </c>
      <c r="FS114" s="422">
        <f t="shared" si="338"/>
        <v>-110.03744211460376</v>
      </c>
      <c r="FT114" s="422">
        <f t="shared" si="338"/>
        <v>-108.1526384439794</v>
      </c>
      <c r="FU114" s="422">
        <f t="shared" si="338"/>
        <v>-218.19008055858316</v>
      </c>
      <c r="FV114" s="604">
        <f>FU114+FR114</f>
        <v>-434.14282102932577</v>
      </c>
    </row>
    <row r="115" spans="1:280" outlineLevel="1" x14ac:dyDescent="0.3">
      <c r="B115" s="279" t="s">
        <v>473</v>
      </c>
      <c r="C115" s="280" t="s">
        <v>226</v>
      </c>
      <c r="D115" s="289">
        <v>0</v>
      </c>
      <c r="E115" s="281">
        <f>F115-D115</f>
        <v>0</v>
      </c>
      <c r="F115" s="289">
        <v>0</v>
      </c>
      <c r="G115" s="289">
        <v>0</v>
      </c>
      <c r="H115" s="281">
        <f>I115-G115</f>
        <v>0</v>
      </c>
      <c r="I115" s="281">
        <f>J115-F115</f>
        <v>0</v>
      </c>
      <c r="J115" s="289">
        <v>0</v>
      </c>
      <c r="K115" s="289">
        <v>0</v>
      </c>
      <c r="L115" s="281">
        <f>M115-K115</f>
        <v>0</v>
      </c>
      <c r="M115" s="289">
        <v>0</v>
      </c>
      <c r="N115" s="289">
        <v>0</v>
      </c>
      <c r="O115" s="281">
        <f>P115-N115</f>
        <v>0</v>
      </c>
      <c r="P115" s="281">
        <f>Q115-M115</f>
        <v>0</v>
      </c>
      <c r="Q115" s="289">
        <v>0</v>
      </c>
      <c r="R115" s="289">
        <v>0</v>
      </c>
      <c r="S115" s="281">
        <f>T115-R115</f>
        <v>0</v>
      </c>
      <c r="T115" s="289">
        <v>0</v>
      </c>
      <c r="U115" s="289">
        <v>0</v>
      </c>
      <c r="V115" s="281">
        <f>W115-U115</f>
        <v>0</v>
      </c>
      <c r="W115" s="281">
        <f>X115-T115</f>
        <v>0</v>
      </c>
      <c r="X115" s="289">
        <v>0</v>
      </c>
      <c r="Y115" s="289">
        <v>0</v>
      </c>
      <c r="Z115" s="281">
        <f>AA115-Y115</f>
        <v>0</v>
      </c>
      <c r="AA115" s="289">
        <v>0</v>
      </c>
      <c r="AB115" s="289">
        <v>0</v>
      </c>
      <c r="AC115" s="281">
        <f>AD115-AB115</f>
        <v>0</v>
      </c>
      <c r="AD115" s="281">
        <f>AE115-AA115</f>
        <v>0</v>
      </c>
      <c r="AE115" s="326"/>
      <c r="AF115" s="289">
        <v>0</v>
      </c>
      <c r="AG115" s="281">
        <f>AH115-AF115</f>
        <v>0</v>
      </c>
      <c r="AH115" s="289">
        <v>0</v>
      </c>
      <c r="AI115" s="281"/>
      <c r="AJ115" s="281">
        <f>AK115-AI115</f>
        <v>0</v>
      </c>
      <c r="AK115" s="281">
        <f>AL115-AH115</f>
        <v>0</v>
      </c>
      <c r="AL115" s="326"/>
      <c r="AM115" s="281"/>
      <c r="AN115" s="281">
        <f>AO115-AM115</f>
        <v>0</v>
      </c>
      <c r="AO115" s="289">
        <v>0</v>
      </c>
      <c r="AP115" s="281">
        <v>0</v>
      </c>
      <c r="AQ115" s="281">
        <f t="shared" si="309"/>
        <v>0</v>
      </c>
      <c r="AR115" s="281">
        <f t="shared" si="310"/>
        <v>0</v>
      </c>
      <c r="AS115" s="281">
        <v>0</v>
      </c>
      <c r="AT115" s="281">
        <v>0</v>
      </c>
      <c r="AU115" s="281">
        <v>0</v>
      </c>
      <c r="AV115" s="281">
        <v>0</v>
      </c>
      <c r="AW115" s="281">
        <v>0</v>
      </c>
      <c r="AX115" s="281">
        <v>0</v>
      </c>
      <c r="AY115" s="281">
        <v>0</v>
      </c>
      <c r="AZ115" s="281">
        <v>0</v>
      </c>
      <c r="BA115" s="281">
        <v>0</v>
      </c>
      <c r="BB115" s="281">
        <v>0</v>
      </c>
      <c r="BC115" s="281">
        <v>0</v>
      </c>
      <c r="BD115" s="281">
        <v>0</v>
      </c>
      <c r="BE115" s="281">
        <v>0</v>
      </c>
      <c r="BF115" s="281">
        <v>0</v>
      </c>
      <c r="BG115" s="281">
        <v>0</v>
      </c>
      <c r="BH115" s="281">
        <v>0</v>
      </c>
      <c r="BI115" s="281">
        <v>0</v>
      </c>
      <c r="BJ115" s="281">
        <v>0</v>
      </c>
      <c r="BK115" s="289">
        <v>-4.0999999999999996</v>
      </c>
      <c r="BL115" s="281">
        <f>BN115-BK115-BJ115</f>
        <v>4.0999999999999996</v>
      </c>
      <c r="BM115" s="281">
        <v>0</v>
      </c>
      <c r="BN115" s="281">
        <f>+BM115+BJ115</f>
        <v>0</v>
      </c>
      <c r="BO115" s="289">
        <v>0</v>
      </c>
      <c r="BP115" s="289">
        <v>0</v>
      </c>
      <c r="BQ115" s="281">
        <v>0</v>
      </c>
      <c r="BR115" s="289">
        <v>0</v>
      </c>
      <c r="BS115" s="289">
        <v>0</v>
      </c>
      <c r="BT115" s="281">
        <v>0</v>
      </c>
      <c r="BU115" s="281">
        <v>0</v>
      </c>
      <c r="BV115" s="289">
        <f>-0.5</f>
        <v>-0.5</v>
      </c>
      <c r="BW115" s="289">
        <f>0</f>
        <v>0</v>
      </c>
      <c r="BX115" s="281">
        <f>BW115+BV115</f>
        <v>-0.5</v>
      </c>
      <c r="BY115" s="281">
        <v>0</v>
      </c>
      <c r="BZ115" s="289">
        <f>-0.6-BY115-BX115</f>
        <v>-9.9999999999999978E-2</v>
      </c>
      <c r="CA115" s="281">
        <f t="shared" si="311"/>
        <v>-9.9999999999999978E-2</v>
      </c>
      <c r="CB115" s="281">
        <f t="shared" si="312"/>
        <v>-0.6</v>
      </c>
      <c r="CC115" s="289">
        <v>0</v>
      </c>
      <c r="CD115" s="289">
        <v>0</v>
      </c>
      <c r="CE115" s="281">
        <f>CD115+CC115</f>
        <v>0</v>
      </c>
      <c r="CF115" s="289">
        <v>0</v>
      </c>
      <c r="CG115" s="281">
        <f>-5.1-CE115-CF115</f>
        <v>-5.0999999999999996</v>
      </c>
      <c r="CH115" s="281">
        <f t="shared" si="313"/>
        <v>-5.0999999999999996</v>
      </c>
      <c r="CI115" s="281">
        <f t="shared" si="314"/>
        <v>-5.0999999999999996</v>
      </c>
      <c r="CJ115" s="289">
        <v>0</v>
      </c>
      <c r="CK115" s="281">
        <v>0</v>
      </c>
      <c r="CL115" s="281">
        <f>CK115+CJ115</f>
        <v>0</v>
      </c>
      <c r="CM115" s="281">
        <v>0</v>
      </c>
      <c r="CN115" s="281">
        <f>CL115-CM115</f>
        <v>0</v>
      </c>
      <c r="CO115" s="281">
        <f t="shared" si="315"/>
        <v>0</v>
      </c>
      <c r="CP115" s="282">
        <f t="shared" si="316"/>
        <v>0</v>
      </c>
      <c r="CQ115" s="290">
        <f>-558.7</f>
        <v>-558.70000000000005</v>
      </c>
      <c r="CR115" s="290">
        <v>0</v>
      </c>
      <c r="CS115" s="282">
        <f>SUM(CQ115:CR115)</f>
        <v>-558.70000000000005</v>
      </c>
      <c r="CT115" s="282">
        <v>0</v>
      </c>
      <c r="CU115" s="290">
        <v>0</v>
      </c>
      <c r="CV115" s="282">
        <v>0</v>
      </c>
      <c r="CW115" s="282">
        <f>SUM(CS115,CV115)</f>
        <v>-558.70000000000005</v>
      </c>
      <c r="CX115" s="290">
        <v>0</v>
      </c>
      <c r="CY115" s="290">
        <v>0</v>
      </c>
      <c r="CZ115" s="282">
        <v>0</v>
      </c>
      <c r="DA115" s="282">
        <v>0</v>
      </c>
      <c r="DB115" s="290">
        <v>0</v>
      </c>
      <c r="DC115" s="282">
        <v>0</v>
      </c>
      <c r="DD115" s="670">
        <f>SUM(CZ115,DC115)</f>
        <v>0</v>
      </c>
      <c r="DE115" s="290">
        <v>0</v>
      </c>
      <c r="DF115" s="290">
        <v>0</v>
      </c>
      <c r="DG115" s="282">
        <v>0</v>
      </c>
      <c r="DH115" s="282">
        <f>0-DG115</f>
        <v>0</v>
      </c>
      <c r="DI115" s="282">
        <f t="shared" si="317"/>
        <v>0</v>
      </c>
      <c r="DJ115" s="282">
        <f t="shared" si="318"/>
        <v>0</v>
      </c>
      <c r="DK115" s="670">
        <v>0</v>
      </c>
      <c r="DL115" s="292">
        <v>0</v>
      </c>
      <c r="DM115" s="282">
        <f t="shared" si="319"/>
        <v>0</v>
      </c>
      <c r="DN115" s="290">
        <v>0</v>
      </c>
      <c r="DO115" s="290">
        <v>0</v>
      </c>
      <c r="DP115" s="282">
        <f t="shared" si="320"/>
        <v>0</v>
      </c>
      <c r="DQ115" s="282">
        <f t="shared" si="321"/>
        <v>0</v>
      </c>
      <c r="DR115" s="670">
        <v>0</v>
      </c>
      <c r="DS115" s="290">
        <v>-40.9</v>
      </c>
      <c r="DT115" s="282">
        <f t="shared" si="322"/>
        <v>40.9</v>
      </c>
      <c r="DU115" s="290">
        <v>0</v>
      </c>
      <c r="DV115" s="290">
        <v>0</v>
      </c>
      <c r="DW115" s="282">
        <f t="shared" si="323"/>
        <v>0</v>
      </c>
      <c r="DX115" s="282">
        <f t="shared" si="324"/>
        <v>0</v>
      </c>
      <c r="DY115" s="670">
        <v>0</v>
      </c>
      <c r="DZ115" s="290">
        <v>-20.100000000000001</v>
      </c>
      <c r="EA115" s="282">
        <f t="shared" si="325"/>
        <v>20.100000000000001</v>
      </c>
      <c r="EB115" s="290">
        <v>0</v>
      </c>
      <c r="EC115" s="317">
        <v>0</v>
      </c>
      <c r="ED115" s="282">
        <f t="shared" si="326"/>
        <v>0</v>
      </c>
      <c r="EE115" s="282">
        <f t="shared" si="327"/>
        <v>0</v>
      </c>
      <c r="EF115" s="670">
        <v>0</v>
      </c>
      <c r="EG115" s="290">
        <f>-58.8+55</f>
        <v>-3.7999999999999972</v>
      </c>
      <c r="EH115" s="282">
        <f t="shared" si="328"/>
        <v>3.7999999999999972</v>
      </c>
      <c r="EI115" s="290">
        <v>0</v>
      </c>
      <c r="EJ115" s="317">
        <v>0</v>
      </c>
      <c r="EK115" s="282">
        <f t="shared" si="329"/>
        <v>0</v>
      </c>
      <c r="EL115" s="282">
        <f t="shared" si="330"/>
        <v>0</v>
      </c>
      <c r="EM115" s="670">
        <v>0</v>
      </c>
      <c r="EN115" s="290">
        <f>-56.6+56.6</f>
        <v>0</v>
      </c>
      <c r="EO115" s="282">
        <f t="shared" si="331"/>
        <v>-3919.8</v>
      </c>
      <c r="EP115" s="290">
        <v>-3919.8</v>
      </c>
      <c r="EQ115" s="728">
        <f>-3919.8-EP115</f>
        <v>0</v>
      </c>
      <c r="ER115" s="282">
        <v>0</v>
      </c>
      <c r="ES115" s="282">
        <f>EQ115+ER115</f>
        <v>0</v>
      </c>
      <c r="ET115" s="732">
        <f>EP115+ES115</f>
        <v>-3919.8</v>
      </c>
      <c r="EU115" s="282">
        <v>0</v>
      </c>
      <c r="EV115" s="282">
        <v>0</v>
      </c>
      <c r="EW115" s="282">
        <f>EU115+EV115</f>
        <v>0</v>
      </c>
      <c r="EX115" s="282">
        <v>0</v>
      </c>
      <c r="EY115" s="282">
        <v>0</v>
      </c>
      <c r="EZ115" s="282">
        <f>EX115+EY115</f>
        <v>0</v>
      </c>
      <c r="FA115" s="590">
        <f>EW115+EZ115</f>
        <v>0</v>
      </c>
      <c r="FB115" s="282">
        <v>0</v>
      </c>
      <c r="FC115" s="282">
        <v>0</v>
      </c>
      <c r="FD115" s="282">
        <f>FB115+FC115</f>
        <v>0</v>
      </c>
      <c r="FE115" s="282">
        <v>0</v>
      </c>
      <c r="FF115" s="282">
        <v>0</v>
      </c>
      <c r="FG115" s="282">
        <f>FE115+FF115</f>
        <v>0</v>
      </c>
      <c r="FH115" s="590">
        <f>FD115+FG115</f>
        <v>0</v>
      </c>
      <c r="FI115" s="282">
        <v>0</v>
      </c>
      <c r="FJ115" s="282">
        <v>0</v>
      </c>
      <c r="FK115" s="282">
        <f>FI115+FJ115</f>
        <v>0</v>
      </c>
      <c r="FL115" s="282">
        <v>0</v>
      </c>
      <c r="FM115" s="282">
        <v>0</v>
      </c>
      <c r="FN115" s="282">
        <f>FL115+FM115</f>
        <v>0</v>
      </c>
      <c r="FO115" s="590">
        <f>FK115+FN115</f>
        <v>0</v>
      </c>
      <c r="FP115" s="282">
        <v>0</v>
      </c>
      <c r="FQ115" s="282">
        <v>0</v>
      </c>
      <c r="FR115" s="282">
        <f>FP115+FQ115</f>
        <v>0</v>
      </c>
      <c r="FS115" s="282">
        <v>0</v>
      </c>
      <c r="FT115" s="282">
        <v>0</v>
      </c>
      <c r="FU115" s="282">
        <f>FS115+FT115</f>
        <v>0</v>
      </c>
      <c r="FV115" s="590">
        <f>FR115+FU115</f>
        <v>0</v>
      </c>
    </row>
    <row r="116" spans="1:280" outlineLevel="1" x14ac:dyDescent="0.3">
      <c r="B116" s="279" t="s">
        <v>474</v>
      </c>
      <c r="C116" s="280" t="s">
        <v>226</v>
      </c>
      <c r="D116" s="289">
        <v>0</v>
      </c>
      <c r="E116" s="281">
        <f>F116-D116</f>
        <v>2.9</v>
      </c>
      <c r="F116" s="289">
        <v>2.9</v>
      </c>
      <c r="G116" s="289">
        <v>0</v>
      </c>
      <c r="H116" s="281">
        <f>I116-G116</f>
        <v>5.0999999999999996</v>
      </c>
      <c r="I116" s="281">
        <f>J116-F116</f>
        <v>5.0999999999999996</v>
      </c>
      <c r="J116" s="289">
        <v>8</v>
      </c>
      <c r="K116" s="289">
        <v>0</v>
      </c>
      <c r="L116" s="281">
        <f>M116-K116</f>
        <v>0</v>
      </c>
      <c r="M116" s="289">
        <v>0</v>
      </c>
      <c r="N116" s="289">
        <v>0</v>
      </c>
      <c r="O116" s="281">
        <f>P116-N116</f>
        <v>0</v>
      </c>
      <c r="P116" s="281">
        <f>Q116-M116</f>
        <v>0</v>
      </c>
      <c r="Q116" s="289">
        <v>0</v>
      </c>
      <c r="R116" s="289">
        <v>0</v>
      </c>
      <c r="S116" s="281">
        <f>T116-R116</f>
        <v>0</v>
      </c>
      <c r="T116" s="289">
        <v>0</v>
      </c>
      <c r="U116" s="289">
        <v>0</v>
      </c>
      <c r="V116" s="281">
        <f>W116-U116</f>
        <v>0</v>
      </c>
      <c r="W116" s="281">
        <f>X116-T116</f>
        <v>0</v>
      </c>
      <c r="X116" s="289">
        <v>0</v>
      </c>
      <c r="Y116" s="289">
        <v>0</v>
      </c>
      <c r="Z116" s="281">
        <f>AA116-Y116</f>
        <v>0</v>
      </c>
      <c r="AA116" s="289">
        <v>0</v>
      </c>
      <c r="AB116" s="289">
        <v>0</v>
      </c>
      <c r="AC116" s="281">
        <f>AD116-AB116</f>
        <v>0</v>
      </c>
      <c r="AD116" s="281">
        <f>AE116-AA116</f>
        <v>0</v>
      </c>
      <c r="AE116" s="326"/>
      <c r="AF116" s="289">
        <v>0</v>
      </c>
      <c r="AG116" s="281">
        <f>AH116-AF116</f>
        <v>0</v>
      </c>
      <c r="AH116" s="289">
        <v>0</v>
      </c>
      <c r="AI116" s="281"/>
      <c r="AJ116" s="281">
        <f>AK116-AI116</f>
        <v>0</v>
      </c>
      <c r="AK116" s="281">
        <f>AL116-AH116</f>
        <v>0</v>
      </c>
      <c r="AL116" s="326"/>
      <c r="AM116" s="289">
        <v>0.2</v>
      </c>
      <c r="AN116" s="281">
        <f>AO116-AM116</f>
        <v>0.39999999999999997</v>
      </c>
      <c r="AO116" s="289">
        <v>0.6</v>
      </c>
      <c r="AP116" s="289">
        <v>0</v>
      </c>
      <c r="AQ116" s="281">
        <f t="shared" si="309"/>
        <v>9.9999999999999978E-2</v>
      </c>
      <c r="AR116" s="281">
        <f t="shared" si="310"/>
        <v>9.9999999999999978E-2</v>
      </c>
      <c r="AS116" s="289">
        <v>0.7</v>
      </c>
      <c r="AT116" s="289">
        <v>0.1</v>
      </c>
      <c r="AU116" s="281">
        <f>+AV116-AT116</f>
        <v>0.1</v>
      </c>
      <c r="AV116" s="289">
        <v>0.2</v>
      </c>
      <c r="AW116" s="289">
        <v>0</v>
      </c>
      <c r="AX116" s="281">
        <f>+AY116-AW116</f>
        <v>9.9999999999999978E-2</v>
      </c>
      <c r="AY116" s="281">
        <f>+AZ116-AV116</f>
        <v>9.9999999999999978E-2</v>
      </c>
      <c r="AZ116" s="289">
        <v>0.3</v>
      </c>
      <c r="BA116" s="289">
        <v>0</v>
      </c>
      <c r="BB116" s="289">
        <v>0.1</v>
      </c>
      <c r="BC116" s="281">
        <f>BB116+BA116</f>
        <v>0.1</v>
      </c>
      <c r="BD116" s="281">
        <f>0.5-BC116</f>
        <v>0.4</v>
      </c>
      <c r="BE116" s="281">
        <f>+BF116-BD116</f>
        <v>0.8999999999999998</v>
      </c>
      <c r="BF116" s="281">
        <f>1.4-BC116</f>
        <v>1.2999999999999998</v>
      </c>
      <c r="BG116" s="281">
        <f>BF116+BC116</f>
        <v>1.4</v>
      </c>
      <c r="BH116" s="289">
        <v>0.4</v>
      </c>
      <c r="BI116" s="281">
        <f>+BJ116-BH116</f>
        <v>9.9999999999999978E-2</v>
      </c>
      <c r="BJ116" s="289">
        <v>0.5</v>
      </c>
      <c r="BK116" s="289">
        <f>0.6-BJ116</f>
        <v>9.9999999999999978E-2</v>
      </c>
      <c r="BL116" s="289">
        <v>0</v>
      </c>
      <c r="BM116" s="281">
        <f>BL116+BK116</f>
        <v>9.9999999999999978E-2</v>
      </c>
      <c r="BN116" s="281">
        <f>+BM116+BJ116</f>
        <v>0.6</v>
      </c>
      <c r="BO116" s="289">
        <v>0</v>
      </c>
      <c r="BP116" s="289">
        <v>0</v>
      </c>
      <c r="BQ116" s="281">
        <f>BP116+BO116</f>
        <v>0</v>
      </c>
      <c r="BR116" s="289">
        <v>0</v>
      </c>
      <c r="BS116" s="289">
        <v>0</v>
      </c>
      <c r="BT116" s="281">
        <f>BS116+BR116</f>
        <v>0</v>
      </c>
      <c r="BU116" s="281">
        <f>BT116+BQ116</f>
        <v>0</v>
      </c>
      <c r="BV116" s="289">
        <f>3.7</f>
        <v>3.7</v>
      </c>
      <c r="BW116" s="289">
        <f>10.4-BV116</f>
        <v>6.7</v>
      </c>
      <c r="BX116" s="281">
        <f>BW116+BV116</f>
        <v>10.4</v>
      </c>
      <c r="BY116" s="289">
        <f>10.4-BX116</f>
        <v>0</v>
      </c>
      <c r="BZ116" s="289">
        <f>10.4-BY116-BX116</f>
        <v>0</v>
      </c>
      <c r="CA116" s="281">
        <f t="shared" si="311"/>
        <v>0</v>
      </c>
      <c r="CB116" s="281">
        <f t="shared" si="312"/>
        <v>10.4</v>
      </c>
      <c r="CC116" s="289">
        <v>0</v>
      </c>
      <c r="CD116" s="289">
        <v>0</v>
      </c>
      <c r="CE116" s="281">
        <f>CD116+CC116</f>
        <v>0</v>
      </c>
      <c r="CF116" s="289">
        <v>0</v>
      </c>
      <c r="CG116" s="289">
        <v>0</v>
      </c>
      <c r="CH116" s="281">
        <f t="shared" si="313"/>
        <v>0</v>
      </c>
      <c r="CI116" s="281">
        <f t="shared" si="314"/>
        <v>0</v>
      </c>
      <c r="CJ116" s="289">
        <f>7.9</f>
        <v>7.9</v>
      </c>
      <c r="CK116" s="401">
        <v>0</v>
      </c>
      <c r="CL116" s="281">
        <f>CK116+CJ116</f>
        <v>7.9</v>
      </c>
      <c r="CM116" s="401">
        <v>0</v>
      </c>
      <c r="CN116" s="289">
        <v>0</v>
      </c>
      <c r="CO116" s="281">
        <f t="shared" si="315"/>
        <v>0</v>
      </c>
      <c r="CP116" s="282">
        <f t="shared" si="316"/>
        <v>7.9</v>
      </c>
      <c r="CQ116" s="290">
        <v>38.4</v>
      </c>
      <c r="CR116" s="290">
        <v>0</v>
      </c>
      <c r="CS116" s="282">
        <f>CR116+CQ116</f>
        <v>38.4</v>
      </c>
      <c r="CT116" s="325">
        <v>0</v>
      </c>
      <c r="CU116" s="290">
        <v>0</v>
      </c>
      <c r="CV116" s="282">
        <f>CU116+CT116</f>
        <v>0</v>
      </c>
      <c r="CW116" s="282">
        <f>CV116+CS116</f>
        <v>38.4</v>
      </c>
      <c r="CX116" s="290">
        <v>4.5</v>
      </c>
      <c r="CY116" s="290">
        <f>8-CX116</f>
        <v>3.5</v>
      </c>
      <c r="CZ116" s="282">
        <f>CY116+CX116</f>
        <v>8</v>
      </c>
      <c r="DA116" s="325">
        <v>0</v>
      </c>
      <c r="DB116" s="290">
        <v>0</v>
      </c>
      <c r="DC116" s="282">
        <f>DB116+DA116</f>
        <v>0</v>
      </c>
      <c r="DD116" s="670">
        <f>DC116+CZ116</f>
        <v>8</v>
      </c>
      <c r="DE116" s="290">
        <v>0</v>
      </c>
      <c r="DF116" s="290">
        <v>1</v>
      </c>
      <c r="DG116" s="282">
        <f>DF116+DE116</f>
        <v>1</v>
      </c>
      <c r="DH116" s="325">
        <f>1-DG116</f>
        <v>0</v>
      </c>
      <c r="DI116" s="282">
        <f t="shared" si="317"/>
        <v>0.60000000000000009</v>
      </c>
      <c r="DJ116" s="282">
        <f t="shared" si="318"/>
        <v>0.60000000000000009</v>
      </c>
      <c r="DK116" s="670">
        <v>1.6</v>
      </c>
      <c r="DL116" s="292">
        <v>0</v>
      </c>
      <c r="DM116" s="282">
        <f t="shared" si="319"/>
        <v>0</v>
      </c>
      <c r="DN116" s="290">
        <v>0</v>
      </c>
      <c r="DO116" s="290">
        <v>0</v>
      </c>
      <c r="DP116" s="282">
        <f t="shared" si="320"/>
        <v>0</v>
      </c>
      <c r="DQ116" s="282">
        <f t="shared" si="321"/>
        <v>0</v>
      </c>
      <c r="DR116" s="670">
        <v>0</v>
      </c>
      <c r="DS116" s="290">
        <v>0</v>
      </c>
      <c r="DT116" s="282">
        <f t="shared" si="322"/>
        <v>14.1</v>
      </c>
      <c r="DU116" s="290">
        <v>14.1</v>
      </c>
      <c r="DV116" s="290">
        <v>0</v>
      </c>
      <c r="DW116" s="282">
        <f t="shared" si="323"/>
        <v>0</v>
      </c>
      <c r="DX116" s="282">
        <f t="shared" si="324"/>
        <v>0</v>
      </c>
      <c r="DY116" s="670">
        <f>14.1</f>
        <v>14.1</v>
      </c>
      <c r="DZ116" s="290">
        <v>0</v>
      </c>
      <c r="EA116" s="282">
        <f t="shared" si="325"/>
        <v>4.0999999999999996</v>
      </c>
      <c r="EB116" s="290">
        <v>4.0999999999999996</v>
      </c>
      <c r="EC116" s="317">
        <v>0</v>
      </c>
      <c r="ED116" s="282">
        <f t="shared" si="326"/>
        <v>0</v>
      </c>
      <c r="EE116" s="282">
        <f t="shared" si="327"/>
        <v>0</v>
      </c>
      <c r="EF116" s="670">
        <v>4.0999999999999996</v>
      </c>
      <c r="EG116" s="290">
        <v>0</v>
      </c>
      <c r="EH116" s="282">
        <f t="shared" si="328"/>
        <v>0</v>
      </c>
      <c r="EI116" s="290">
        <v>0</v>
      </c>
      <c r="EJ116" s="317">
        <v>0</v>
      </c>
      <c r="EK116" s="282">
        <f t="shared" si="329"/>
        <v>0.4</v>
      </c>
      <c r="EL116" s="282">
        <f t="shared" si="330"/>
        <v>0.4</v>
      </c>
      <c r="EM116" s="670">
        <v>0.4</v>
      </c>
      <c r="EN116" s="290">
        <v>0</v>
      </c>
      <c r="EO116" s="282">
        <f t="shared" si="331"/>
        <v>0</v>
      </c>
      <c r="EP116" s="290">
        <v>0</v>
      </c>
      <c r="EQ116" s="728">
        <f>108.2-EP116</f>
        <v>108.2</v>
      </c>
      <c r="ER116" s="325">
        <v>0</v>
      </c>
      <c r="ES116" s="282">
        <f>ER116+EQ116</f>
        <v>108.2</v>
      </c>
      <c r="ET116" s="732">
        <f>ES116+EP116</f>
        <v>108.2</v>
      </c>
      <c r="EU116" s="325">
        <v>0</v>
      </c>
      <c r="EV116" s="325">
        <v>0</v>
      </c>
      <c r="EW116" s="282">
        <f>EV116+EU116</f>
        <v>0</v>
      </c>
      <c r="EX116" s="325">
        <v>0</v>
      </c>
      <c r="EY116" s="325">
        <v>0</v>
      </c>
      <c r="EZ116" s="282">
        <f>EY116+EX116</f>
        <v>0</v>
      </c>
      <c r="FA116" s="590">
        <f>EZ116+EW116</f>
        <v>0</v>
      </c>
      <c r="FB116" s="325">
        <v>0</v>
      </c>
      <c r="FC116" s="325">
        <v>0</v>
      </c>
      <c r="FD116" s="282">
        <f>FC116+FB116</f>
        <v>0</v>
      </c>
      <c r="FE116" s="325">
        <v>0</v>
      </c>
      <c r="FF116" s="325">
        <v>0</v>
      </c>
      <c r="FG116" s="282">
        <f>FF116+FE116</f>
        <v>0</v>
      </c>
      <c r="FH116" s="590">
        <f>FG116+FD116</f>
        <v>0</v>
      </c>
      <c r="FI116" s="325">
        <v>0</v>
      </c>
      <c r="FJ116" s="325">
        <v>0</v>
      </c>
      <c r="FK116" s="282">
        <f>FJ116+FI116</f>
        <v>0</v>
      </c>
      <c r="FL116" s="325">
        <v>0</v>
      </c>
      <c r="FM116" s="325">
        <v>0</v>
      </c>
      <c r="FN116" s="282">
        <f>FM116+FL116</f>
        <v>0</v>
      </c>
      <c r="FO116" s="590">
        <f>FN116+FK116</f>
        <v>0</v>
      </c>
      <c r="FP116" s="325">
        <v>0</v>
      </c>
      <c r="FQ116" s="325">
        <v>0</v>
      </c>
      <c r="FR116" s="282">
        <f>FQ116+FP116</f>
        <v>0</v>
      </c>
      <c r="FS116" s="325">
        <v>0</v>
      </c>
      <c r="FT116" s="325">
        <v>0</v>
      </c>
      <c r="FU116" s="282">
        <f>FT116+FS116</f>
        <v>0</v>
      </c>
      <c r="FV116" s="590">
        <f>FU116+FR116</f>
        <v>0</v>
      </c>
    </row>
    <row r="117" spans="1:280" outlineLevel="1" x14ac:dyDescent="0.3">
      <c r="B117" s="279" t="s">
        <v>49</v>
      </c>
      <c r="C117" s="280" t="s">
        <v>226</v>
      </c>
      <c r="D117" s="281"/>
      <c r="E117" s="281"/>
      <c r="F117" s="281"/>
      <c r="G117" s="281"/>
      <c r="H117" s="281"/>
      <c r="I117" s="281"/>
      <c r="J117" s="281"/>
      <c r="K117" s="281"/>
      <c r="L117" s="281"/>
      <c r="M117" s="281"/>
      <c r="N117" s="281"/>
      <c r="O117" s="281"/>
      <c r="P117" s="281"/>
      <c r="Q117" s="426"/>
      <c r="R117" s="426"/>
      <c r="S117" s="426"/>
      <c r="T117" s="426"/>
      <c r="U117" s="426"/>
      <c r="V117" s="426"/>
      <c r="W117" s="426"/>
      <c r="X117" s="426"/>
      <c r="Y117" s="426"/>
      <c r="Z117" s="426"/>
      <c r="AA117" s="426"/>
      <c r="AB117" s="426"/>
      <c r="AC117" s="426"/>
      <c r="AD117" s="426"/>
      <c r="AE117" s="426"/>
      <c r="AF117" s="426"/>
      <c r="AG117" s="426"/>
      <c r="AH117" s="426"/>
      <c r="AI117" s="426"/>
      <c r="AJ117" s="426"/>
      <c r="AK117" s="426"/>
      <c r="AL117" s="426"/>
      <c r="AM117" s="426"/>
      <c r="AN117" s="426">
        <f>AO117-AM117</f>
        <v>0</v>
      </c>
      <c r="AO117" s="427">
        <v>0</v>
      </c>
      <c r="AP117" s="427">
        <v>0</v>
      </c>
      <c r="AQ117" s="426">
        <f t="shared" si="309"/>
        <v>0</v>
      </c>
      <c r="AR117" s="426">
        <f t="shared" si="310"/>
        <v>0</v>
      </c>
      <c r="AS117" s="427">
        <v>0</v>
      </c>
      <c r="AT117" s="427">
        <v>0</v>
      </c>
      <c r="AU117" s="427">
        <v>0</v>
      </c>
      <c r="AV117" s="426">
        <f>AU117+AT117</f>
        <v>0</v>
      </c>
      <c r="AW117" s="427">
        <v>0.1</v>
      </c>
      <c r="AX117" s="426">
        <f>+AY117-AW117</f>
        <v>-14.5</v>
      </c>
      <c r="AY117" s="426">
        <f>+AZ117-AV117</f>
        <v>-14.4</v>
      </c>
      <c r="AZ117" s="427">
        <v>-14.4</v>
      </c>
      <c r="BA117" s="427">
        <v>0</v>
      </c>
      <c r="BB117" s="427">
        <v>0</v>
      </c>
      <c r="BC117" s="426">
        <f>BB117+BA117</f>
        <v>0</v>
      </c>
      <c r="BD117" s="427">
        <v>0</v>
      </c>
      <c r="BE117" s="427">
        <v>0</v>
      </c>
      <c r="BF117" s="426">
        <f>BE117+BD117</f>
        <v>0</v>
      </c>
      <c r="BG117" s="426">
        <f>BF117+BC117</f>
        <v>0</v>
      </c>
      <c r="BH117" s="427">
        <v>0</v>
      </c>
      <c r="BI117" s="427">
        <v>0</v>
      </c>
      <c r="BJ117" s="426">
        <f>BI117+BH117</f>
        <v>0</v>
      </c>
      <c r="BK117" s="427">
        <v>0</v>
      </c>
      <c r="BL117" s="426">
        <f>BN117-BK117-BJ117</f>
        <v>-10.699999999999989</v>
      </c>
      <c r="BM117" s="426">
        <f>BL117+BK117</f>
        <v>-10.699999999999989</v>
      </c>
      <c r="BN117" s="426">
        <f>+BN118-SUM(BN114:BN116)</f>
        <v>-10.699999999999989</v>
      </c>
      <c r="BO117" s="427">
        <v>0</v>
      </c>
      <c r="BP117" s="427">
        <f>-0.2-BO117</f>
        <v>-0.2</v>
      </c>
      <c r="BQ117" s="426">
        <f>BP117+BO117</f>
        <v>-0.2</v>
      </c>
      <c r="BR117" s="427">
        <f>-0.6-BQ117</f>
        <v>-0.39999999999999997</v>
      </c>
      <c r="BS117" s="427">
        <f>-1.7-BR117-BQ117</f>
        <v>-1.1000000000000001</v>
      </c>
      <c r="BT117" s="426">
        <f>BS117+BR117</f>
        <v>-1.5</v>
      </c>
      <c r="BU117" s="426">
        <f>BT117+BQ117</f>
        <v>-1.7</v>
      </c>
      <c r="BV117" s="427">
        <f>-1.1</f>
        <v>-1.1000000000000001</v>
      </c>
      <c r="BW117" s="427">
        <f>-1.8-BV117</f>
        <v>-0.7</v>
      </c>
      <c r="BX117" s="426">
        <f>BW117+BV117</f>
        <v>-1.8</v>
      </c>
      <c r="BY117" s="427">
        <f>-2.5-BX117</f>
        <v>-0.7</v>
      </c>
      <c r="BZ117" s="427">
        <f>-3.2-BY117-BX117</f>
        <v>-0.7</v>
      </c>
      <c r="CA117" s="426">
        <f t="shared" si="311"/>
        <v>-1.4</v>
      </c>
      <c r="CB117" s="426">
        <f t="shared" si="312"/>
        <v>-3.2</v>
      </c>
      <c r="CC117" s="427">
        <v>-0.6</v>
      </c>
      <c r="CD117" s="427">
        <f>-1.1-CC117</f>
        <v>-0.50000000000000011</v>
      </c>
      <c r="CE117" s="426">
        <f>CD117+CC117</f>
        <v>-1.1000000000000001</v>
      </c>
      <c r="CF117" s="427">
        <f>-1.6-CD117-CC117</f>
        <v>-0.50000000000000011</v>
      </c>
      <c r="CG117" s="426">
        <f>-2-CE117-CF117</f>
        <v>-0.3999999999999998</v>
      </c>
      <c r="CH117" s="426">
        <f t="shared" si="313"/>
        <v>-0.89999999999999991</v>
      </c>
      <c r="CI117" s="426">
        <f t="shared" si="314"/>
        <v>-2</v>
      </c>
      <c r="CJ117" s="427">
        <v>-0.9</v>
      </c>
      <c r="CK117" s="427">
        <f>-1.8-CJ117</f>
        <v>-0.9</v>
      </c>
      <c r="CL117" s="426">
        <f>CK117+CJ117</f>
        <v>-1.8</v>
      </c>
      <c r="CM117" s="427">
        <f>-3.1-CK117-CJ117</f>
        <v>-1.3000000000000003</v>
      </c>
      <c r="CN117" s="427">
        <f>-4.8-CL117-CM117</f>
        <v>-1.6999999999999997</v>
      </c>
      <c r="CO117" s="426">
        <f t="shared" si="315"/>
        <v>-3</v>
      </c>
      <c r="CP117" s="428">
        <f t="shared" si="316"/>
        <v>-4.8</v>
      </c>
      <c r="CQ117" s="429">
        <f>-1.8</f>
        <v>-1.8</v>
      </c>
      <c r="CR117" s="430">
        <v>0</v>
      </c>
      <c r="CS117" s="428">
        <f>CR117+CQ117</f>
        <v>-1.8</v>
      </c>
      <c r="CT117" s="282">
        <f>CT118-SUM(CT114:CT116)</f>
        <v>-40.300000000000011</v>
      </c>
      <c r="CU117" s="429">
        <f>CU118-SUM(CU114:CU116)</f>
        <v>-1.7000000000000171</v>
      </c>
      <c r="CV117" s="428">
        <f>CU117+CT117</f>
        <v>-42.000000000000028</v>
      </c>
      <c r="CW117" s="428">
        <f>CV117+CS117</f>
        <v>-43.800000000000026</v>
      </c>
      <c r="CX117" s="429">
        <f>-2+17.5</f>
        <v>15.5</v>
      </c>
      <c r="CY117" s="429">
        <f>-58-CX117</f>
        <v>-73.5</v>
      </c>
      <c r="CZ117" s="428">
        <f>CY117+CX117</f>
        <v>-58</v>
      </c>
      <c r="DA117" s="282">
        <v>0</v>
      </c>
      <c r="DB117" s="429">
        <f>DB118-SUM(DB114:DB116)</f>
        <v>40.000000000000014</v>
      </c>
      <c r="DC117" s="428">
        <f>DB117+DA117</f>
        <v>40.000000000000014</v>
      </c>
      <c r="DD117" s="672">
        <f>DC117+CZ117</f>
        <v>-17.999999999999986</v>
      </c>
      <c r="DE117" s="429">
        <f>+-2.4+23.2</f>
        <v>20.8</v>
      </c>
      <c r="DF117" s="429">
        <f>(23.2-4.9)-DE117</f>
        <v>-2.5000000000000036</v>
      </c>
      <c r="DG117" s="428">
        <f>DF117+DE117</f>
        <v>18.299999999999997</v>
      </c>
      <c r="DH117" s="282">
        <f>+-7.3-25+23.2-DG117</f>
        <v>-27.399999999999995</v>
      </c>
      <c r="DI117" s="428">
        <f t="shared" si="317"/>
        <v>-2.2000000000000028</v>
      </c>
      <c r="DJ117" s="428">
        <f t="shared" si="318"/>
        <v>-29.599999999999998</v>
      </c>
      <c r="DK117" s="672">
        <f>+-25+23.2-9.5</f>
        <v>-11.3</v>
      </c>
      <c r="DL117" s="431">
        <v>-0.5</v>
      </c>
      <c r="DM117" s="282">
        <f t="shared" si="319"/>
        <v>25.900000000000002</v>
      </c>
      <c r="DN117" s="429">
        <f>26.1-0.7</f>
        <v>25.400000000000002</v>
      </c>
      <c r="DO117" s="429">
        <f>+-21.8+26.1-1.2-DN117</f>
        <v>-22.3</v>
      </c>
      <c r="DP117" s="428">
        <f t="shared" si="320"/>
        <v>-93.500000000000014</v>
      </c>
      <c r="DQ117" s="428">
        <f t="shared" si="321"/>
        <v>-115.80000000000001</v>
      </c>
      <c r="DR117" s="672">
        <f>+-114.6-1.9+26.1</f>
        <v>-90.4</v>
      </c>
      <c r="DS117" s="429">
        <v>-0.8</v>
      </c>
      <c r="DT117" s="282">
        <f t="shared" si="322"/>
        <v>-78.000000000000014</v>
      </c>
      <c r="DU117" s="429">
        <f>-2.4+-76.4</f>
        <v>-78.800000000000011</v>
      </c>
      <c r="DV117" s="290">
        <f>+-76.4+0-4.4-DU117</f>
        <v>-2</v>
      </c>
      <c r="DW117" s="428">
        <f t="shared" si="323"/>
        <v>-2.0999999999999801</v>
      </c>
      <c r="DX117" s="428">
        <f t="shared" si="324"/>
        <v>-4.0999999999999801</v>
      </c>
      <c r="DY117" s="672">
        <f>-8.5+-180.1+105.7</f>
        <v>-82.899999999999991</v>
      </c>
      <c r="DZ117" s="429">
        <v>-3.8</v>
      </c>
      <c r="EA117" s="282">
        <f t="shared" si="325"/>
        <v>-16.999999999999996</v>
      </c>
      <c r="EB117" s="429">
        <f>-8+-60.5+47.7</f>
        <v>-20.799999999999997</v>
      </c>
      <c r="EC117" s="317">
        <f>-104.8+92.2-13.3-EB117</f>
        <v>-5.0999999999999979</v>
      </c>
      <c r="ED117" s="428">
        <f t="shared" si="326"/>
        <v>0.50000000000001776</v>
      </c>
      <c r="EE117" s="428">
        <f t="shared" si="327"/>
        <v>-4.5999999999999801</v>
      </c>
      <c r="EF117" s="672">
        <f>-19.5+-144.2+138.3</f>
        <v>-25.399999999999977</v>
      </c>
      <c r="EG117" s="429">
        <v>-6.2</v>
      </c>
      <c r="EH117" s="282">
        <f t="shared" si="328"/>
        <v>-10.000000000000011</v>
      </c>
      <c r="EI117" s="429">
        <f>-12.8+-98.4+94.6+0.4</f>
        <v>-16.20000000000001</v>
      </c>
      <c r="EJ117" s="317">
        <f>-145.2+141.4-16.7+0.4-EI117</f>
        <v>-3.8999999999999737</v>
      </c>
      <c r="EK117" s="428">
        <f t="shared" si="329"/>
        <v>-4.800000000000022</v>
      </c>
      <c r="EL117" s="428">
        <f t="shared" si="330"/>
        <v>-8.6999999999999957</v>
      </c>
      <c r="EM117" s="672">
        <f>-21+-183.1+179.2</f>
        <v>-24.900000000000006</v>
      </c>
      <c r="EN117" s="429">
        <v>-2.1</v>
      </c>
      <c r="EO117" s="282">
        <f t="shared" si="331"/>
        <v>-2.9999999999999942</v>
      </c>
      <c r="EP117" s="429">
        <f>-5.1+-96.4+96.4</f>
        <v>-5.0999999999999943</v>
      </c>
      <c r="EQ117" s="729">
        <f>(-6.1+-141.7+141.7)-EP117</f>
        <v>-1</v>
      </c>
      <c r="ER117" s="430">
        <v>0</v>
      </c>
      <c r="ES117" s="428">
        <f>ER117+EQ117</f>
        <v>-1</v>
      </c>
      <c r="ET117" s="734">
        <f>ES117+EP117</f>
        <v>-6.0999999999999943</v>
      </c>
      <c r="EU117" s="430">
        <v>0</v>
      </c>
      <c r="EV117" s="430">
        <v>0</v>
      </c>
      <c r="EW117" s="428">
        <f>EV117+EU117</f>
        <v>0</v>
      </c>
      <c r="EX117" s="430">
        <v>0</v>
      </c>
      <c r="EY117" s="430">
        <v>0</v>
      </c>
      <c r="EZ117" s="428">
        <f>EY117+EX117</f>
        <v>0</v>
      </c>
      <c r="FA117" s="605">
        <f>EZ117+EW117</f>
        <v>0</v>
      </c>
      <c r="FB117" s="430">
        <v>0</v>
      </c>
      <c r="FC117" s="430">
        <v>0</v>
      </c>
      <c r="FD117" s="428">
        <f>FC117+FB117</f>
        <v>0</v>
      </c>
      <c r="FE117" s="430">
        <v>0</v>
      </c>
      <c r="FF117" s="430">
        <v>0</v>
      </c>
      <c r="FG117" s="428">
        <f>FF117+FE117</f>
        <v>0</v>
      </c>
      <c r="FH117" s="605">
        <f>FG117+FD117</f>
        <v>0</v>
      </c>
      <c r="FI117" s="430">
        <v>0</v>
      </c>
      <c r="FJ117" s="430">
        <v>0</v>
      </c>
      <c r="FK117" s="428">
        <f>FJ117+FI117</f>
        <v>0</v>
      </c>
      <c r="FL117" s="430">
        <v>0</v>
      </c>
      <c r="FM117" s="430">
        <v>0</v>
      </c>
      <c r="FN117" s="428">
        <f>FM117+FL117</f>
        <v>0</v>
      </c>
      <c r="FO117" s="605">
        <f>FN117+FK117</f>
        <v>0</v>
      </c>
      <c r="FP117" s="430">
        <v>0</v>
      </c>
      <c r="FQ117" s="430">
        <v>0</v>
      </c>
      <c r="FR117" s="428">
        <f>FQ117+FP117</f>
        <v>0</v>
      </c>
      <c r="FS117" s="430">
        <v>0</v>
      </c>
      <c r="FT117" s="430">
        <v>0</v>
      </c>
      <c r="FU117" s="428">
        <f>FT117+FS117</f>
        <v>0</v>
      </c>
      <c r="FV117" s="605">
        <f>FU117+FR117</f>
        <v>0</v>
      </c>
    </row>
    <row r="118" spans="1:280" s="247" customFormat="1" outlineLevel="1" x14ac:dyDescent="0.3">
      <c r="A118" s="302"/>
      <c r="B118" s="321" t="s">
        <v>475</v>
      </c>
      <c r="C118" s="294" t="s">
        <v>226</v>
      </c>
      <c r="D118" s="297">
        <f t="shared" ref="D118:AK118" si="339">SUM(D114:D117)</f>
        <v>-34</v>
      </c>
      <c r="E118" s="297">
        <f t="shared" si="339"/>
        <v>-38.1</v>
      </c>
      <c r="F118" s="297">
        <f t="shared" si="339"/>
        <v>-72.099999999999994</v>
      </c>
      <c r="G118" s="297">
        <f t="shared" si="339"/>
        <v>-48.8</v>
      </c>
      <c r="H118" s="297">
        <f t="shared" si="339"/>
        <v>-33.1</v>
      </c>
      <c r="I118" s="297">
        <f t="shared" si="339"/>
        <v>-81.900000000000006</v>
      </c>
      <c r="J118" s="297">
        <f t="shared" si="339"/>
        <v>-154</v>
      </c>
      <c r="K118" s="297">
        <f t="shared" si="339"/>
        <v>-35.5</v>
      </c>
      <c r="L118" s="297">
        <f t="shared" si="339"/>
        <v>-25.9</v>
      </c>
      <c r="M118" s="297">
        <f t="shared" si="339"/>
        <v>-61.4</v>
      </c>
      <c r="N118" s="297">
        <f t="shared" si="339"/>
        <v>-18.000000000000007</v>
      </c>
      <c r="O118" s="297">
        <f t="shared" si="339"/>
        <v>-13.199999999999989</v>
      </c>
      <c r="P118" s="297">
        <f t="shared" si="339"/>
        <v>-31.199999999999996</v>
      </c>
      <c r="Q118" s="432">
        <f t="shared" si="339"/>
        <v>-92.6</v>
      </c>
      <c r="R118" s="432">
        <f t="shared" si="339"/>
        <v>-16.5</v>
      </c>
      <c r="S118" s="432">
        <f t="shared" si="339"/>
        <v>-7.6999999999999993</v>
      </c>
      <c r="T118" s="432">
        <f t="shared" si="339"/>
        <v>-24.2</v>
      </c>
      <c r="U118" s="432">
        <f t="shared" si="339"/>
        <v>-4.5</v>
      </c>
      <c r="V118" s="432">
        <f t="shared" si="339"/>
        <v>-9.8000000000000007</v>
      </c>
      <c r="W118" s="432">
        <f t="shared" si="339"/>
        <v>-14.3</v>
      </c>
      <c r="X118" s="432">
        <f t="shared" si="339"/>
        <v>-38.5</v>
      </c>
      <c r="Y118" s="432">
        <f t="shared" si="339"/>
        <v>-3.8</v>
      </c>
      <c r="Z118" s="432">
        <f t="shared" si="339"/>
        <v>-5.6000000000000005</v>
      </c>
      <c r="AA118" s="432">
        <f t="shared" si="339"/>
        <v>-9.4</v>
      </c>
      <c r="AB118" s="432">
        <f t="shared" si="339"/>
        <v>-7.3999999999999995</v>
      </c>
      <c r="AC118" s="432">
        <f t="shared" si="339"/>
        <v>-9.3000000000000043</v>
      </c>
      <c r="AD118" s="432">
        <f t="shared" si="339"/>
        <v>-16.700000000000003</v>
      </c>
      <c r="AE118" s="432">
        <f t="shared" si="339"/>
        <v>-26.1</v>
      </c>
      <c r="AF118" s="432">
        <f t="shared" si="339"/>
        <v>-9.6999999999999993</v>
      </c>
      <c r="AG118" s="432">
        <f t="shared" si="339"/>
        <v>-11.2</v>
      </c>
      <c r="AH118" s="432">
        <f t="shared" si="339"/>
        <v>-20.9</v>
      </c>
      <c r="AI118" s="432">
        <f t="shared" si="339"/>
        <v>-14.300000000000004</v>
      </c>
      <c r="AJ118" s="432">
        <f t="shared" si="339"/>
        <v>-15.299999999999997</v>
      </c>
      <c r="AK118" s="432">
        <f t="shared" si="339"/>
        <v>-29.6</v>
      </c>
      <c r="AL118" s="432">
        <f t="shared" ref="AL118:CX118" si="340">SUM(AL114:AL117)</f>
        <v>-50.5</v>
      </c>
      <c r="AM118" s="432">
        <f t="shared" si="340"/>
        <v>-13.3</v>
      </c>
      <c r="AN118" s="432">
        <f t="shared" si="340"/>
        <v>-10.9</v>
      </c>
      <c r="AO118" s="432">
        <f t="shared" si="340"/>
        <v>-24.2</v>
      </c>
      <c r="AP118" s="432">
        <f t="shared" si="340"/>
        <v>-12.499999999999996</v>
      </c>
      <c r="AQ118" s="432">
        <f t="shared" si="340"/>
        <v>-12.9</v>
      </c>
      <c r="AR118" s="432">
        <f t="shared" si="340"/>
        <v>-25.399999999999995</v>
      </c>
      <c r="AS118" s="432">
        <f t="shared" si="340"/>
        <v>-49.599999999999994</v>
      </c>
      <c r="AT118" s="432">
        <f t="shared" si="340"/>
        <v>-12</v>
      </c>
      <c r="AU118" s="432">
        <f t="shared" si="340"/>
        <v>-6.1999999999999993</v>
      </c>
      <c r="AV118" s="432">
        <f t="shared" si="340"/>
        <v>-18.2</v>
      </c>
      <c r="AW118" s="432">
        <f t="shared" si="340"/>
        <v>-7.0000000000000027</v>
      </c>
      <c r="AX118" s="432">
        <f t="shared" si="340"/>
        <v>-24.700000000000003</v>
      </c>
      <c r="AY118" s="432">
        <f t="shared" si="340"/>
        <v>-31.700000000000003</v>
      </c>
      <c r="AZ118" s="432">
        <f>SUM(AZ114:AZ117)</f>
        <v>-49.9</v>
      </c>
      <c r="BA118" s="432">
        <f t="shared" si="340"/>
        <v>-15.2</v>
      </c>
      <c r="BB118" s="432">
        <f t="shared" si="340"/>
        <v>-10.200000000000001</v>
      </c>
      <c r="BC118" s="432">
        <f t="shared" si="340"/>
        <v>-25.4</v>
      </c>
      <c r="BD118" s="432">
        <f t="shared" si="340"/>
        <v>-15.900000000000004</v>
      </c>
      <c r="BE118" s="432">
        <f t="shared" si="340"/>
        <v>-18.399999999999999</v>
      </c>
      <c r="BF118" s="432">
        <f t="shared" si="340"/>
        <v>-34.300000000000004</v>
      </c>
      <c r="BG118" s="432">
        <f t="shared" si="340"/>
        <v>-59.699999999999996</v>
      </c>
      <c r="BH118" s="432">
        <f t="shared" si="340"/>
        <v>-25.700000000000003</v>
      </c>
      <c r="BI118" s="432">
        <f t="shared" si="340"/>
        <v>-18.299999999999997</v>
      </c>
      <c r="BJ118" s="432">
        <f t="shared" si="340"/>
        <v>-44</v>
      </c>
      <c r="BK118" s="432">
        <f t="shared" si="340"/>
        <v>-28</v>
      </c>
      <c r="BL118" s="432">
        <f t="shared" si="340"/>
        <v>-46.79999999999999</v>
      </c>
      <c r="BM118" s="432">
        <f t="shared" si="340"/>
        <v>-74.8</v>
      </c>
      <c r="BN118" s="432">
        <v>-118.8</v>
      </c>
      <c r="BO118" s="432">
        <f t="shared" si="340"/>
        <v>-48.6</v>
      </c>
      <c r="BP118" s="432">
        <f t="shared" si="340"/>
        <v>-111.10000000000001</v>
      </c>
      <c r="BQ118" s="432">
        <f t="shared" si="340"/>
        <v>-159.69999999999999</v>
      </c>
      <c r="BR118" s="432">
        <f t="shared" si="340"/>
        <v>-81.300000000000011</v>
      </c>
      <c r="BS118" s="432">
        <f t="shared" si="340"/>
        <v>-36.899999999999984</v>
      </c>
      <c r="BT118" s="432">
        <f t="shared" si="340"/>
        <v>-118.19999999999999</v>
      </c>
      <c r="BU118" s="432">
        <f t="shared" si="340"/>
        <v>-277.90000000000003</v>
      </c>
      <c r="BV118" s="432">
        <f t="shared" si="340"/>
        <v>-16.900000000000002</v>
      </c>
      <c r="BW118" s="432">
        <f t="shared" si="340"/>
        <v>-17.399999999999999</v>
      </c>
      <c r="BX118" s="432">
        <f t="shared" si="340"/>
        <v>-34.300000000000004</v>
      </c>
      <c r="BY118" s="432">
        <f t="shared" si="340"/>
        <v>-10.399999999999995</v>
      </c>
      <c r="BZ118" s="432">
        <f t="shared" si="340"/>
        <v>-21.900000000000002</v>
      </c>
      <c r="CA118" s="432">
        <f t="shared" si="340"/>
        <v>-32.299999999999997</v>
      </c>
      <c r="CB118" s="432">
        <f t="shared" si="340"/>
        <v>-66.599999999999994</v>
      </c>
      <c r="CC118" s="432">
        <f t="shared" si="340"/>
        <v>-18.400000000000002</v>
      </c>
      <c r="CD118" s="432">
        <f t="shared" si="340"/>
        <v>-18.3</v>
      </c>
      <c r="CE118" s="432">
        <f t="shared" si="340"/>
        <v>-36.700000000000003</v>
      </c>
      <c r="CF118" s="432">
        <f t="shared" si="340"/>
        <v>-23.4</v>
      </c>
      <c r="CG118" s="432">
        <f t="shared" si="340"/>
        <v>-48.9</v>
      </c>
      <c r="CH118" s="432">
        <f t="shared" si="340"/>
        <v>-72.3</v>
      </c>
      <c r="CI118" s="432">
        <f>SUM(CI114:CI117)</f>
        <v>-109</v>
      </c>
      <c r="CJ118" s="432">
        <f t="shared" si="340"/>
        <v>-41.1</v>
      </c>
      <c r="CK118" s="432">
        <f t="shared" si="340"/>
        <v>-36.399999999999991</v>
      </c>
      <c r="CL118" s="432">
        <f t="shared" si="340"/>
        <v>-77.499999999999986</v>
      </c>
      <c r="CM118" s="432">
        <f t="shared" si="340"/>
        <v>-66.500000000000014</v>
      </c>
      <c r="CN118" s="432">
        <f>SUM(CN114:CN117)</f>
        <v>-56.59999999999998</v>
      </c>
      <c r="CO118" s="432">
        <f>SUM(CO114:CO117)</f>
        <v>-123.1</v>
      </c>
      <c r="CP118" s="433">
        <f>SUM(CP114:CP117)</f>
        <v>-200.6</v>
      </c>
      <c r="CQ118" s="433">
        <f t="shared" si="340"/>
        <v>-595.70000000000005</v>
      </c>
      <c r="CR118" s="433">
        <f t="shared" si="340"/>
        <v>-66.400000000000006</v>
      </c>
      <c r="CS118" s="433">
        <f t="shared" si="340"/>
        <v>-662.1</v>
      </c>
      <c r="CT118" s="434">
        <f>-787.1-CS118</f>
        <v>-125</v>
      </c>
      <c r="CU118" s="433">
        <f>-865.2-SUM(CS118,CT118)</f>
        <v>-78.100000000000023</v>
      </c>
      <c r="CV118" s="433">
        <f t="shared" si="340"/>
        <v>-203.10000000000002</v>
      </c>
      <c r="CW118" s="433">
        <f t="shared" si="340"/>
        <v>-865.20000000000016</v>
      </c>
      <c r="CX118" s="433">
        <f t="shared" si="340"/>
        <v>-43.3</v>
      </c>
      <c r="CY118" s="433">
        <f t="shared" ref="CY118:DH118" si="341">SUM(CY114:CY117)</f>
        <v>-134.5</v>
      </c>
      <c r="CZ118" s="433">
        <f t="shared" si="341"/>
        <v>-177.8</v>
      </c>
      <c r="DA118" s="434">
        <f t="shared" si="341"/>
        <v>-33.600000000000009</v>
      </c>
      <c r="DB118" s="433">
        <f>+-203.8-DA118-CZ118</f>
        <v>7.6000000000000227</v>
      </c>
      <c r="DC118" s="433">
        <f>SUM(DC114:DC117)</f>
        <v>-25.999999999999986</v>
      </c>
      <c r="DD118" s="606">
        <f>SUM(DD114:DD117)</f>
        <v>-203.8</v>
      </c>
      <c r="DE118" s="435">
        <f t="shared" si="341"/>
        <v>-6.3000000000000007</v>
      </c>
      <c r="DF118" s="433">
        <f t="shared" si="341"/>
        <v>-19.100000000000005</v>
      </c>
      <c r="DG118" s="433">
        <f>SUM(DG114:DG117)</f>
        <v>-25.400000000000006</v>
      </c>
      <c r="DH118" s="434">
        <f t="shared" si="341"/>
        <v>-59.7</v>
      </c>
      <c r="DI118" s="433">
        <f t="shared" si="317"/>
        <v>-35.299999999999983</v>
      </c>
      <c r="DJ118" s="433">
        <f t="shared" si="318"/>
        <v>-94.999999999999986</v>
      </c>
      <c r="DK118" s="606">
        <f>SUM(DK114:DK117)</f>
        <v>-120.39999999999999</v>
      </c>
      <c r="DL118" s="436">
        <f t="shared" ref="DL118:FV118" si="342">SUM(DL114:DL117)</f>
        <v>-43.900000000000006</v>
      </c>
      <c r="DM118" s="433">
        <f t="shared" si="342"/>
        <v>-38.799999999999983</v>
      </c>
      <c r="DN118" s="433">
        <f t="shared" si="342"/>
        <v>-82.699999999999989</v>
      </c>
      <c r="DO118" s="435">
        <f t="shared" si="342"/>
        <v>-88.7</v>
      </c>
      <c r="DP118" s="433">
        <f t="shared" si="320"/>
        <v>-176.80000000000007</v>
      </c>
      <c r="DQ118" s="433">
        <f t="shared" si="321"/>
        <v>-265.50000000000006</v>
      </c>
      <c r="DR118" s="606">
        <f t="shared" si="342"/>
        <v>-348.20000000000005</v>
      </c>
      <c r="DS118" s="435">
        <f t="shared" si="342"/>
        <v>-215.8</v>
      </c>
      <c r="DT118" s="433">
        <f t="shared" si="342"/>
        <v>-159.00000000000006</v>
      </c>
      <c r="DU118" s="433">
        <f t="shared" si="342"/>
        <v>-374.8</v>
      </c>
      <c r="DV118" s="306">
        <f>SUM(DV114:DV117)</f>
        <v>-142.59999999999997</v>
      </c>
      <c r="DW118" s="433">
        <f t="shared" si="323"/>
        <v>-142.69999999999993</v>
      </c>
      <c r="DX118" s="433">
        <f t="shared" si="324"/>
        <v>-285.2999999999999</v>
      </c>
      <c r="DY118" s="606">
        <f>SUM(DY114:DY117)</f>
        <v>-660.09999999999991</v>
      </c>
      <c r="DZ118" s="435">
        <f>SUM(DZ114:DZ117)</f>
        <v>-149.5</v>
      </c>
      <c r="EA118" s="433">
        <f>SUM(EA114:EA117)</f>
        <v>-99.800000000000011</v>
      </c>
      <c r="EB118" s="556">
        <f>SUM(EB114:EB117)</f>
        <v>-249.3</v>
      </c>
      <c r="EC118" s="556">
        <f>SUM(EC114:EC117)</f>
        <v>-100.69999999999999</v>
      </c>
      <c r="ED118" s="433">
        <f t="shared" si="326"/>
        <v>-120.59999999999997</v>
      </c>
      <c r="EE118" s="433">
        <f t="shared" si="327"/>
        <v>-221.29999999999995</v>
      </c>
      <c r="EF118" s="606">
        <f>SUM(EF114:EF117)</f>
        <v>-470.59999999999997</v>
      </c>
      <c r="EG118" s="435">
        <f>SUM(EG114:EG117)</f>
        <v>-139.80000000000001</v>
      </c>
      <c r="EH118" s="433">
        <f>SUM(EH114:EH117)</f>
        <v>-101.6</v>
      </c>
      <c r="EI118" s="556">
        <f>SUM(EI114:EI117)</f>
        <v>-241.4</v>
      </c>
      <c r="EJ118" s="556">
        <f>SUM(EJ114:EJ117)</f>
        <v>-111.69999999999999</v>
      </c>
      <c r="EK118" s="433">
        <f t="shared" si="329"/>
        <v>-93.600000000000051</v>
      </c>
      <c r="EL118" s="433">
        <f t="shared" si="330"/>
        <v>-205.30000000000004</v>
      </c>
      <c r="EM118" s="606">
        <f>SUM(EM114:EM117)</f>
        <v>-446.70000000000005</v>
      </c>
      <c r="EN118" s="435">
        <f>SUM(EN114:EN117)</f>
        <v>-105.3</v>
      </c>
      <c r="EO118" s="433">
        <f>SUM(EO114:EO117)</f>
        <v>-4015.5</v>
      </c>
      <c r="EP118" s="556">
        <f>SUM(EP114:EP117)</f>
        <v>-4120.8</v>
      </c>
      <c r="EQ118" s="436">
        <f>SUM(EQ114:EQ117)</f>
        <v>0.29999999999999716</v>
      </c>
      <c r="ER118" s="433">
        <f t="shared" si="342"/>
        <v>-71.924200000000027</v>
      </c>
      <c r="ES118" s="433">
        <f t="shared" si="342"/>
        <v>-71.624200000000044</v>
      </c>
      <c r="ET118" s="591">
        <f t="shared" si="342"/>
        <v>-4192.4242000000004</v>
      </c>
      <c r="EU118" s="433">
        <f t="shared" si="342"/>
        <v>-101.862944</v>
      </c>
      <c r="EV118" s="433">
        <f t="shared" si="342"/>
        <v>-114.83101632</v>
      </c>
      <c r="EW118" s="433">
        <f t="shared" si="342"/>
        <v>-216.69396032</v>
      </c>
      <c r="EX118" s="433">
        <f t="shared" si="342"/>
        <v>-109.05116680960001</v>
      </c>
      <c r="EY118" s="433">
        <f t="shared" si="342"/>
        <v>-107.29112181388801</v>
      </c>
      <c r="EZ118" s="433">
        <f t="shared" si="342"/>
        <v>-216.342288623488</v>
      </c>
      <c r="FA118" s="591">
        <f t="shared" si="342"/>
        <v>-433.03624894348798</v>
      </c>
      <c r="FB118" s="433">
        <f t="shared" si="342"/>
        <v>-101.26586431999999</v>
      </c>
      <c r="FC118" s="433">
        <f t="shared" si="342"/>
        <v>-114.44435680960001</v>
      </c>
      <c r="FD118" s="433">
        <f t="shared" si="342"/>
        <v>-215.7102211296</v>
      </c>
      <c r="FE118" s="433">
        <f t="shared" si="342"/>
        <v>-108.99421181388799</v>
      </c>
      <c r="FF118" s="433">
        <f t="shared" si="342"/>
        <v>-107.19350366830466</v>
      </c>
      <c r="FG118" s="433">
        <f t="shared" si="342"/>
        <v>-216.18771548219263</v>
      </c>
      <c r="FH118" s="591">
        <f t="shared" si="342"/>
        <v>-431.8979366117926</v>
      </c>
      <c r="FI118" s="433">
        <f t="shared" si="342"/>
        <v>-99.701693529599993</v>
      </c>
      <c r="FJ118" s="433">
        <f t="shared" si="342"/>
        <v>-113.094207163888</v>
      </c>
      <c r="FK118" s="433">
        <f t="shared" si="342"/>
        <v>-212.79590069348799</v>
      </c>
      <c r="FL118" s="433">
        <f t="shared" si="342"/>
        <v>-107.98917091830464</v>
      </c>
      <c r="FM118" s="433">
        <f t="shared" si="342"/>
        <v>-106.14688318335378</v>
      </c>
      <c r="FN118" s="433">
        <f t="shared" si="342"/>
        <v>-214.13605410165843</v>
      </c>
      <c r="FO118" s="591">
        <f t="shared" si="342"/>
        <v>-426.93195479514645</v>
      </c>
      <c r="FP118" s="433">
        <f t="shared" si="342"/>
        <v>-101.17126908468799</v>
      </c>
      <c r="FQ118" s="433">
        <f t="shared" si="342"/>
        <v>-114.78147138605463</v>
      </c>
      <c r="FR118" s="433">
        <f t="shared" si="342"/>
        <v>-215.95274047074264</v>
      </c>
      <c r="FS118" s="433">
        <f t="shared" si="342"/>
        <v>-110.03744211460376</v>
      </c>
      <c r="FT118" s="433">
        <f t="shared" si="342"/>
        <v>-108.1526384439794</v>
      </c>
      <c r="FU118" s="433">
        <f t="shared" si="342"/>
        <v>-218.19008055858316</v>
      </c>
      <c r="FV118" s="591">
        <f t="shared" si="342"/>
        <v>-434.14282102932577</v>
      </c>
      <c r="FW118" s="632"/>
      <c r="FX118" s="639"/>
      <c r="FY118" s="639"/>
      <c r="FZ118" s="639"/>
      <c r="GA118" s="639"/>
      <c r="GB118"/>
      <c r="GC118"/>
      <c r="GD118"/>
      <c r="GE118"/>
      <c r="GF118"/>
      <c r="GG118"/>
      <c r="GH118" s="532"/>
      <c r="GI118" s="532"/>
      <c r="GJ118" s="532"/>
      <c r="GK118" s="532"/>
      <c r="GL118" s="532"/>
      <c r="GM118" s="532"/>
      <c r="GN118" s="532"/>
      <c r="GO118" s="532"/>
      <c r="GP118" s="532"/>
      <c r="GQ118" s="532"/>
      <c r="GR118" s="532"/>
      <c r="GS118" s="532"/>
      <c r="GT118" s="532"/>
      <c r="GU118" s="532"/>
      <c r="GV118" s="532"/>
      <c r="GW118" s="532"/>
      <c r="GX118" s="532"/>
      <c r="GY118" s="532"/>
      <c r="GZ118" s="532"/>
      <c r="HA118" s="532"/>
      <c r="HB118" s="532"/>
      <c r="HC118" s="532"/>
      <c r="HD118" s="532"/>
      <c r="HE118" s="532"/>
      <c r="HF118" s="532"/>
      <c r="HG118" s="532"/>
      <c r="HH118" s="532"/>
      <c r="HI118" s="532"/>
      <c r="HJ118" s="532"/>
      <c r="HK118" s="532"/>
      <c r="HL118" s="532"/>
      <c r="HM118" s="532"/>
      <c r="HN118" s="532"/>
      <c r="HO118" s="532"/>
      <c r="HP118" s="532"/>
      <c r="HQ118" s="532"/>
      <c r="HR118" s="532"/>
      <c r="HS118" s="532"/>
      <c r="HT118" s="532"/>
      <c r="HU118" s="532"/>
      <c r="HV118" s="532"/>
      <c r="HW118" s="532"/>
      <c r="HX118" s="532"/>
      <c r="HY118" s="532"/>
      <c r="HZ118" s="532"/>
      <c r="IA118" s="532"/>
      <c r="IB118" s="532"/>
      <c r="IC118" s="532"/>
      <c r="ID118" s="532"/>
      <c r="IE118" s="532"/>
      <c r="IF118" s="532"/>
      <c r="IG118" s="532"/>
      <c r="IH118" s="532"/>
      <c r="II118" s="532"/>
      <c r="IJ118" s="532"/>
      <c r="IK118" s="532"/>
      <c r="IL118" s="532"/>
      <c r="IM118" s="532"/>
      <c r="IN118" s="532"/>
      <c r="IO118" s="532"/>
      <c r="IP118" s="532"/>
      <c r="IQ118" s="532"/>
      <c r="IR118" s="532"/>
      <c r="IS118" s="532"/>
      <c r="IT118" s="532"/>
      <c r="IU118" s="532"/>
      <c r="IV118" s="532"/>
      <c r="IW118" s="532"/>
      <c r="IX118" s="532"/>
      <c r="IY118" s="532"/>
      <c r="IZ118" s="532"/>
      <c r="JA118" s="532"/>
      <c r="JB118" s="532"/>
      <c r="JC118" s="532"/>
      <c r="JD118" s="532"/>
      <c r="JE118" s="532"/>
      <c r="JF118" s="532"/>
      <c r="JG118" s="532"/>
      <c r="JH118" s="532"/>
      <c r="JI118" s="532"/>
      <c r="JJ118" s="532"/>
      <c r="JK118" s="532"/>
      <c r="JL118" s="532"/>
      <c r="JM118" s="532"/>
      <c r="JN118" s="532"/>
      <c r="JO118" s="532"/>
      <c r="JP118" s="532"/>
      <c r="JQ118" s="532"/>
      <c r="JR118" s="532"/>
      <c r="JS118" s="532"/>
      <c r="JT118" s="532"/>
    </row>
    <row r="119" spans="1:280" outlineLevel="1" x14ac:dyDescent="0.3">
      <c r="B119" s="273" t="s">
        <v>476</v>
      </c>
      <c r="C119" s="415"/>
      <c r="D119" s="273"/>
      <c r="E119" s="273"/>
      <c r="F119" s="273"/>
      <c r="G119" s="273"/>
      <c r="H119" s="273"/>
      <c r="I119" s="273"/>
      <c r="J119" s="273"/>
      <c r="K119" s="273"/>
      <c r="L119" s="273"/>
      <c r="M119" s="273"/>
      <c r="N119" s="273"/>
      <c r="O119" s="273"/>
      <c r="P119" s="273"/>
      <c r="Q119" s="273"/>
      <c r="R119" s="273"/>
      <c r="S119" s="273"/>
      <c r="T119" s="273"/>
      <c r="U119" s="273"/>
      <c r="V119" s="273"/>
      <c r="W119" s="273"/>
      <c r="X119" s="273"/>
      <c r="Y119" s="273"/>
      <c r="Z119" s="273"/>
      <c r="AA119" s="273"/>
      <c r="AB119" s="273"/>
      <c r="AC119" s="273"/>
      <c r="AD119" s="273"/>
      <c r="AE119" s="273"/>
      <c r="AF119" s="273"/>
      <c r="AG119" s="273"/>
      <c r="AH119" s="273"/>
      <c r="AI119" s="273"/>
      <c r="AJ119" s="273"/>
      <c r="AK119" s="273"/>
      <c r="AL119" s="273"/>
      <c r="AM119" s="273"/>
      <c r="AN119" s="273"/>
      <c r="AO119" s="273"/>
      <c r="AP119" s="273"/>
      <c r="AQ119" s="273"/>
      <c r="AR119" s="273"/>
      <c r="AS119" s="273"/>
      <c r="AT119" s="273"/>
      <c r="AU119" s="273"/>
      <c r="AV119" s="273"/>
      <c r="AW119" s="273"/>
      <c r="AX119" s="273"/>
      <c r="AY119" s="273"/>
      <c r="AZ119" s="273"/>
      <c r="BA119" s="273"/>
      <c r="BB119" s="273"/>
      <c r="BC119" s="273"/>
      <c r="BD119" s="273"/>
      <c r="BE119" s="273"/>
      <c r="BF119" s="273"/>
      <c r="BG119" s="273"/>
      <c r="BH119" s="273"/>
      <c r="BI119" s="273"/>
      <c r="BJ119" s="273"/>
      <c r="BK119" s="273"/>
      <c r="BL119" s="273"/>
      <c r="BM119" s="273"/>
      <c r="BN119" s="273"/>
      <c r="BO119" s="273"/>
      <c r="BP119" s="273"/>
      <c r="BQ119" s="273"/>
      <c r="BR119" s="273"/>
      <c r="BS119" s="273"/>
      <c r="BT119" s="273"/>
      <c r="BU119" s="273"/>
      <c r="BV119" s="273"/>
      <c r="BW119" s="273"/>
      <c r="BX119" s="273"/>
      <c r="BY119" s="273"/>
      <c r="BZ119" s="273"/>
      <c r="CA119" s="273"/>
      <c r="CB119" s="273"/>
      <c r="CC119" s="273"/>
      <c r="CD119" s="273"/>
      <c r="CE119" s="273"/>
      <c r="CF119" s="273"/>
      <c r="CG119" s="273"/>
      <c r="CH119" s="273"/>
      <c r="CI119" s="273"/>
      <c r="CJ119" s="273"/>
      <c r="CK119" s="273"/>
      <c r="CL119" s="273"/>
      <c r="CM119" s="273"/>
      <c r="CN119" s="273"/>
      <c r="CO119" s="273"/>
      <c r="CP119" s="273"/>
      <c r="CQ119" s="273"/>
      <c r="CR119" s="273"/>
      <c r="CS119" s="273"/>
      <c r="CT119" s="273"/>
      <c r="CU119" s="273"/>
      <c r="CV119" s="273"/>
      <c r="CW119" s="273"/>
      <c r="CX119" s="273"/>
      <c r="CY119" s="273"/>
      <c r="CZ119" s="273"/>
      <c r="DA119" s="273"/>
      <c r="DB119" s="247"/>
      <c r="DC119" s="273"/>
      <c r="DD119" s="602"/>
      <c r="DE119" s="273"/>
      <c r="DF119" s="273"/>
      <c r="DG119" s="273"/>
      <c r="DH119" s="273"/>
      <c r="DI119" s="273"/>
      <c r="DJ119" s="273"/>
      <c r="DK119" s="602"/>
      <c r="DL119" s="416"/>
      <c r="DM119" s="273"/>
      <c r="DN119" s="273"/>
      <c r="DO119" s="273"/>
      <c r="DP119" s="273"/>
      <c r="DQ119" s="273"/>
      <c r="DR119" s="602"/>
      <c r="DS119" s="273"/>
      <c r="DT119" s="273"/>
      <c r="DU119" s="273"/>
      <c r="DV119" s="273"/>
      <c r="DW119" s="273"/>
      <c r="DX119" s="273"/>
      <c r="DY119" s="602"/>
      <c r="DZ119" s="273"/>
      <c r="EA119" s="273"/>
      <c r="EB119" s="481"/>
      <c r="EC119" s="481"/>
      <c r="ED119" s="273"/>
      <c r="EE119" s="273"/>
      <c r="EF119" s="602"/>
      <c r="EG119" s="273"/>
      <c r="EH119" s="273"/>
      <c r="EI119" s="481"/>
      <c r="EJ119" s="481"/>
      <c r="EK119" s="273"/>
      <c r="EL119" s="273"/>
      <c r="EM119" s="602"/>
      <c r="EN119" s="273"/>
      <c r="EO119" s="273"/>
      <c r="EP119" s="481"/>
      <c r="EQ119" s="416"/>
      <c r="ER119" s="273"/>
      <c r="ES119" s="273"/>
      <c r="ET119" s="602"/>
      <c r="EU119" s="273"/>
      <c r="EV119" s="273"/>
      <c r="EW119" s="273"/>
      <c r="EX119" s="273"/>
      <c r="EY119" s="273"/>
      <c r="EZ119" s="273"/>
      <c r="FA119" s="602"/>
      <c r="FB119" s="273"/>
      <c r="FC119" s="273"/>
      <c r="FD119" s="273"/>
      <c r="FE119" s="273"/>
      <c r="FF119" s="273"/>
      <c r="FG119" s="273"/>
      <c r="FH119" s="602"/>
      <c r="FI119" s="273"/>
      <c r="FJ119" s="273"/>
      <c r="FK119" s="273"/>
      <c r="FL119" s="273"/>
      <c r="FM119" s="273"/>
      <c r="FN119" s="273"/>
      <c r="FO119" s="602"/>
      <c r="FP119" s="273"/>
      <c r="FQ119" s="273"/>
      <c r="FR119" s="273"/>
      <c r="FS119" s="273"/>
      <c r="FT119" s="273"/>
      <c r="FU119" s="273"/>
      <c r="FV119" s="602"/>
    </row>
    <row r="120" spans="1:280" outlineLevel="1" x14ac:dyDescent="0.3">
      <c r="B120" s="279" t="s">
        <v>477</v>
      </c>
      <c r="C120" s="280" t="s">
        <v>226</v>
      </c>
      <c r="D120" s="289">
        <v>0</v>
      </c>
      <c r="E120" s="281">
        <f>F120-D120</f>
        <v>-27.5</v>
      </c>
      <c r="F120" s="289">
        <v>-27.5</v>
      </c>
      <c r="G120" s="281">
        <f>-45.8-F120</f>
        <v>-18.299999999999997</v>
      </c>
      <c r="H120" s="281">
        <f>I120-G120</f>
        <v>-0.10000000000000142</v>
      </c>
      <c r="I120" s="281">
        <f>J120-F120</f>
        <v>-18.399999999999999</v>
      </c>
      <c r="J120" s="289">
        <v>-45.9</v>
      </c>
      <c r="K120" s="289">
        <v>0</v>
      </c>
      <c r="L120" s="281">
        <f>M120-K120</f>
        <v>-18.7</v>
      </c>
      <c r="M120" s="289">
        <v>-18.7</v>
      </c>
      <c r="N120" s="289">
        <v>0</v>
      </c>
      <c r="O120" s="281">
        <f>P120-N120</f>
        <v>-23.400000000000002</v>
      </c>
      <c r="P120" s="281">
        <f>Q120-M120</f>
        <v>-23.400000000000002</v>
      </c>
      <c r="Q120" s="289">
        <v>-42.1</v>
      </c>
      <c r="R120" s="289">
        <v>0</v>
      </c>
      <c r="S120" s="281">
        <f>T120-R120</f>
        <v>-70.7</v>
      </c>
      <c r="T120" s="289">
        <v>-70.7</v>
      </c>
      <c r="U120" s="281">
        <f>-123.1-S120-R120</f>
        <v>-52.399999999999991</v>
      </c>
      <c r="V120" s="281">
        <f>W120-U120</f>
        <v>-3.1000000000000085</v>
      </c>
      <c r="W120" s="281">
        <f>X120-T120</f>
        <v>-55.5</v>
      </c>
      <c r="X120" s="289">
        <v>-126.2</v>
      </c>
      <c r="Y120" s="289">
        <v>0</v>
      </c>
      <c r="Z120" s="281">
        <f>AA120-Y120</f>
        <v>-34.6</v>
      </c>
      <c r="AA120" s="289">
        <v>-34.6</v>
      </c>
      <c r="AB120" s="289">
        <v>0</v>
      </c>
      <c r="AC120" s="281">
        <f>AD120-AB120</f>
        <v>0</v>
      </c>
      <c r="AD120" s="281">
        <f>AE120-AA120</f>
        <v>0</v>
      </c>
      <c r="AE120" s="289">
        <v>-34.6</v>
      </c>
      <c r="AF120" s="289">
        <v>0</v>
      </c>
      <c r="AG120" s="281">
        <f>AH120-AF120</f>
        <v>0</v>
      </c>
      <c r="AH120" s="289">
        <v>0</v>
      </c>
      <c r="AI120" s="289">
        <v>0</v>
      </c>
      <c r="AJ120" s="281">
        <f>AK120-AI120</f>
        <v>0</v>
      </c>
      <c r="AK120" s="281">
        <f>AL120-AH120</f>
        <v>0</v>
      </c>
      <c r="AL120" s="289">
        <v>0</v>
      </c>
      <c r="AM120" s="289">
        <v>0</v>
      </c>
      <c r="AN120" s="281">
        <f>-AN285</f>
        <v>0</v>
      </c>
      <c r="AO120" s="281">
        <f>SUM(AM120:AN120)</f>
        <v>0</v>
      </c>
      <c r="AP120" s="281">
        <f>-AP285</f>
        <v>0</v>
      </c>
      <c r="AQ120" s="281">
        <f>AR120-AP120</f>
        <v>0</v>
      </c>
      <c r="AR120" s="281">
        <f>AS120-AO120</f>
        <v>0</v>
      </c>
      <c r="AS120" s="289">
        <v>0</v>
      </c>
      <c r="AT120" s="289">
        <v>0</v>
      </c>
      <c r="AU120" s="281">
        <f>+AV120-AT120</f>
        <v>0</v>
      </c>
      <c r="AV120" s="289">
        <v>0</v>
      </c>
      <c r="AW120" s="289">
        <v>0</v>
      </c>
      <c r="AX120" s="281">
        <f>+AY120-AW120</f>
        <v>-17.381050720000001</v>
      </c>
      <c r="AY120" s="281">
        <f>+AZ120-AV120</f>
        <v>-17.381050720000001</v>
      </c>
      <c r="AZ120" s="289">
        <v>-17.381050720000001</v>
      </c>
      <c r="BA120" s="289">
        <v>0</v>
      </c>
      <c r="BB120" s="281">
        <f>-BB285</f>
        <v>-166.4</v>
      </c>
      <c r="BC120" s="281">
        <f>-BC285</f>
        <v>-166.4</v>
      </c>
      <c r="BD120" s="281">
        <f>-166.4-BC120</f>
        <v>0</v>
      </c>
      <c r="BE120" s="281">
        <f>+BF120-BD120</f>
        <v>-22.099999999999994</v>
      </c>
      <c r="BF120" s="281">
        <f>+BG120-BC120</f>
        <v>-22.099999999999994</v>
      </c>
      <c r="BG120" s="289">
        <v>-188.5</v>
      </c>
      <c r="BH120" s="289">
        <v>0</v>
      </c>
      <c r="BI120" s="281">
        <f>+BJ120-BH120</f>
        <v>-163.6</v>
      </c>
      <c r="BJ120" s="289">
        <v>-163.6</v>
      </c>
      <c r="BK120" s="281">
        <f>-163.6-BJ120</f>
        <v>0</v>
      </c>
      <c r="BL120" s="281">
        <f>BN120-BK120-BJ120</f>
        <v>-35.5</v>
      </c>
      <c r="BM120" s="281">
        <f>SUM(BK120:BL120)</f>
        <v>-35.5</v>
      </c>
      <c r="BN120" s="289">
        <v>-199.1</v>
      </c>
      <c r="BO120" s="289">
        <v>-124.6</v>
      </c>
      <c r="BP120" s="289">
        <f>-355.9-BO120</f>
        <v>-231.29999999999998</v>
      </c>
      <c r="BQ120" s="281">
        <f>SUM(BO120:BP120)</f>
        <v>-355.9</v>
      </c>
      <c r="BR120" s="289">
        <f>-355.9-BQ120</f>
        <v>0</v>
      </c>
      <c r="BS120" s="289">
        <f>BU120-BR120-BQ120</f>
        <v>-34.200000000000045</v>
      </c>
      <c r="BT120" s="281">
        <f>SUM(BR120:BS120)</f>
        <v>-34.200000000000045</v>
      </c>
      <c r="BU120" s="289">
        <v>-390.1</v>
      </c>
      <c r="BV120" s="289">
        <f>0</f>
        <v>0</v>
      </c>
      <c r="BW120" s="289">
        <f>-206.8-BV120</f>
        <v>-206.8</v>
      </c>
      <c r="BX120" s="281">
        <f>SUM(BV120:BW120)</f>
        <v>-206.8</v>
      </c>
      <c r="BY120" s="289">
        <f>-206.8-BX120</f>
        <v>0</v>
      </c>
      <c r="BZ120" s="289">
        <f>-246.5-BY120-BX120</f>
        <v>-39.699999999999989</v>
      </c>
      <c r="CA120" s="281">
        <f>SUM(BY120:BZ120)</f>
        <v>-39.699999999999989</v>
      </c>
      <c r="CB120" s="281">
        <f>CA120+BX120</f>
        <v>-246.5</v>
      </c>
      <c r="CC120" s="289">
        <v>0</v>
      </c>
      <c r="CD120" s="289">
        <f>-130.2</f>
        <v>-130.19999999999999</v>
      </c>
      <c r="CE120" s="281">
        <f>SUM(CC120:CD120)</f>
        <v>-130.19999999999999</v>
      </c>
      <c r="CF120" s="289">
        <f>-130.2-CE120</f>
        <v>0</v>
      </c>
      <c r="CG120" s="289">
        <f>-176.8-CF120-CE120</f>
        <v>-46.600000000000023</v>
      </c>
      <c r="CH120" s="281">
        <f>SUM(CF120:CG120)</f>
        <v>-46.600000000000023</v>
      </c>
      <c r="CI120" s="289">
        <v>-176.8</v>
      </c>
      <c r="CJ120" s="289">
        <v>0</v>
      </c>
      <c r="CK120" s="289">
        <f>-131.3-CJ120</f>
        <v>-131.30000000000001</v>
      </c>
      <c r="CL120" s="281">
        <f>SUM(CJ120:CK120)</f>
        <v>-131.30000000000001</v>
      </c>
      <c r="CM120" s="289">
        <f>-131.3-CL120</f>
        <v>0</v>
      </c>
      <c r="CN120" s="289">
        <f>-177.5-CM120-CL120</f>
        <v>-46.199999999999989</v>
      </c>
      <c r="CO120" s="281">
        <f>SUM(CM120:CN120)</f>
        <v>-46.199999999999989</v>
      </c>
      <c r="CP120" s="290">
        <f>-177.5</f>
        <v>-177.5</v>
      </c>
      <c r="CQ120" s="290">
        <v>0</v>
      </c>
      <c r="CR120" s="290">
        <v>-128.5</v>
      </c>
      <c r="CS120" s="282">
        <f>SUM(CQ120:CR120)</f>
        <v>-128.5</v>
      </c>
      <c r="CT120" s="290">
        <f>-128.5-CS120</f>
        <v>0</v>
      </c>
      <c r="CU120" s="290">
        <v>-43.6</v>
      </c>
      <c r="CV120" s="282">
        <f>SUM(CT120:CU120)</f>
        <v>-43.6</v>
      </c>
      <c r="CW120" s="282">
        <f>CV120+CS120</f>
        <v>-172.1</v>
      </c>
      <c r="CX120" s="290">
        <v>0</v>
      </c>
      <c r="CY120" s="290">
        <v>-113.9</v>
      </c>
      <c r="CZ120" s="282">
        <f>SUM(CX120:CY120)</f>
        <v>-113.9</v>
      </c>
      <c r="DA120" s="290">
        <f>-155.8-CZ120</f>
        <v>-41.900000000000006</v>
      </c>
      <c r="DB120" s="290">
        <f>-158.6-DA120-CZ120</f>
        <v>-2.7999999999999829</v>
      </c>
      <c r="DC120" s="282">
        <f>SUM(DA120:DB120)</f>
        <v>-44.699999999999989</v>
      </c>
      <c r="DD120" s="670">
        <f>DC120+CZ120</f>
        <v>-158.6</v>
      </c>
      <c r="DE120" s="290">
        <v>0</v>
      </c>
      <c r="DF120" s="290">
        <v>0</v>
      </c>
      <c r="DG120" s="282">
        <f>SUM(DE120:DF120)</f>
        <v>0</v>
      </c>
      <c r="DH120" s="290">
        <v>0</v>
      </c>
      <c r="DI120" s="282">
        <f t="shared" ref="DI120:DI128" si="343">+DJ120-DH120</f>
        <v>0</v>
      </c>
      <c r="DJ120" s="282">
        <f t="shared" ref="DJ120:DJ128" si="344">+DK120-DG120</f>
        <v>0</v>
      </c>
      <c r="DK120" s="670">
        <v>0</v>
      </c>
      <c r="DL120" s="292">
        <v>-309.89999999999998</v>
      </c>
      <c r="DM120" s="282">
        <f>+DN120-DL120</f>
        <v>0</v>
      </c>
      <c r="DN120" s="290">
        <v>-309.89999999999998</v>
      </c>
      <c r="DO120" s="290">
        <f>+-461.8-DN120</f>
        <v>-151.90000000000003</v>
      </c>
      <c r="DP120" s="282">
        <f t="shared" ref="DP120:DP125" si="345">+DQ120-DO120</f>
        <v>-22.199999999999989</v>
      </c>
      <c r="DQ120" s="282">
        <f t="shared" ref="DQ120:DQ125" si="346">+DR120-DN120</f>
        <v>-174.10000000000002</v>
      </c>
      <c r="DR120" s="670">
        <v>-484</v>
      </c>
      <c r="DS120" s="290">
        <v>0</v>
      </c>
      <c r="DT120" s="282">
        <f>+DU120-DS120</f>
        <v>-129.6</v>
      </c>
      <c r="DU120" s="290">
        <v>-129.6</v>
      </c>
      <c r="DV120" s="290">
        <f>+-129.6-DU120</f>
        <v>0</v>
      </c>
      <c r="DW120" s="282">
        <f t="shared" ref="DW120:DW125" si="347">+DX120-DV120</f>
        <v>0</v>
      </c>
      <c r="DX120" s="282">
        <f t="shared" ref="DX120:DX125" si="348">+DY120-DU120</f>
        <v>0</v>
      </c>
      <c r="DY120" s="670">
        <v>-129.6</v>
      </c>
      <c r="DZ120" s="290">
        <v>0</v>
      </c>
      <c r="EA120" s="282">
        <f>+EB120-DZ120</f>
        <v>0</v>
      </c>
      <c r="EB120" s="290">
        <v>0</v>
      </c>
      <c r="EC120" s="317">
        <f>0-EB120</f>
        <v>0</v>
      </c>
      <c r="ED120" s="282">
        <f t="shared" ref="ED120:ED125" si="349">+EE120-EC120</f>
        <v>0</v>
      </c>
      <c r="EE120" s="282">
        <f t="shared" ref="EE120:EE125" si="350">+EF120-EB120</f>
        <v>0</v>
      </c>
      <c r="EF120" s="670">
        <v>0</v>
      </c>
      <c r="EG120" s="290">
        <v>0</v>
      </c>
      <c r="EH120" s="282">
        <f>+EI120-EG120</f>
        <v>0</v>
      </c>
      <c r="EI120" s="290">
        <v>0</v>
      </c>
      <c r="EJ120" s="317">
        <f>0-EI120</f>
        <v>0</v>
      </c>
      <c r="EK120" s="282">
        <f t="shared" ref="EK120:EK125" si="351">+EL120-EJ120</f>
        <v>0</v>
      </c>
      <c r="EL120" s="282">
        <f t="shared" ref="EL120:EL125" si="352">+EM120-EI120</f>
        <v>0</v>
      </c>
      <c r="EM120" s="670">
        <v>0</v>
      </c>
      <c r="EN120" s="290">
        <v>0</v>
      </c>
      <c r="EO120" s="282">
        <f>+EP120-EN120</f>
        <v>0</v>
      </c>
      <c r="EP120" s="290">
        <v>0</v>
      </c>
      <c r="EQ120" s="725">
        <v>0</v>
      </c>
      <c r="ER120" s="282">
        <f>-EQ197</f>
        <v>0</v>
      </c>
      <c r="ES120" s="282">
        <f>SUM(EQ120:ER120)</f>
        <v>0</v>
      </c>
      <c r="ET120" s="732">
        <f>ES120+EP120</f>
        <v>0</v>
      </c>
      <c r="EU120" s="282">
        <f>-ER197</f>
        <v>0</v>
      </c>
      <c r="EV120" s="282">
        <f>-EU197</f>
        <v>0</v>
      </c>
      <c r="EW120" s="282">
        <f>SUM(EU120:EV120)</f>
        <v>0</v>
      </c>
      <c r="EX120" s="282">
        <f>-EV197</f>
        <v>0</v>
      </c>
      <c r="EY120" s="282">
        <f>-EX197</f>
        <v>0</v>
      </c>
      <c r="EZ120" s="282">
        <f>SUM(EX120:EY120)</f>
        <v>0</v>
      </c>
      <c r="FA120" s="590">
        <f>EZ120+EW120</f>
        <v>0</v>
      </c>
      <c r="FB120" s="282">
        <f>-EY197</f>
        <v>0</v>
      </c>
      <c r="FC120" s="282">
        <f>-FB197</f>
        <v>0</v>
      </c>
      <c r="FD120" s="282">
        <f>SUM(FB120:FC120)</f>
        <v>0</v>
      </c>
      <c r="FE120" s="282">
        <f>-FC197</f>
        <v>0</v>
      </c>
      <c r="FF120" s="282">
        <f>-FE197</f>
        <v>0</v>
      </c>
      <c r="FG120" s="282">
        <f>SUM(FE120:FF120)</f>
        <v>0</v>
      </c>
      <c r="FH120" s="590">
        <f>FG120+FD120</f>
        <v>0</v>
      </c>
      <c r="FI120" s="282">
        <f>-FF197</f>
        <v>0</v>
      </c>
      <c r="FJ120" s="282">
        <f>-FI197</f>
        <v>0</v>
      </c>
      <c r="FK120" s="282">
        <f>SUM(FI120:FJ120)</f>
        <v>0</v>
      </c>
      <c r="FL120" s="282">
        <f>-FJ197</f>
        <v>0</v>
      </c>
      <c r="FM120" s="282">
        <f>-FL197</f>
        <v>0</v>
      </c>
      <c r="FN120" s="282">
        <f>SUM(FL120:FM120)</f>
        <v>0</v>
      </c>
      <c r="FO120" s="590">
        <f>FN120+FK120</f>
        <v>0</v>
      </c>
      <c r="FP120" s="282">
        <f>-FM197</f>
        <v>0</v>
      </c>
      <c r="FQ120" s="282">
        <f>-FP197</f>
        <v>0</v>
      </c>
      <c r="FR120" s="282">
        <f>SUM(FP120:FQ120)</f>
        <v>0</v>
      </c>
      <c r="FS120" s="282">
        <f>-FQ197</f>
        <v>0</v>
      </c>
      <c r="FT120" s="282">
        <f>-FS197</f>
        <v>0</v>
      </c>
      <c r="FU120" s="282">
        <f>SUM(FS120:FT120)</f>
        <v>0</v>
      </c>
      <c r="FV120" s="590">
        <f>FU120+FR120</f>
        <v>0</v>
      </c>
    </row>
    <row r="121" spans="1:280" outlineLevel="1" x14ac:dyDescent="0.3">
      <c r="B121" s="279" t="s">
        <v>478</v>
      </c>
      <c r="C121" s="280" t="s">
        <v>226</v>
      </c>
      <c r="D121" s="289">
        <v>4.5999999999999996</v>
      </c>
      <c r="E121" s="281">
        <f>F121-D121</f>
        <v>4.8000000000000007</v>
      </c>
      <c r="F121" s="289">
        <v>9.4</v>
      </c>
      <c r="G121" s="281">
        <f>9.8-E121-D121</f>
        <v>0.40000000000000036</v>
      </c>
      <c r="H121" s="281">
        <f>I121-G121</f>
        <v>8.8999999999999986</v>
      </c>
      <c r="I121" s="281">
        <f>J121-F121</f>
        <v>9.2999999999999989</v>
      </c>
      <c r="J121" s="289">
        <v>18.7</v>
      </c>
      <c r="K121" s="289">
        <v>0.2</v>
      </c>
      <c r="L121" s="281">
        <f>M121-K121</f>
        <v>1.3</v>
      </c>
      <c r="M121" s="289">
        <v>1.5</v>
      </c>
      <c r="N121" s="281">
        <f>15.4-L121-K121</f>
        <v>13.9</v>
      </c>
      <c r="O121" s="281">
        <f>P121-N121</f>
        <v>3.0999999999999996</v>
      </c>
      <c r="P121" s="281">
        <f>Q121-M121</f>
        <v>17</v>
      </c>
      <c r="Q121" s="289">
        <v>18.5</v>
      </c>
      <c r="R121" s="289">
        <v>2.2000000000000002</v>
      </c>
      <c r="S121" s="281">
        <f>T121-R121</f>
        <v>0</v>
      </c>
      <c r="T121" s="289">
        <v>2.2000000000000002</v>
      </c>
      <c r="U121" s="281">
        <f>3.1-S121-R121</f>
        <v>0.89999999999999991</v>
      </c>
      <c r="V121" s="281">
        <f>W121-U121</f>
        <v>0.19999999999999973</v>
      </c>
      <c r="W121" s="281">
        <f>X121-T121</f>
        <v>1.0999999999999996</v>
      </c>
      <c r="X121" s="289">
        <v>3.3</v>
      </c>
      <c r="Y121" s="289">
        <v>0.1</v>
      </c>
      <c r="Z121" s="281">
        <f>AA121-Y121</f>
        <v>0</v>
      </c>
      <c r="AA121" s="289">
        <v>0.1</v>
      </c>
      <c r="AB121" s="281">
        <f>0.1-Z121-Y121</f>
        <v>0</v>
      </c>
      <c r="AC121" s="281">
        <f>AD121-AB121</f>
        <v>0</v>
      </c>
      <c r="AD121" s="281">
        <f>AE121-AA121</f>
        <v>0</v>
      </c>
      <c r="AE121" s="289">
        <v>0.1</v>
      </c>
      <c r="AF121" s="289">
        <v>0</v>
      </c>
      <c r="AG121" s="281">
        <f>AH121-AF121</f>
        <v>2</v>
      </c>
      <c r="AH121" s="289">
        <v>2</v>
      </c>
      <c r="AI121" s="281">
        <f>10-AG121-AF121</f>
        <v>8</v>
      </c>
      <c r="AJ121" s="281">
        <f>AK121-AI121</f>
        <v>9.9999999999999645E-2</v>
      </c>
      <c r="AK121" s="281">
        <f>AL121-AH121</f>
        <v>8.1</v>
      </c>
      <c r="AL121" s="289">
        <v>10.1</v>
      </c>
      <c r="AM121" s="289">
        <v>0.1</v>
      </c>
      <c r="AN121" s="281">
        <f>AO121-AM121</f>
        <v>0.30000000000000004</v>
      </c>
      <c r="AO121" s="281">
        <f>AO255</f>
        <v>0.4</v>
      </c>
      <c r="AP121" s="281">
        <f>AP255</f>
        <v>0.6</v>
      </c>
      <c r="AQ121" s="281">
        <f>AR121-AP121</f>
        <v>3.9</v>
      </c>
      <c r="AR121" s="281">
        <f>AS121-AO121</f>
        <v>4.5</v>
      </c>
      <c r="AS121" s="289">
        <v>4.9000000000000004</v>
      </c>
      <c r="AT121" s="289">
        <v>0</v>
      </c>
      <c r="AU121" s="281">
        <f>+AV121-AT121</f>
        <v>-13.7</v>
      </c>
      <c r="AV121" s="289">
        <v>-13.7</v>
      </c>
      <c r="AW121" s="281">
        <f>AW255</f>
        <v>-5.4</v>
      </c>
      <c r="AX121" s="281">
        <f>+AY121-AW121</f>
        <v>11.1</v>
      </c>
      <c r="AY121" s="281">
        <f>+AZ121-AV121</f>
        <v>5.6999999999999993</v>
      </c>
      <c r="AZ121" s="281">
        <f>-19+11</f>
        <v>-8</v>
      </c>
      <c r="BA121" s="289">
        <v>1.1000000000000001</v>
      </c>
      <c r="BB121" s="281">
        <f>+BC121-BA121</f>
        <v>11.3</v>
      </c>
      <c r="BC121" s="289">
        <v>12.4</v>
      </c>
      <c r="BD121" s="281">
        <f>20.8-BC121</f>
        <v>8.4</v>
      </c>
      <c r="BE121" s="281">
        <f>+BF121-BD121</f>
        <v>5.5</v>
      </c>
      <c r="BF121" s="281">
        <f>+BG121-BC121</f>
        <v>13.9</v>
      </c>
      <c r="BG121" s="289">
        <v>26.3</v>
      </c>
      <c r="BH121" s="289">
        <v>2.5</v>
      </c>
      <c r="BI121" s="281">
        <f>+BJ121-BH121</f>
        <v>4</v>
      </c>
      <c r="BJ121" s="289">
        <v>6.5</v>
      </c>
      <c r="BK121" s="289">
        <f>15.1-BJ121</f>
        <v>8.6</v>
      </c>
      <c r="BL121" s="281">
        <f>BN121-BK121-BJ121</f>
        <v>-7.9</v>
      </c>
      <c r="BM121" s="281">
        <f>BL121+BK121</f>
        <v>0.69999999999999929</v>
      </c>
      <c r="BN121" s="281">
        <f>29.3-22.1</f>
        <v>7.1999999999999993</v>
      </c>
      <c r="BO121" s="289">
        <f>2.2-9.1</f>
        <v>-6.8999999999999995</v>
      </c>
      <c r="BP121" s="289">
        <f>(-9.1+2.4)-BO121</f>
        <v>0.20000000000000018</v>
      </c>
      <c r="BQ121" s="281">
        <f>BP121+BO121</f>
        <v>-6.6999999999999993</v>
      </c>
      <c r="BR121" s="289">
        <f>(-9.1+2.9)-BQ121</f>
        <v>0.5</v>
      </c>
      <c r="BS121" s="289">
        <f>BU121-BR121-BQ121</f>
        <v>1.1999999999999993</v>
      </c>
      <c r="BT121" s="281">
        <f>BS121+BR121</f>
        <v>1.6999999999999993</v>
      </c>
      <c r="BU121" s="281">
        <f>4.1-9.1</f>
        <v>-5</v>
      </c>
      <c r="BV121" s="289">
        <f>1</f>
        <v>1</v>
      </c>
      <c r="BW121" s="289">
        <f>(-22.3+1.2)-BV121</f>
        <v>-22.1</v>
      </c>
      <c r="BX121" s="281">
        <f>BW121+BV121</f>
        <v>-21.1</v>
      </c>
      <c r="BY121" s="281">
        <f>(-22.3+1.4)-BX121</f>
        <v>0.19999999999999929</v>
      </c>
      <c r="BZ121" s="289">
        <f>CB121-BY121-BX121</f>
        <v>0.70000000000000284</v>
      </c>
      <c r="CA121" s="281">
        <f>BZ121+BY121</f>
        <v>0.90000000000000213</v>
      </c>
      <c r="CB121" s="281">
        <f>2.1-22.3</f>
        <v>-20.2</v>
      </c>
      <c r="CC121" s="289">
        <v>0.1</v>
      </c>
      <c r="CD121" s="289">
        <f>0.3-99.8-CC121</f>
        <v>-99.6</v>
      </c>
      <c r="CE121" s="281">
        <f>SUM(CC121:CD121)</f>
        <v>-99.5</v>
      </c>
      <c r="CF121" s="289">
        <f>-99.8+0.3-CE121</f>
        <v>0</v>
      </c>
      <c r="CG121" s="289">
        <f>CI121-CF121-CE121</f>
        <v>0</v>
      </c>
      <c r="CH121" s="281">
        <f>CG121+CF121</f>
        <v>0</v>
      </c>
      <c r="CI121" s="281">
        <f>0.3-99.8</f>
        <v>-99.5</v>
      </c>
      <c r="CJ121" s="289">
        <v>0.2</v>
      </c>
      <c r="CK121" s="281">
        <f>CK255</f>
        <v>0</v>
      </c>
      <c r="CL121" s="281">
        <f>CL255</f>
        <v>0.2</v>
      </c>
      <c r="CM121" s="289">
        <f>0.2-CL121</f>
        <v>0</v>
      </c>
      <c r="CN121" s="289">
        <f>CP121-CM121-CL121</f>
        <v>0</v>
      </c>
      <c r="CO121" s="281">
        <f>CN121+CM121</f>
        <v>0</v>
      </c>
      <c r="CP121" s="282">
        <v>0.2</v>
      </c>
      <c r="CQ121" s="290">
        <v>0</v>
      </c>
      <c r="CR121" s="282">
        <f t="shared" ref="CR121:CZ121" si="353">CR255</f>
        <v>0</v>
      </c>
      <c r="CS121" s="282">
        <f t="shared" si="353"/>
        <v>0</v>
      </c>
      <c r="CT121" s="282">
        <v>0</v>
      </c>
      <c r="CU121" s="290">
        <f t="shared" si="353"/>
        <v>0</v>
      </c>
      <c r="CV121" s="282">
        <f t="shared" si="353"/>
        <v>0</v>
      </c>
      <c r="CW121" s="282">
        <f t="shared" si="353"/>
        <v>0</v>
      </c>
      <c r="CX121" s="290">
        <f t="shared" si="353"/>
        <v>0</v>
      </c>
      <c r="CY121" s="290">
        <f t="shared" si="353"/>
        <v>0</v>
      </c>
      <c r="CZ121" s="282">
        <f t="shared" si="353"/>
        <v>0</v>
      </c>
      <c r="DA121" s="282">
        <v>0</v>
      </c>
      <c r="DB121" s="290">
        <v>0</v>
      </c>
      <c r="DC121" s="282">
        <f>DC255</f>
        <v>0</v>
      </c>
      <c r="DD121" s="670">
        <f>DD255</f>
        <v>0</v>
      </c>
      <c r="DE121" s="290">
        <v>0</v>
      </c>
      <c r="DF121" s="290">
        <v>0</v>
      </c>
      <c r="DG121" s="282">
        <f>DG255</f>
        <v>0</v>
      </c>
      <c r="DH121" s="282">
        <v>0</v>
      </c>
      <c r="DI121" s="282">
        <f t="shared" si="343"/>
        <v>0.1</v>
      </c>
      <c r="DJ121" s="282">
        <f t="shared" si="344"/>
        <v>0.1</v>
      </c>
      <c r="DK121" s="670">
        <v>0.1</v>
      </c>
      <c r="DL121" s="292">
        <v>0.1</v>
      </c>
      <c r="DM121" s="282">
        <f>+DN121-DL121</f>
        <v>0</v>
      </c>
      <c r="DN121" s="290">
        <v>0.1</v>
      </c>
      <c r="DO121" s="290">
        <f>0.2-DN121</f>
        <v>0.1</v>
      </c>
      <c r="DP121" s="282">
        <f t="shared" si="345"/>
        <v>9.9999999999999978E-2</v>
      </c>
      <c r="DQ121" s="282">
        <f t="shared" si="346"/>
        <v>0.19999999999999998</v>
      </c>
      <c r="DR121" s="670">
        <v>0.3</v>
      </c>
      <c r="DS121" s="290">
        <v>0</v>
      </c>
      <c r="DT121" s="282">
        <f>+DU121-DS121</f>
        <v>0.1</v>
      </c>
      <c r="DU121" s="290">
        <v>0.1</v>
      </c>
      <c r="DV121" s="290">
        <f>0.1-DU121-31.2</f>
        <v>-31.2</v>
      </c>
      <c r="DW121" s="282">
        <f t="shared" si="347"/>
        <v>-47.3</v>
      </c>
      <c r="DX121" s="282">
        <f t="shared" si="348"/>
        <v>-78.5</v>
      </c>
      <c r="DY121" s="670">
        <v>-78.400000000000006</v>
      </c>
      <c r="DZ121" s="290">
        <f>-49+0.1</f>
        <v>-48.9</v>
      </c>
      <c r="EA121" s="282">
        <f>+EB121-DZ121</f>
        <v>49.1</v>
      </c>
      <c r="EB121" s="290">
        <v>0.2</v>
      </c>
      <c r="EC121" s="317">
        <f>0.3-EB121-196.3</f>
        <v>-196.20000000000002</v>
      </c>
      <c r="ED121" s="282">
        <f t="shared" si="349"/>
        <v>-75.399999999999949</v>
      </c>
      <c r="EE121" s="282">
        <f t="shared" si="350"/>
        <v>-271.59999999999997</v>
      </c>
      <c r="EF121" s="670">
        <v>-271.39999999999998</v>
      </c>
      <c r="EG121" s="290">
        <v>-75</v>
      </c>
      <c r="EH121" s="282">
        <f>+EI121-EG121</f>
        <v>75</v>
      </c>
      <c r="EI121" s="290">
        <v>0</v>
      </c>
      <c r="EJ121" s="317">
        <f>0-EI121-149.9</f>
        <v>-149.9</v>
      </c>
      <c r="EK121" s="282">
        <f t="shared" si="351"/>
        <v>0</v>
      </c>
      <c r="EL121" s="282">
        <f t="shared" si="352"/>
        <v>-149.9</v>
      </c>
      <c r="EM121" s="670">
        <v>-149.9</v>
      </c>
      <c r="EN121" s="290">
        <v>0</v>
      </c>
      <c r="EO121" s="282">
        <f>+EP121-EN121</f>
        <v>0</v>
      </c>
      <c r="EP121" s="290">
        <v>0</v>
      </c>
      <c r="EQ121" s="725">
        <v>0</v>
      </c>
      <c r="ER121" s="430">
        <v>0</v>
      </c>
      <c r="ES121" s="282">
        <f>EQ121+ER121</f>
        <v>0</v>
      </c>
      <c r="ET121" s="732">
        <f>EP121+ES121</f>
        <v>0</v>
      </c>
      <c r="EU121" s="430">
        <v>0</v>
      </c>
      <c r="EV121" s="430">
        <v>0</v>
      </c>
      <c r="EW121" s="282">
        <f>EU121+EV121</f>
        <v>0</v>
      </c>
      <c r="EX121" s="430">
        <v>0</v>
      </c>
      <c r="EY121" s="430">
        <v>0</v>
      </c>
      <c r="EZ121" s="282">
        <f>EX121+EY121</f>
        <v>0</v>
      </c>
      <c r="FA121" s="590">
        <f>EW121+EZ121</f>
        <v>0</v>
      </c>
      <c r="FB121" s="430">
        <v>0</v>
      </c>
      <c r="FC121" s="430">
        <v>0</v>
      </c>
      <c r="FD121" s="282">
        <f>FB121+FC121</f>
        <v>0</v>
      </c>
      <c r="FE121" s="430">
        <v>0</v>
      </c>
      <c r="FF121" s="430">
        <v>0</v>
      </c>
      <c r="FG121" s="282">
        <f>FE121+FF121</f>
        <v>0</v>
      </c>
      <c r="FH121" s="590">
        <f>FD121+FG121</f>
        <v>0</v>
      </c>
      <c r="FI121" s="430">
        <v>0</v>
      </c>
      <c r="FJ121" s="430">
        <v>0</v>
      </c>
      <c r="FK121" s="282">
        <f>FI121+FJ121</f>
        <v>0</v>
      </c>
      <c r="FL121" s="430">
        <v>0</v>
      </c>
      <c r="FM121" s="430">
        <v>0</v>
      </c>
      <c r="FN121" s="282">
        <f>FL121+FM121</f>
        <v>0</v>
      </c>
      <c r="FO121" s="590">
        <f>FK121+FN121</f>
        <v>0</v>
      </c>
      <c r="FP121" s="430">
        <v>0</v>
      </c>
      <c r="FQ121" s="430">
        <v>0</v>
      </c>
      <c r="FR121" s="282">
        <f>FP121+FQ121</f>
        <v>0</v>
      </c>
      <c r="FS121" s="430">
        <v>0</v>
      </c>
      <c r="FT121" s="430">
        <v>0</v>
      </c>
      <c r="FU121" s="282">
        <f>FS121+FT121</f>
        <v>0</v>
      </c>
      <c r="FV121" s="590">
        <f>FR121+FU121</f>
        <v>0</v>
      </c>
    </row>
    <row r="122" spans="1:280" outlineLevel="1" x14ac:dyDescent="0.3">
      <c r="B122" s="279" t="s">
        <v>479</v>
      </c>
      <c r="C122" s="280" t="s">
        <v>226</v>
      </c>
      <c r="D122" s="289">
        <v>0.6</v>
      </c>
      <c r="E122" s="281">
        <f>F122-D122</f>
        <v>-0.6</v>
      </c>
      <c r="F122" s="289">
        <v>0</v>
      </c>
      <c r="G122" s="281">
        <f>-25.7-E122-D122</f>
        <v>-25.7</v>
      </c>
      <c r="H122" s="281">
        <f>I122-G122</f>
        <v>169.1</v>
      </c>
      <c r="I122" s="281">
        <f>J122-F122</f>
        <v>143.4</v>
      </c>
      <c r="J122" s="289">
        <f>181-37.6</f>
        <v>143.4</v>
      </c>
      <c r="K122" s="289">
        <f>-44-121.7</f>
        <v>-165.7</v>
      </c>
      <c r="L122" s="281">
        <f>M122-K122</f>
        <v>-2</v>
      </c>
      <c r="M122" s="289">
        <f>-46-121.7</f>
        <v>-167.7</v>
      </c>
      <c r="N122" s="281">
        <f>-93-121.7-L122-K122</f>
        <v>-47</v>
      </c>
      <c r="O122" s="281">
        <f>P122-N122</f>
        <v>99.999999999999986</v>
      </c>
      <c r="P122" s="281">
        <f>Q122-M122</f>
        <v>52.999999999999986</v>
      </c>
      <c r="Q122" s="289">
        <f>-98+105-121.7</f>
        <v>-114.7</v>
      </c>
      <c r="R122" s="289">
        <f>-23-40</f>
        <v>-63</v>
      </c>
      <c r="S122" s="289">
        <f>T122-R122</f>
        <v>-2</v>
      </c>
      <c r="T122" s="289">
        <f>10-75</f>
        <v>-65</v>
      </c>
      <c r="U122" s="289">
        <f>23+91.5-S122-R122</f>
        <v>179.5</v>
      </c>
      <c r="V122" s="289">
        <f>W122-U122</f>
        <v>-38</v>
      </c>
      <c r="W122" s="289">
        <f>X122-T122</f>
        <v>141.5</v>
      </c>
      <c r="X122" s="289">
        <f>7+69.5</f>
        <v>76.5</v>
      </c>
      <c r="Y122" s="326">
        <f>48.3+11.7</f>
        <v>60</v>
      </c>
      <c r="Z122" s="281">
        <f>AA122-Y122</f>
        <v>-58.3</v>
      </c>
      <c r="AA122" s="326">
        <f>14.7-13</f>
        <v>1.6999999999999993</v>
      </c>
      <c r="AB122" s="281">
        <f>8.6+31.7-Z122-Y122</f>
        <v>38.599999999999994</v>
      </c>
      <c r="AC122" s="281">
        <f>AD122-AB122</f>
        <v>19.20000000000006</v>
      </c>
      <c r="AD122" s="281">
        <f>AE122-AA122</f>
        <v>57.800000000000054</v>
      </c>
      <c r="AE122" s="289">
        <f>128.8-125.5+431.6-375.4</f>
        <v>59.500000000000057</v>
      </c>
      <c r="AF122" s="289">
        <f>15-43.3-24.7</f>
        <v>-53</v>
      </c>
      <c r="AG122" s="281">
        <f>AH122-AF122</f>
        <v>-59</v>
      </c>
      <c r="AH122" s="289">
        <f>-102.3+15-24.7</f>
        <v>-112</v>
      </c>
      <c r="AI122" s="281">
        <f>-111.9+131.9-178.3-AG122-AF122</f>
        <v>-46.300000000000011</v>
      </c>
      <c r="AJ122" s="281">
        <f>AK122-AI122</f>
        <v>-11.699999999999989</v>
      </c>
      <c r="AK122" s="281">
        <f>AL122-AH122</f>
        <v>-58</v>
      </c>
      <c r="AL122" s="289">
        <f>-93.3+274-350.7</f>
        <v>-170</v>
      </c>
      <c r="AM122" s="326">
        <f>376-315</f>
        <v>61</v>
      </c>
      <c r="AN122" s="281">
        <f>AO122-AM122</f>
        <v>-58</v>
      </c>
      <c r="AO122" s="289">
        <f>392-389</f>
        <v>3</v>
      </c>
      <c r="AP122" s="281">
        <f>417-489-AO122</f>
        <v>-75</v>
      </c>
      <c r="AQ122" s="281">
        <f>AR122-AP122</f>
        <v>-23</v>
      </c>
      <c r="AR122" s="281">
        <f>AS122-AO122</f>
        <v>-98</v>
      </c>
      <c r="AS122" s="289">
        <f>460-555</f>
        <v>-95</v>
      </c>
      <c r="AT122" s="326">
        <f>80-36</f>
        <v>44</v>
      </c>
      <c r="AU122" s="281">
        <f>+AV122-AT122</f>
        <v>-43</v>
      </c>
      <c r="AV122" s="281">
        <f>113-112</f>
        <v>1</v>
      </c>
      <c r="AW122" s="281">
        <f>123-169-AV122</f>
        <v>-47</v>
      </c>
      <c r="AX122" s="281">
        <f>+AY122-AW122</f>
        <v>-13</v>
      </c>
      <c r="AY122" s="281">
        <f>+AZ122-AV122</f>
        <v>-60</v>
      </c>
      <c r="AZ122" s="281">
        <f>160-219</f>
        <v>-59</v>
      </c>
      <c r="BA122" s="289">
        <v>0</v>
      </c>
      <c r="BB122" s="281">
        <f>+BC122-BA122</f>
        <v>0</v>
      </c>
      <c r="BC122" s="289">
        <v>0</v>
      </c>
      <c r="BD122" s="281">
        <f>0-BC122</f>
        <v>0</v>
      </c>
      <c r="BE122" s="281">
        <f>+BF122-BD122</f>
        <v>0</v>
      </c>
      <c r="BF122" s="281">
        <f>+BG122-BC122</f>
        <v>0</v>
      </c>
      <c r="BG122" s="289">
        <v>0</v>
      </c>
      <c r="BH122" s="289">
        <v>0</v>
      </c>
      <c r="BI122" s="281">
        <f>+BJ122-BH122</f>
        <v>0</v>
      </c>
      <c r="BJ122" s="289">
        <v>0</v>
      </c>
      <c r="BK122" s="289">
        <v>0</v>
      </c>
      <c r="BL122" s="281">
        <f>BN122-BK122-BJ122</f>
        <v>9.5999999999999943</v>
      </c>
      <c r="BM122" s="281">
        <f>BL122+BK122</f>
        <v>9.5999999999999943</v>
      </c>
      <c r="BN122" s="281">
        <f>+BN124-BN121-BN120-BN123</f>
        <v>9.5999999999999943</v>
      </c>
      <c r="BO122" s="289">
        <v>0</v>
      </c>
      <c r="BP122" s="289">
        <f>(440-60)-BO122</f>
        <v>380</v>
      </c>
      <c r="BQ122" s="281">
        <f>BP122+BO122</f>
        <v>380</v>
      </c>
      <c r="BR122" s="289">
        <f>580-190-BQ122</f>
        <v>10</v>
      </c>
      <c r="BS122" s="289">
        <f>BU122-BR122-BQ122</f>
        <v>-0.90000000000009095</v>
      </c>
      <c r="BT122" s="281">
        <f>BS122+BR122</f>
        <v>9.0999999999999091</v>
      </c>
      <c r="BU122" s="281">
        <f>717+314.1-642</f>
        <v>389.09999999999991</v>
      </c>
      <c r="BV122" s="289">
        <f>-15</f>
        <v>-15</v>
      </c>
      <c r="BW122" s="289">
        <f>(313-120)-BV122</f>
        <v>208</v>
      </c>
      <c r="BX122" s="281">
        <f>BW122+BV122</f>
        <v>193</v>
      </c>
      <c r="BY122" s="289">
        <f>513-413-BX122</f>
        <v>-93</v>
      </c>
      <c r="BZ122" s="289">
        <f>CB122-BY122-BX122</f>
        <v>15</v>
      </c>
      <c r="CA122" s="281">
        <f>BZ122+BY122</f>
        <v>-78</v>
      </c>
      <c r="CB122" s="281">
        <f>528-413</f>
        <v>115</v>
      </c>
      <c r="CC122" s="289">
        <f>5-115</f>
        <v>-110</v>
      </c>
      <c r="CD122" s="289">
        <f>+(295-260+77.3)-CC122</f>
        <v>222.3</v>
      </c>
      <c r="CE122" s="281">
        <f>CD122+CC122</f>
        <v>112.30000000000001</v>
      </c>
      <c r="CF122" s="289">
        <f>305-385+77.3-CE122</f>
        <v>-115.00000000000001</v>
      </c>
      <c r="CG122" s="289">
        <f>CI122-CF122-CE122</f>
        <v>65</v>
      </c>
      <c r="CH122" s="281">
        <f>CG122+CF122</f>
        <v>-50.000000000000014</v>
      </c>
      <c r="CI122" s="281">
        <f>395+77.3-410</f>
        <v>62.300000000000011</v>
      </c>
      <c r="CJ122" s="289">
        <f>30-55</f>
        <v>-25</v>
      </c>
      <c r="CK122" s="289">
        <f>280-165-CJ122</f>
        <v>140</v>
      </c>
      <c r="CL122" s="281">
        <f>CK122+CJ122</f>
        <v>115</v>
      </c>
      <c r="CM122" s="289">
        <f>280-455+800-400-CL122</f>
        <v>110</v>
      </c>
      <c r="CN122" s="289">
        <f>CP122-CM122-CL122</f>
        <v>100</v>
      </c>
      <c r="CO122" s="281">
        <f>CN122+CM122</f>
        <v>210</v>
      </c>
      <c r="CP122" s="282">
        <f>380+800-455-400</f>
        <v>325</v>
      </c>
      <c r="CQ122" s="290">
        <f>-100+492.4</f>
        <v>392.4</v>
      </c>
      <c r="CR122" s="290">
        <v>120</v>
      </c>
      <c r="CS122" s="282">
        <f>CR122+CQ122</f>
        <v>512.4</v>
      </c>
      <c r="CT122" s="290">
        <f>-30+492.4-458.8+452.7-CS122</f>
        <v>-56.100000000000023</v>
      </c>
      <c r="CU122" s="290">
        <v>80</v>
      </c>
      <c r="CV122" s="282">
        <f>CU122+CT122</f>
        <v>23.899999999999977</v>
      </c>
      <c r="CW122" s="282">
        <f>CV122+CS122</f>
        <v>536.29999999999995</v>
      </c>
      <c r="CX122" s="290">
        <v>-80.099999999999994</v>
      </c>
      <c r="CY122" s="290">
        <f>60-CX122</f>
        <v>140.1</v>
      </c>
      <c r="CZ122" s="282">
        <f>CY122+CX122</f>
        <v>60</v>
      </c>
      <c r="DA122" s="290">
        <f>30-CZ122</f>
        <v>-30</v>
      </c>
      <c r="DB122" s="290">
        <f>+-20-DA122-CZ122</f>
        <v>-50</v>
      </c>
      <c r="DC122" s="282">
        <f>DB122+DA122</f>
        <v>-80</v>
      </c>
      <c r="DD122" s="670">
        <f>DC122+CZ122</f>
        <v>-20</v>
      </c>
      <c r="DE122" s="290">
        <v>-130</v>
      </c>
      <c r="DF122" s="290">
        <f>-130-DE122</f>
        <v>0</v>
      </c>
      <c r="DG122" s="282">
        <f>DF122+DE122</f>
        <v>-130</v>
      </c>
      <c r="DH122" s="290">
        <f>+-130-DG122</f>
        <v>0</v>
      </c>
      <c r="DI122" s="282">
        <f t="shared" si="343"/>
        <v>-400</v>
      </c>
      <c r="DJ122" s="282">
        <f t="shared" si="344"/>
        <v>-400</v>
      </c>
      <c r="DK122" s="670">
        <f>-130-400</f>
        <v>-530</v>
      </c>
      <c r="DL122" s="292">
        <f>110-40</f>
        <v>70</v>
      </c>
      <c r="DM122" s="282">
        <f>+DN122-DL122</f>
        <v>-70</v>
      </c>
      <c r="DN122" s="290">
        <v>0</v>
      </c>
      <c r="DO122" s="290">
        <f>320-270-DN122</f>
        <v>50</v>
      </c>
      <c r="DP122" s="282">
        <f t="shared" si="345"/>
        <v>-10</v>
      </c>
      <c r="DQ122" s="282">
        <f t="shared" si="346"/>
        <v>40</v>
      </c>
      <c r="DR122" s="670">
        <f>390-350</f>
        <v>40</v>
      </c>
      <c r="DS122" s="290">
        <f>40-30</f>
        <v>10</v>
      </c>
      <c r="DT122" s="282">
        <f>+DU122-DS122</f>
        <v>100</v>
      </c>
      <c r="DU122" s="290">
        <f>230-120</f>
        <v>110</v>
      </c>
      <c r="DV122" s="290">
        <f>270-140-DU122</f>
        <v>20</v>
      </c>
      <c r="DW122" s="282">
        <f t="shared" si="347"/>
        <v>60</v>
      </c>
      <c r="DX122" s="282">
        <f t="shared" si="348"/>
        <v>80</v>
      </c>
      <c r="DY122" s="670">
        <f>450-260</f>
        <v>190</v>
      </c>
      <c r="DZ122" s="290">
        <v>-80</v>
      </c>
      <c r="EA122" s="282">
        <f>+EB122-DZ122</f>
        <v>-10</v>
      </c>
      <c r="EB122" s="290">
        <f>95-185</f>
        <v>-90</v>
      </c>
      <c r="EC122" s="317">
        <f>95-325-EB122</f>
        <v>-140</v>
      </c>
      <c r="ED122" s="282">
        <f t="shared" si="349"/>
        <v>0</v>
      </c>
      <c r="EE122" s="282">
        <f t="shared" si="350"/>
        <v>-140</v>
      </c>
      <c r="EF122" s="670">
        <f>95-325</f>
        <v>-230</v>
      </c>
      <c r="EG122" s="290">
        <v>0</v>
      </c>
      <c r="EH122" s="282">
        <f>+EI122-EG122</f>
        <v>-3.8</v>
      </c>
      <c r="EI122" s="290">
        <v>-3.8</v>
      </c>
      <c r="EJ122" s="317">
        <f>0-0-EI122-5.6</f>
        <v>-1.7999999999999998</v>
      </c>
      <c r="EK122" s="282">
        <f t="shared" si="351"/>
        <v>-1.9000000000000004</v>
      </c>
      <c r="EL122" s="282">
        <f t="shared" si="352"/>
        <v>-3.7</v>
      </c>
      <c r="EM122" s="670">
        <v>-7.5</v>
      </c>
      <c r="EN122" s="290">
        <f>1700-6.3</f>
        <v>1693.7</v>
      </c>
      <c r="EO122" s="282">
        <f>+EP122-EN122</f>
        <v>2204.6999999999998</v>
      </c>
      <c r="EP122" s="290">
        <f>1700+2500-301.6</f>
        <v>3898.4</v>
      </c>
      <c r="EQ122" s="725">
        <f>(1700+2500+70+-312.5+-465.2)-EP122</f>
        <v>-406.09999999999991</v>
      </c>
      <c r="ER122" s="282">
        <f>IF((ER110+ER118+ER120+ER121+ER123)&gt;EQ201,-EQ201,-(ER110+ER118+ER120+ER121+ER123))</f>
        <v>-100.4557543529037</v>
      </c>
      <c r="ES122" s="282">
        <f>ER122+EQ122</f>
        <v>-506.55575435290359</v>
      </c>
      <c r="ET122" s="732">
        <f>ES122+EP122</f>
        <v>3391.8442456470966</v>
      </c>
      <c r="EU122" s="282">
        <f>IF((EU110+EU118+EU120+EU121+EU123)&gt;ET201,-ET201,-(EU110+EU118+EU120+EU121+EU123))</f>
        <v>-247.00381034226368</v>
      </c>
      <c r="EV122" s="282">
        <f>IF((EV110+EV118+EV120+EV121+EV123)&gt;EU201,-EU201,-(EV110+EV118+EV120+EV121+EV123))</f>
        <v>-84.775111880681152</v>
      </c>
      <c r="EW122" s="282">
        <f>EV122+EU122</f>
        <v>-331.77892222294486</v>
      </c>
      <c r="EX122" s="282">
        <f>IF((EX110+EX118+EX120+EX121+EX123)&gt;EW201,-EW201,-(EX110+EX118+EX120+EX121+EX123))</f>
        <v>-168.76206522470821</v>
      </c>
      <c r="EY122" s="282">
        <f>IF((EY110+EY118+EY120+EY121+EY123)&gt;EX201,-EX201,-(EY110+EY118+EY120+EY121+EY123))</f>
        <v>-66.632486208387846</v>
      </c>
      <c r="EZ122" s="282">
        <f>EY122+EX122</f>
        <v>-235.39455143309607</v>
      </c>
      <c r="FA122" s="590">
        <f>EZ122+EW122</f>
        <v>-567.17347365604087</v>
      </c>
      <c r="FB122" s="282">
        <f>IF((FB110+FB118+FB120+FB121+FB123)&gt;FA201,-FA201,-(FB110+FB118+FB120+FB121+FB123))</f>
        <v>-296.39596396699915</v>
      </c>
      <c r="FC122" s="282">
        <f>IF((FC110+FC118+FC120+FC121+FC123)&gt;FB201,-FB201,-(FC110+FC118+FC120+FC121+FC123))</f>
        <v>-123.11481844016154</v>
      </c>
      <c r="FD122" s="282">
        <f>FC122+FB122</f>
        <v>-419.51078240716072</v>
      </c>
      <c r="FE122" s="282">
        <f>IF((FE110+FE118+FE120+FE121+FE123)&gt;FD201,-FD201,-(FE110+FE118+FE120+FE121+FE123))</f>
        <v>-228.01129485250465</v>
      </c>
      <c r="FF122" s="282">
        <f>IF((FF110+FF118+FF120+FF121+FF123)&gt;FE201,-FE201,-(FF110+FF118+FF120+FF121+FF123))</f>
        <v>-107.35189325638842</v>
      </c>
      <c r="FG122" s="282">
        <f>FF122+FE122</f>
        <v>-335.36318810889304</v>
      </c>
      <c r="FH122" s="590">
        <f>FG122+FD122</f>
        <v>-754.87397051605376</v>
      </c>
      <c r="FI122" s="282">
        <f>IF((FI110+FI118+FI120+FI121+FI123)&gt;FH201,-FH201,-(FI110+FI118+FI120+FI121+FI123))</f>
        <v>-361.30052025002084</v>
      </c>
      <c r="FJ122" s="282">
        <f>IF((FJ110+FJ118+FJ120+FJ121+FJ123)&gt;FI201,-FI201,-(FJ110+FJ118+FJ120+FJ121+FJ123))</f>
        <v>-160.81758567247752</v>
      </c>
      <c r="FK122" s="282">
        <f>FJ122+FI122</f>
        <v>-522.11810592249833</v>
      </c>
      <c r="FL122" s="282">
        <f>IF((FL110+FL118+FL120+FL121+FL123)&gt;FK201,-FK201,-(FL110+FL118+FL120+FL121+FL123))</f>
        <v>-271.46477287664612</v>
      </c>
      <c r="FM122" s="282">
        <f>IF((FM110+FM118+FM120+FM121+FM123)&gt;FL201,-FL201,-(FM110+FM118+FM120+FM121+FM123))</f>
        <v>-141.95026963915348</v>
      </c>
      <c r="FN122" s="282">
        <f>FM122+FL122</f>
        <v>-413.4150425157996</v>
      </c>
      <c r="FO122" s="590">
        <f>FN122+FK122</f>
        <v>-935.53314843829799</v>
      </c>
      <c r="FP122" s="282">
        <f>IF((FP110+FP118+FP120+FP121+FP123)&gt;FO201,-FO201,-(FP110+FP118+FP120+FP121+FP123))</f>
        <v>-409.15208465554701</v>
      </c>
      <c r="FQ122" s="282">
        <f>IF((FQ110+FQ118+FQ120+FQ121+FQ123)&gt;FP201,-FP201,-(FQ110+FQ118+FQ120+FQ121+FQ123))</f>
        <v>-200.04434553587902</v>
      </c>
      <c r="FR122" s="282">
        <f>FQ122+FP122</f>
        <v>-609.19643019142609</v>
      </c>
      <c r="FS122" s="282">
        <f>IF((FS110+FS118+FS120+FS121+FS123)&gt;FR201,-FR201,-(FS110+FS118+FS120+FS121+FS123))</f>
        <v>-319.4456052428169</v>
      </c>
      <c r="FT122" s="282">
        <f>IF((FT110+FT118+FT120+FT121+FT123)&gt;FS201,-FS201,-(FT110+FT118+FT120+FT121+FT123))</f>
        <v>-180.73917892525105</v>
      </c>
      <c r="FU122" s="282">
        <f>FT122+FS122</f>
        <v>-500.18478416806795</v>
      </c>
      <c r="FV122" s="590">
        <f>FU122+FR122</f>
        <v>-1109.3812143594942</v>
      </c>
      <c r="FW122" s="640"/>
    </row>
    <row r="123" spans="1:280" outlineLevel="1" x14ac:dyDescent="0.3">
      <c r="B123" s="279" t="s">
        <v>49</v>
      </c>
      <c r="C123" s="280" t="s">
        <v>226</v>
      </c>
      <c r="D123" s="326">
        <f>0.6+0.1</f>
        <v>0.7</v>
      </c>
      <c r="E123" s="281">
        <f>F123-D123</f>
        <v>0.8</v>
      </c>
      <c r="F123" s="289">
        <f>1.3+0.2</f>
        <v>1.5</v>
      </c>
      <c r="G123" s="281">
        <f>1.3+0.2-E123-D123</f>
        <v>0</v>
      </c>
      <c r="H123" s="281">
        <f>I123-G123</f>
        <v>1</v>
      </c>
      <c r="I123" s="281">
        <f>J123-F123</f>
        <v>1</v>
      </c>
      <c r="J123" s="289">
        <f>0.3+2.2</f>
        <v>2.5</v>
      </c>
      <c r="K123" s="289">
        <v>0</v>
      </c>
      <c r="L123" s="281">
        <f>M123-K123</f>
        <v>0.2</v>
      </c>
      <c r="M123" s="289">
        <f>0.1+0.1</f>
        <v>0.2</v>
      </c>
      <c r="N123" s="281">
        <f>1.6+0.1-L123-K123</f>
        <v>1.5000000000000002</v>
      </c>
      <c r="O123" s="281">
        <f>P123-N123</f>
        <v>0.19999999999999996</v>
      </c>
      <c r="P123" s="281">
        <f>Q123-M123</f>
        <v>1.7000000000000002</v>
      </c>
      <c r="Q123" s="289">
        <f>0.1+1.8</f>
        <v>1.9000000000000001</v>
      </c>
      <c r="R123" s="289">
        <v>0.2</v>
      </c>
      <c r="S123" s="289">
        <f>T123-R123</f>
        <v>-47.1</v>
      </c>
      <c r="T123" s="289">
        <f>0.2-47.1</f>
        <v>-46.9</v>
      </c>
      <c r="U123" s="289">
        <f>-196.3+0.1-S123-R123</f>
        <v>-149.30000000000001</v>
      </c>
      <c r="V123" s="289">
        <f>W123-U123</f>
        <v>-11.799999999999983</v>
      </c>
      <c r="W123" s="289">
        <f>X123-T123</f>
        <v>-161.1</v>
      </c>
      <c r="X123" s="289">
        <v>-208</v>
      </c>
      <c r="Y123" s="326"/>
      <c r="Z123" s="281">
        <f>AA123-Y123</f>
        <v>0</v>
      </c>
      <c r="AA123" s="289">
        <v>0</v>
      </c>
      <c r="AB123" s="281">
        <f>-0.8-SUM(AA120:AB122)</f>
        <v>-6.599999999999997</v>
      </c>
      <c r="AC123" s="281">
        <f>AD123-AB123</f>
        <v>6.599999999999997</v>
      </c>
      <c r="AD123" s="281">
        <f>AE123-AA123</f>
        <v>0</v>
      </c>
      <c r="AE123" s="289">
        <v>0</v>
      </c>
      <c r="AF123" s="289">
        <v>0</v>
      </c>
      <c r="AG123" s="281">
        <f>AH123-AF123</f>
        <v>0</v>
      </c>
      <c r="AH123" s="289">
        <v>0</v>
      </c>
      <c r="AI123" s="281">
        <f>-122.8-SUM(AH120:AI122)</f>
        <v>25.500000000000014</v>
      </c>
      <c r="AJ123" s="281">
        <f>AK123-AI123</f>
        <v>-24.600000000000016</v>
      </c>
      <c r="AK123" s="281">
        <f>AL123-AH123</f>
        <v>0.9</v>
      </c>
      <c r="AL123" s="289">
        <v>0.9</v>
      </c>
      <c r="AM123" s="437">
        <v>0</v>
      </c>
      <c r="AN123" s="392">
        <f>AO123-AM123</f>
        <v>0.5</v>
      </c>
      <c r="AO123" s="437">
        <v>0.5</v>
      </c>
      <c r="AP123" s="437">
        <v>0.3</v>
      </c>
      <c r="AQ123" s="281">
        <f>AR123-AP123</f>
        <v>-0.39999999999999997</v>
      </c>
      <c r="AR123" s="281">
        <f>AS123-AO123</f>
        <v>-9.9999999999999978E-2</v>
      </c>
      <c r="AS123" s="427">
        <v>0.4</v>
      </c>
      <c r="AT123" s="427">
        <v>0.7</v>
      </c>
      <c r="AU123" s="426">
        <f>+AV123-AT123</f>
        <v>0.8</v>
      </c>
      <c r="AV123" s="427">
        <v>1.5</v>
      </c>
      <c r="AW123" s="427">
        <v>2.4999999999999929</v>
      </c>
      <c r="AX123" s="426">
        <f>+AY123-AW123</f>
        <v>-3.9999999999999929</v>
      </c>
      <c r="AY123" s="426">
        <f>+AZ123-AV123</f>
        <v>-1.5</v>
      </c>
      <c r="AZ123" s="427">
        <v>0</v>
      </c>
      <c r="BA123" s="427">
        <v>0</v>
      </c>
      <c r="BB123" s="427">
        <v>0</v>
      </c>
      <c r="BC123" s="426">
        <f>BB123+BA123</f>
        <v>0</v>
      </c>
      <c r="BD123" s="426">
        <f>0.9-BC123</f>
        <v>0.9</v>
      </c>
      <c r="BE123" s="426">
        <f>+BF123-BD123</f>
        <v>2.6</v>
      </c>
      <c r="BF123" s="426">
        <f>+BG123-BC123</f>
        <v>3.5</v>
      </c>
      <c r="BG123" s="427">
        <v>3.5</v>
      </c>
      <c r="BH123" s="427">
        <v>0.2</v>
      </c>
      <c r="BI123" s="426">
        <f>+BJ123-BH123</f>
        <v>-1.7</v>
      </c>
      <c r="BJ123" s="426">
        <f>0.3-1.8</f>
        <v>-1.5</v>
      </c>
      <c r="BK123" s="426">
        <f>1.1-5.1-BJ123</f>
        <v>-2.4999999999999996</v>
      </c>
      <c r="BL123" s="427">
        <v>0</v>
      </c>
      <c r="BM123" s="426">
        <f>BL123+BK123</f>
        <v>-2.4999999999999996</v>
      </c>
      <c r="BN123" s="426">
        <f>+BM123+BJ123</f>
        <v>-3.9999999999999996</v>
      </c>
      <c r="BO123" s="427">
        <v>0.3</v>
      </c>
      <c r="BP123" s="427">
        <f>0.4-BO123</f>
        <v>0.10000000000000003</v>
      </c>
      <c r="BQ123" s="426">
        <f>BP123+BO123</f>
        <v>0.4</v>
      </c>
      <c r="BR123" s="427">
        <f>0.6-BQ123</f>
        <v>0.19999999999999996</v>
      </c>
      <c r="BS123" s="427">
        <f>BU123-BR123-BQ123</f>
        <v>0.79999999999999993</v>
      </c>
      <c r="BT123" s="426">
        <f>BS123+BR123</f>
        <v>0.99999999999999989</v>
      </c>
      <c r="BU123" s="427">
        <v>1.4</v>
      </c>
      <c r="BV123" s="427">
        <f>0.2</f>
        <v>0.2</v>
      </c>
      <c r="BW123" s="427">
        <f>2.6-BV123</f>
        <v>2.4</v>
      </c>
      <c r="BX123" s="426">
        <f>BW123+BV123</f>
        <v>2.6</v>
      </c>
      <c r="BY123" s="427">
        <f>2.8-2.9-BX123</f>
        <v>-2.7</v>
      </c>
      <c r="BZ123" s="427">
        <f>CB123-BY123-BX123</f>
        <v>-2.6</v>
      </c>
      <c r="CA123" s="426">
        <f>BZ123+BY123</f>
        <v>-5.3000000000000007</v>
      </c>
      <c r="CB123" s="426">
        <f>-3.1+0.4</f>
        <v>-2.7</v>
      </c>
      <c r="CC123" s="427">
        <v>0</v>
      </c>
      <c r="CD123" s="427">
        <f>-1.7+2.4</f>
        <v>0.7</v>
      </c>
      <c r="CE123" s="426">
        <f>CD123+CC123</f>
        <v>0.7</v>
      </c>
      <c r="CF123" s="427">
        <f>-1.7+2.9-CE123</f>
        <v>0.5</v>
      </c>
      <c r="CG123" s="427">
        <f>CI123-CF123-CE123</f>
        <v>0.10000000000000009</v>
      </c>
      <c r="CH123" s="426">
        <f>CG123+CF123</f>
        <v>0.60000000000000009</v>
      </c>
      <c r="CI123" s="426">
        <f>3-1.7</f>
        <v>1.3</v>
      </c>
      <c r="CJ123" s="427">
        <v>0</v>
      </c>
      <c r="CK123" s="427">
        <v>0.2</v>
      </c>
      <c r="CL123" s="426">
        <f>CK123+CJ123</f>
        <v>0.2</v>
      </c>
      <c r="CM123" s="427">
        <f>-13.9-19.5-CL123</f>
        <v>-33.6</v>
      </c>
      <c r="CN123" s="427">
        <f>CP123-CM123-CL123</f>
        <v>-1.8000000000000014</v>
      </c>
      <c r="CO123" s="426">
        <f>CN123+CM123</f>
        <v>-35.400000000000006</v>
      </c>
      <c r="CP123" s="428">
        <f>-15.7-19.5</f>
        <v>-35.200000000000003</v>
      </c>
      <c r="CQ123" s="429">
        <v>0</v>
      </c>
      <c r="CR123" s="430">
        <v>0</v>
      </c>
      <c r="CS123" s="428">
        <f>CR123+CQ123</f>
        <v>0</v>
      </c>
      <c r="CT123" s="429">
        <f>-6.1-CS123</f>
        <v>-6.1</v>
      </c>
      <c r="CU123" s="429">
        <v>-1</v>
      </c>
      <c r="CV123" s="428">
        <f>CU123+CT123</f>
        <v>-7.1</v>
      </c>
      <c r="CW123" s="428">
        <f>CV123+CS123</f>
        <v>-7.1</v>
      </c>
      <c r="CX123" s="429">
        <v>0</v>
      </c>
      <c r="CY123" s="429">
        <v>-0.2</v>
      </c>
      <c r="CZ123" s="428">
        <f>CY123+CX123</f>
        <v>-0.2</v>
      </c>
      <c r="DA123" s="429">
        <v>-0.3</v>
      </c>
      <c r="DB123" s="429">
        <v>0</v>
      </c>
      <c r="DC123" s="428">
        <f>DB123+DA123</f>
        <v>-0.3</v>
      </c>
      <c r="DD123" s="672">
        <f>DC123+CZ123</f>
        <v>-0.5</v>
      </c>
      <c r="DE123" s="429">
        <v>-0.1</v>
      </c>
      <c r="DF123" s="429">
        <f>-0.4-DE123</f>
        <v>-0.30000000000000004</v>
      </c>
      <c r="DG123" s="428">
        <f>DF123+DE123</f>
        <v>-0.4</v>
      </c>
      <c r="DH123" s="429">
        <f>+-0.6-DG123</f>
        <v>-0.19999999999999996</v>
      </c>
      <c r="DI123" s="428">
        <f t="shared" si="343"/>
        <v>-9.7000000000000011</v>
      </c>
      <c r="DJ123" s="428">
        <f t="shared" si="344"/>
        <v>-9.9</v>
      </c>
      <c r="DK123" s="672">
        <f>+-9.5-0.8</f>
        <v>-10.3</v>
      </c>
      <c r="DL123" s="431">
        <v>-0.2</v>
      </c>
      <c r="DM123" s="282">
        <f>+DN123-DL123</f>
        <v>-3.0999999999999996</v>
      </c>
      <c r="DN123" s="429">
        <f>+-0.5-2.8</f>
        <v>-3.3</v>
      </c>
      <c r="DO123" s="429">
        <f>+-2.1-0.8-2.8-DN123</f>
        <v>-2.4000000000000004</v>
      </c>
      <c r="DP123" s="428">
        <f t="shared" si="345"/>
        <v>-0.20000000000000018</v>
      </c>
      <c r="DQ123" s="428">
        <f t="shared" si="346"/>
        <v>-2.6000000000000005</v>
      </c>
      <c r="DR123" s="672">
        <f>+-2.1-1-2.8</f>
        <v>-5.9</v>
      </c>
      <c r="DS123" s="429">
        <f>-0.3-0.8</f>
        <v>-1.1000000000000001</v>
      </c>
      <c r="DT123" s="282">
        <f>+DU123-DS123</f>
        <v>-3.5999999999999992</v>
      </c>
      <c r="DU123" s="429">
        <f>-0.6+-4.1</f>
        <v>-4.6999999999999993</v>
      </c>
      <c r="DV123" s="290">
        <f>0-0.8-5.8-DU123</f>
        <v>-1.9000000000000004</v>
      </c>
      <c r="DW123" s="428">
        <f t="shared" si="347"/>
        <v>-0.79999999999999982</v>
      </c>
      <c r="DX123" s="428">
        <f t="shared" si="348"/>
        <v>-2.7</v>
      </c>
      <c r="DY123" s="672">
        <f>0.2-1.5-6.1</f>
        <v>-7.3999999999999995</v>
      </c>
      <c r="DZ123" s="429">
        <f>-0.3</f>
        <v>-0.3</v>
      </c>
      <c r="EA123" s="282">
        <f>+EB123-DZ123</f>
        <v>-122.8</v>
      </c>
      <c r="EB123" s="429">
        <f>-0.5-1.3-121.3</f>
        <v>-123.1</v>
      </c>
      <c r="EC123" s="317">
        <f>-1.2-0.8-4.9-EB123+300</f>
        <v>416.2</v>
      </c>
      <c r="ED123" s="428">
        <f t="shared" si="349"/>
        <v>-298.7</v>
      </c>
      <c r="EE123" s="428">
        <f t="shared" si="350"/>
        <v>117.5</v>
      </c>
      <c r="EF123" s="672">
        <f>0.4-1.1-4.9</f>
        <v>-5.6000000000000005</v>
      </c>
      <c r="EG123" s="429">
        <f>-0.3+-0.2+-1.9</f>
        <v>-2.4</v>
      </c>
      <c r="EH123" s="282">
        <f>+EI123-EG123</f>
        <v>-150.29999999999998</v>
      </c>
      <c r="EI123" s="429">
        <f>-149.9+-2.2+-0.6</f>
        <v>-152.69999999999999</v>
      </c>
      <c r="EJ123" s="317">
        <f>0-0.9-7.3-EI123+0</f>
        <v>144.5</v>
      </c>
      <c r="EK123" s="428">
        <f t="shared" si="351"/>
        <v>-0.30000000000001137</v>
      </c>
      <c r="EL123" s="428">
        <f t="shared" si="352"/>
        <v>144.19999999999999</v>
      </c>
      <c r="EM123" s="672">
        <f>-1.2+-7.3</f>
        <v>-8.5</v>
      </c>
      <c r="EN123" s="429">
        <f>-290.6+-0.3</f>
        <v>-290.90000000000003</v>
      </c>
      <c r="EO123" s="282">
        <f>+EP123-EN123</f>
        <v>241.10000000000002</v>
      </c>
      <c r="EP123" s="429">
        <f>-42+-1.5+-6.3</f>
        <v>-49.8</v>
      </c>
      <c r="EQ123" s="730">
        <f>(-41.6+-2.8+-11.7)-EP123</f>
        <v>-6.2999999999999972</v>
      </c>
      <c r="ER123" s="430">
        <v>0</v>
      </c>
      <c r="ES123" s="428">
        <f>ER123+EQ123</f>
        <v>-6.2999999999999972</v>
      </c>
      <c r="ET123" s="734">
        <f>ES123+EP123</f>
        <v>-56.099999999999994</v>
      </c>
      <c r="EU123" s="430">
        <v>0</v>
      </c>
      <c r="EV123" s="430">
        <v>0</v>
      </c>
      <c r="EW123" s="428">
        <f>EV123+EU123</f>
        <v>0</v>
      </c>
      <c r="EX123" s="430">
        <v>0</v>
      </c>
      <c r="EY123" s="430">
        <v>0</v>
      </c>
      <c r="EZ123" s="428">
        <f>EY123+EX123</f>
        <v>0</v>
      </c>
      <c r="FA123" s="605">
        <f>EZ123+EW123</f>
        <v>0</v>
      </c>
      <c r="FB123" s="430">
        <v>0</v>
      </c>
      <c r="FC123" s="430">
        <v>0</v>
      </c>
      <c r="FD123" s="428">
        <f>FC123+FB123</f>
        <v>0</v>
      </c>
      <c r="FE123" s="430">
        <v>0</v>
      </c>
      <c r="FF123" s="430">
        <v>0</v>
      </c>
      <c r="FG123" s="428">
        <f>FF123+FE123</f>
        <v>0</v>
      </c>
      <c r="FH123" s="605">
        <f>FG123+FD123</f>
        <v>0</v>
      </c>
      <c r="FI123" s="430">
        <v>0</v>
      </c>
      <c r="FJ123" s="430">
        <v>0</v>
      </c>
      <c r="FK123" s="428">
        <f>FJ123+FI123</f>
        <v>0</v>
      </c>
      <c r="FL123" s="430">
        <v>0</v>
      </c>
      <c r="FM123" s="430">
        <v>0</v>
      </c>
      <c r="FN123" s="428">
        <f>FM123+FL123</f>
        <v>0</v>
      </c>
      <c r="FO123" s="605">
        <f>FN123+FK123</f>
        <v>0</v>
      </c>
      <c r="FP123" s="430">
        <v>0</v>
      </c>
      <c r="FQ123" s="430">
        <v>0</v>
      </c>
      <c r="FR123" s="428">
        <f>FQ123+FP123</f>
        <v>0</v>
      </c>
      <c r="FS123" s="430">
        <v>0</v>
      </c>
      <c r="FT123" s="430">
        <v>0</v>
      </c>
      <c r="FU123" s="428">
        <f>FT123+FS123</f>
        <v>0</v>
      </c>
      <c r="FV123" s="605">
        <f>FU123+FR123</f>
        <v>0</v>
      </c>
      <c r="FW123" s="641"/>
      <c r="FX123" s="641"/>
      <c r="FY123" s="641"/>
      <c r="FZ123" s="641"/>
      <c r="GA123" s="641"/>
    </row>
    <row r="124" spans="1:280" s="247" customFormat="1" outlineLevel="1" x14ac:dyDescent="0.3">
      <c r="A124" s="302"/>
      <c r="B124" s="321" t="s">
        <v>480</v>
      </c>
      <c r="C124" s="294" t="s">
        <v>226</v>
      </c>
      <c r="D124" s="297">
        <f t="shared" ref="D124:L124" si="354">SUM(D120:D123)</f>
        <v>5.8999999999999995</v>
      </c>
      <c r="E124" s="297">
        <f t="shared" si="354"/>
        <v>-22.5</v>
      </c>
      <c r="F124" s="297">
        <f t="shared" si="354"/>
        <v>-16.600000000000001</v>
      </c>
      <c r="G124" s="297">
        <f t="shared" si="354"/>
        <v>-43.599999999999994</v>
      </c>
      <c r="H124" s="297">
        <f t="shared" si="354"/>
        <v>178.89999999999998</v>
      </c>
      <c r="I124" s="297">
        <f t="shared" si="354"/>
        <v>135.30000000000001</v>
      </c>
      <c r="J124" s="297">
        <f t="shared" si="354"/>
        <v>118.7</v>
      </c>
      <c r="K124" s="297">
        <f t="shared" si="354"/>
        <v>-165.5</v>
      </c>
      <c r="L124" s="297">
        <f t="shared" si="354"/>
        <v>-19.2</v>
      </c>
      <c r="M124" s="297">
        <f t="shared" ref="M124:BX124" si="355">SUM(M120:M123)</f>
        <v>-184.7</v>
      </c>
      <c r="N124" s="297">
        <f t="shared" si="355"/>
        <v>-31.6</v>
      </c>
      <c r="O124" s="297">
        <f t="shared" si="355"/>
        <v>79.899999999999991</v>
      </c>
      <c r="P124" s="297">
        <f t="shared" si="355"/>
        <v>48.299999999999983</v>
      </c>
      <c r="Q124" s="297">
        <f t="shared" si="355"/>
        <v>-136.4</v>
      </c>
      <c r="R124" s="297">
        <f t="shared" si="355"/>
        <v>-60.599999999999994</v>
      </c>
      <c r="S124" s="297">
        <f t="shared" si="355"/>
        <v>-119.80000000000001</v>
      </c>
      <c r="T124" s="297">
        <f t="shared" si="355"/>
        <v>-180.4</v>
      </c>
      <c r="U124" s="297">
        <f t="shared" si="355"/>
        <v>-21.300000000000011</v>
      </c>
      <c r="V124" s="297">
        <f t="shared" si="355"/>
        <v>-52.699999999999989</v>
      </c>
      <c r="W124" s="297">
        <f t="shared" si="355"/>
        <v>-74</v>
      </c>
      <c r="X124" s="297">
        <f t="shared" si="355"/>
        <v>-254.4</v>
      </c>
      <c r="Y124" s="297">
        <f t="shared" si="355"/>
        <v>60.1</v>
      </c>
      <c r="Z124" s="297">
        <f t="shared" si="355"/>
        <v>-92.9</v>
      </c>
      <c r="AA124" s="297">
        <f t="shared" si="355"/>
        <v>-32.799999999999997</v>
      </c>
      <c r="AB124" s="297">
        <f t="shared" si="355"/>
        <v>31.999999999999996</v>
      </c>
      <c r="AC124" s="297">
        <f t="shared" si="355"/>
        <v>25.800000000000058</v>
      </c>
      <c r="AD124" s="297">
        <f t="shared" si="355"/>
        <v>57.800000000000054</v>
      </c>
      <c r="AE124" s="297">
        <f t="shared" si="355"/>
        <v>25.000000000000057</v>
      </c>
      <c r="AF124" s="297">
        <f t="shared" si="355"/>
        <v>-53</v>
      </c>
      <c r="AG124" s="297">
        <f t="shared" si="355"/>
        <v>-57</v>
      </c>
      <c r="AH124" s="297">
        <f t="shared" si="355"/>
        <v>-110</v>
      </c>
      <c r="AI124" s="297">
        <f t="shared" si="355"/>
        <v>-12.799999999999997</v>
      </c>
      <c r="AJ124" s="297">
        <f t="shared" si="355"/>
        <v>-36.200000000000003</v>
      </c>
      <c r="AK124" s="297">
        <f t="shared" si="355"/>
        <v>-49</v>
      </c>
      <c r="AL124" s="297">
        <f t="shared" si="355"/>
        <v>-159</v>
      </c>
      <c r="AM124" s="297">
        <f t="shared" si="355"/>
        <v>61.1</v>
      </c>
      <c r="AN124" s="297">
        <f t="shared" si="355"/>
        <v>-57.2</v>
      </c>
      <c r="AO124" s="297">
        <f t="shared" si="355"/>
        <v>3.9</v>
      </c>
      <c r="AP124" s="297">
        <f t="shared" si="355"/>
        <v>-74.100000000000009</v>
      </c>
      <c r="AQ124" s="297">
        <f t="shared" si="355"/>
        <v>-19.5</v>
      </c>
      <c r="AR124" s="297">
        <f t="shared" si="355"/>
        <v>-93.6</v>
      </c>
      <c r="AS124" s="432">
        <f t="shared" si="355"/>
        <v>-89.699999999999989</v>
      </c>
      <c r="AT124" s="432">
        <f t="shared" si="355"/>
        <v>44.7</v>
      </c>
      <c r="AU124" s="432">
        <f t="shared" si="355"/>
        <v>-55.900000000000006</v>
      </c>
      <c r="AV124" s="432">
        <f t="shared" si="355"/>
        <v>-11.2</v>
      </c>
      <c r="AW124" s="432">
        <f t="shared" si="355"/>
        <v>-49.900000000000006</v>
      </c>
      <c r="AX124" s="432">
        <f t="shared" si="355"/>
        <v>-23.281050719999996</v>
      </c>
      <c r="AY124" s="432">
        <f t="shared" si="355"/>
        <v>-73.181050720000002</v>
      </c>
      <c r="AZ124" s="438">
        <f>AY124+AV124</f>
        <v>-84.381050720000005</v>
      </c>
      <c r="BA124" s="432">
        <f t="shared" si="355"/>
        <v>1.1000000000000001</v>
      </c>
      <c r="BB124" s="432">
        <f t="shared" si="355"/>
        <v>-155.1</v>
      </c>
      <c r="BC124" s="432">
        <f t="shared" si="355"/>
        <v>-154</v>
      </c>
      <c r="BD124" s="432">
        <f t="shared" si="355"/>
        <v>9.3000000000000007</v>
      </c>
      <c r="BE124" s="432">
        <f t="shared" si="355"/>
        <v>-13.999999999999995</v>
      </c>
      <c r="BF124" s="432">
        <f t="shared" si="355"/>
        <v>-4.699999999999994</v>
      </c>
      <c r="BG124" s="432">
        <f t="shared" si="355"/>
        <v>-158.69999999999999</v>
      </c>
      <c r="BH124" s="432">
        <f t="shared" si="355"/>
        <v>2.7</v>
      </c>
      <c r="BI124" s="432">
        <f t="shared" si="355"/>
        <v>-161.29999999999998</v>
      </c>
      <c r="BJ124" s="432">
        <f t="shared" si="355"/>
        <v>-158.6</v>
      </c>
      <c r="BK124" s="432">
        <f t="shared" si="355"/>
        <v>6.1</v>
      </c>
      <c r="BL124" s="432">
        <f t="shared" si="355"/>
        <v>-33.800000000000004</v>
      </c>
      <c r="BM124" s="432">
        <f t="shared" si="355"/>
        <v>-27.700000000000003</v>
      </c>
      <c r="BN124" s="438">
        <v>-186.3</v>
      </c>
      <c r="BO124" s="432">
        <f t="shared" si="355"/>
        <v>-131.19999999999999</v>
      </c>
      <c r="BP124" s="432">
        <f t="shared" si="355"/>
        <v>149</v>
      </c>
      <c r="BQ124" s="432">
        <f t="shared" si="355"/>
        <v>17.800000000000033</v>
      </c>
      <c r="BR124" s="432">
        <f t="shared" si="355"/>
        <v>10.7</v>
      </c>
      <c r="BS124" s="432">
        <f t="shared" si="355"/>
        <v>-33.100000000000136</v>
      </c>
      <c r="BT124" s="432">
        <f t="shared" si="355"/>
        <v>-22.400000000000134</v>
      </c>
      <c r="BU124" s="432">
        <f>BT124+BQ124</f>
        <v>-4.6000000000001009</v>
      </c>
      <c r="BV124" s="432">
        <f t="shared" si="355"/>
        <v>-13.8</v>
      </c>
      <c r="BW124" s="432">
        <f t="shared" si="355"/>
        <v>-18.500000000000007</v>
      </c>
      <c r="BX124" s="432">
        <f t="shared" si="355"/>
        <v>-32.300000000000004</v>
      </c>
      <c r="BY124" s="432">
        <f t="shared" ref="BY124:DB124" si="356">SUM(BY120:BY123)</f>
        <v>-95.5</v>
      </c>
      <c r="BZ124" s="432">
        <f t="shared" si="356"/>
        <v>-26.599999999999987</v>
      </c>
      <c r="CA124" s="432">
        <f t="shared" si="356"/>
        <v>-122.09999999999998</v>
      </c>
      <c r="CB124" s="432">
        <f t="shared" si="356"/>
        <v>-154.39999999999998</v>
      </c>
      <c r="CC124" s="432">
        <f>SUM(CC120:CC123)</f>
        <v>-109.9</v>
      </c>
      <c r="CD124" s="432">
        <f t="shared" si="356"/>
        <v>-6.7999999999999714</v>
      </c>
      <c r="CE124" s="432">
        <f t="shared" si="356"/>
        <v>-116.69999999999997</v>
      </c>
      <c r="CF124" s="432">
        <f t="shared" si="356"/>
        <v>-114.50000000000001</v>
      </c>
      <c r="CG124" s="432">
        <f t="shared" si="356"/>
        <v>18.499999999999979</v>
      </c>
      <c r="CH124" s="432">
        <f t="shared" si="356"/>
        <v>-96.000000000000043</v>
      </c>
      <c r="CI124" s="432">
        <f>SUM(CI120:CI123)</f>
        <v>-212.7</v>
      </c>
      <c r="CJ124" s="432">
        <f t="shared" si="356"/>
        <v>-24.8</v>
      </c>
      <c r="CK124" s="432">
        <f t="shared" si="356"/>
        <v>8.8999999999999879</v>
      </c>
      <c r="CL124" s="432">
        <f t="shared" si="356"/>
        <v>-15.900000000000023</v>
      </c>
      <c r="CM124" s="432">
        <f t="shared" si="356"/>
        <v>76.400000000000006</v>
      </c>
      <c r="CN124" s="432">
        <f t="shared" si="356"/>
        <v>52.000000000000007</v>
      </c>
      <c r="CO124" s="432">
        <f>SUM(CO120:CO123)</f>
        <v>128.4</v>
      </c>
      <c r="CP124" s="433">
        <f>SUM(CP120:CP123)</f>
        <v>112.49999999999999</v>
      </c>
      <c r="CQ124" s="433">
        <f t="shared" si="356"/>
        <v>392.4</v>
      </c>
      <c r="CR124" s="433">
        <f t="shared" si="356"/>
        <v>-8.5</v>
      </c>
      <c r="CS124" s="433">
        <f>SUM(CS120:CS123)</f>
        <v>383.9</v>
      </c>
      <c r="CT124" s="433">
        <f>SUM(CT120:CT123)</f>
        <v>-62.200000000000024</v>
      </c>
      <c r="CU124" s="433">
        <f t="shared" si="356"/>
        <v>35.4</v>
      </c>
      <c r="CV124" s="433">
        <f t="shared" si="356"/>
        <v>-26.800000000000026</v>
      </c>
      <c r="CW124" s="433">
        <f t="shared" si="356"/>
        <v>357.09999999999991</v>
      </c>
      <c r="CX124" s="433">
        <f>SUM(CX120:CX123)</f>
        <v>-80.099999999999994</v>
      </c>
      <c r="CY124" s="433">
        <f t="shared" si="356"/>
        <v>25.999999999999989</v>
      </c>
      <c r="CZ124" s="433">
        <f t="shared" si="356"/>
        <v>-54.100000000000009</v>
      </c>
      <c r="DA124" s="433">
        <f t="shared" si="356"/>
        <v>-72.2</v>
      </c>
      <c r="DB124" s="433">
        <f t="shared" si="356"/>
        <v>-52.799999999999983</v>
      </c>
      <c r="DC124" s="433">
        <f>SUM(DC120:DC123)</f>
        <v>-124.99999999999999</v>
      </c>
      <c r="DD124" s="606">
        <f>SUM(DD120:DD123)</f>
        <v>-179.1</v>
      </c>
      <c r="DE124" s="433">
        <f t="shared" ref="DE124:FP124" si="357">SUM(DE120:DE123)</f>
        <v>-130.1</v>
      </c>
      <c r="DF124" s="433">
        <f t="shared" si="357"/>
        <v>-0.30000000000000004</v>
      </c>
      <c r="DG124" s="433">
        <f t="shared" si="357"/>
        <v>-130.4</v>
      </c>
      <c r="DH124" s="433">
        <f>SUM(DH120:DH123)</f>
        <v>-0.19999999999999996</v>
      </c>
      <c r="DI124" s="433">
        <f t="shared" si="343"/>
        <v>-409.59999999999997</v>
      </c>
      <c r="DJ124" s="433">
        <f t="shared" si="344"/>
        <v>-409.79999999999995</v>
      </c>
      <c r="DK124" s="606">
        <f t="shared" si="357"/>
        <v>-540.19999999999993</v>
      </c>
      <c r="DL124" s="439">
        <f t="shared" si="357"/>
        <v>-239.99999999999994</v>
      </c>
      <c r="DM124" s="433">
        <f t="shared" si="357"/>
        <v>-73.099999999999994</v>
      </c>
      <c r="DN124" s="433">
        <f t="shared" si="357"/>
        <v>-313.09999999999997</v>
      </c>
      <c r="DO124" s="433">
        <f t="shared" si="357"/>
        <v>-104.20000000000005</v>
      </c>
      <c r="DP124" s="433">
        <f t="shared" si="345"/>
        <v>-32.299999999999955</v>
      </c>
      <c r="DQ124" s="433">
        <f t="shared" si="346"/>
        <v>-136.5</v>
      </c>
      <c r="DR124" s="606">
        <f t="shared" si="357"/>
        <v>-449.59999999999997</v>
      </c>
      <c r="DS124" s="433">
        <f t="shared" si="357"/>
        <v>8.9</v>
      </c>
      <c r="DT124" s="433">
        <f t="shared" si="357"/>
        <v>-33.1</v>
      </c>
      <c r="DU124" s="556">
        <f t="shared" si="357"/>
        <v>-24.2</v>
      </c>
      <c r="DV124" s="556">
        <f>SUM(DV120:DV123)</f>
        <v>-13.1</v>
      </c>
      <c r="DW124" s="433">
        <f t="shared" si="347"/>
        <v>11.9</v>
      </c>
      <c r="DX124" s="433">
        <f t="shared" si="348"/>
        <v>-1.1999999999999993</v>
      </c>
      <c r="DY124" s="606">
        <f>SUM(DY120:DY123)</f>
        <v>-25.4</v>
      </c>
      <c r="DZ124" s="435">
        <f>SUM(DZ120:DZ123)</f>
        <v>-129.20000000000002</v>
      </c>
      <c r="EA124" s="433">
        <f>SUM(EA120:EA123)</f>
        <v>-83.699999999999989</v>
      </c>
      <c r="EB124" s="556">
        <f>SUM(EB120:EB123)</f>
        <v>-212.89999999999998</v>
      </c>
      <c r="EC124" s="556">
        <f>SUM(EC120:EC123)</f>
        <v>79.999999999999943</v>
      </c>
      <c r="ED124" s="433">
        <f t="shared" si="349"/>
        <v>-374.09999999999997</v>
      </c>
      <c r="EE124" s="433">
        <f t="shared" si="350"/>
        <v>-294.10000000000002</v>
      </c>
      <c r="EF124" s="606">
        <f>SUM(EF120:EF123)</f>
        <v>-507</v>
      </c>
      <c r="EG124" s="435">
        <f>SUM(EG120:EG123)</f>
        <v>-77.400000000000006</v>
      </c>
      <c r="EH124" s="433">
        <f>SUM(EH120:EH123)</f>
        <v>-79.09999999999998</v>
      </c>
      <c r="EI124" s="556">
        <f>SUM(EI120:EI123)</f>
        <v>-156.5</v>
      </c>
      <c r="EJ124" s="567">
        <f>SUM(EJ120:EJ123)</f>
        <v>-7.2000000000000171</v>
      </c>
      <c r="EK124" s="433">
        <f t="shared" si="351"/>
        <v>-2.1999999999999886</v>
      </c>
      <c r="EL124" s="433">
        <f t="shared" si="352"/>
        <v>-9.4000000000000057</v>
      </c>
      <c r="EM124" s="606">
        <f>SUM(EM120:EM123)</f>
        <v>-165.9</v>
      </c>
      <c r="EN124" s="435">
        <f>SUM(EN120:EN123)</f>
        <v>1402.8</v>
      </c>
      <c r="EO124" s="433">
        <f>SUM(EO120:EO123)</f>
        <v>2445.7999999999997</v>
      </c>
      <c r="EP124" s="556">
        <f>SUM(EP120:EP123)</f>
        <v>3848.6</v>
      </c>
      <c r="EQ124" s="436">
        <f>SUM(EQ120:EQ123)</f>
        <v>-412.39999999999992</v>
      </c>
      <c r="ER124" s="433">
        <f t="shared" si="357"/>
        <v>-100.4557543529037</v>
      </c>
      <c r="ES124" s="433">
        <f t="shared" si="357"/>
        <v>-512.85575435290355</v>
      </c>
      <c r="ET124" s="606">
        <f t="shared" si="357"/>
        <v>3335.7442456470967</v>
      </c>
      <c r="EU124" s="433">
        <f t="shared" si="357"/>
        <v>-247.00381034226368</v>
      </c>
      <c r="EV124" s="433">
        <f t="shared" si="357"/>
        <v>-84.775111880681152</v>
      </c>
      <c r="EW124" s="433">
        <f t="shared" si="357"/>
        <v>-331.77892222294486</v>
      </c>
      <c r="EX124" s="433">
        <f t="shared" si="357"/>
        <v>-168.76206522470821</v>
      </c>
      <c r="EY124" s="433">
        <f t="shared" si="357"/>
        <v>-66.632486208387846</v>
      </c>
      <c r="EZ124" s="433">
        <f t="shared" si="357"/>
        <v>-235.39455143309607</v>
      </c>
      <c r="FA124" s="606">
        <f t="shared" si="357"/>
        <v>-567.17347365604087</v>
      </c>
      <c r="FB124" s="433">
        <f t="shared" si="357"/>
        <v>-296.39596396699915</v>
      </c>
      <c r="FC124" s="433">
        <f t="shared" si="357"/>
        <v>-123.11481844016154</v>
      </c>
      <c r="FD124" s="433">
        <f t="shared" si="357"/>
        <v>-419.51078240716072</v>
      </c>
      <c r="FE124" s="433">
        <f t="shared" si="357"/>
        <v>-228.01129485250465</v>
      </c>
      <c r="FF124" s="433">
        <f t="shared" si="357"/>
        <v>-107.35189325638842</v>
      </c>
      <c r="FG124" s="433">
        <f t="shared" si="357"/>
        <v>-335.36318810889304</v>
      </c>
      <c r="FH124" s="606">
        <f t="shared" si="357"/>
        <v>-754.87397051605376</v>
      </c>
      <c r="FI124" s="433">
        <f t="shared" si="357"/>
        <v>-361.30052025002084</v>
      </c>
      <c r="FJ124" s="433">
        <f t="shared" si="357"/>
        <v>-160.81758567247752</v>
      </c>
      <c r="FK124" s="433">
        <f t="shared" si="357"/>
        <v>-522.11810592249833</v>
      </c>
      <c r="FL124" s="433">
        <f t="shared" si="357"/>
        <v>-271.46477287664612</v>
      </c>
      <c r="FM124" s="433">
        <f t="shared" si="357"/>
        <v>-141.95026963915348</v>
      </c>
      <c r="FN124" s="433">
        <f t="shared" si="357"/>
        <v>-413.4150425157996</v>
      </c>
      <c r="FO124" s="606">
        <f t="shared" si="357"/>
        <v>-935.53314843829799</v>
      </c>
      <c r="FP124" s="433">
        <f t="shared" si="357"/>
        <v>-409.15208465554701</v>
      </c>
      <c r="FQ124" s="433">
        <f t="shared" ref="FQ124:FV124" si="358">SUM(FQ120:FQ123)</f>
        <v>-200.04434553587902</v>
      </c>
      <c r="FR124" s="433">
        <f t="shared" si="358"/>
        <v>-609.19643019142609</v>
      </c>
      <c r="FS124" s="433">
        <f t="shared" si="358"/>
        <v>-319.4456052428169</v>
      </c>
      <c r="FT124" s="433">
        <f t="shared" si="358"/>
        <v>-180.73917892525105</v>
      </c>
      <c r="FU124" s="433">
        <f t="shared" si="358"/>
        <v>-500.18478416806795</v>
      </c>
      <c r="FV124" s="606">
        <f t="shared" si="358"/>
        <v>-1109.3812143594942</v>
      </c>
      <c r="FW124" s="642"/>
      <c r="FX124" s="643"/>
      <c r="FY124" s="643"/>
      <c r="FZ124" s="643"/>
      <c r="GA124" s="643"/>
      <c r="GB124"/>
      <c r="GC124"/>
      <c r="GD124"/>
      <c r="GE124"/>
      <c r="GF124"/>
      <c r="GG124"/>
      <c r="GH124" s="532"/>
      <c r="GI124" s="532"/>
      <c r="GJ124" s="532"/>
      <c r="GK124" s="532"/>
      <c r="GL124" s="532"/>
      <c r="GM124" s="532"/>
      <c r="GN124" s="532"/>
      <c r="GO124" s="532"/>
      <c r="GP124" s="532"/>
      <c r="GQ124" s="532"/>
      <c r="GR124" s="532"/>
      <c r="GS124" s="532"/>
      <c r="GT124" s="532"/>
      <c r="GU124" s="532"/>
      <c r="GV124" s="532"/>
      <c r="GW124" s="532"/>
      <c r="GX124" s="532"/>
      <c r="GY124" s="532"/>
      <c r="GZ124" s="532"/>
      <c r="HA124" s="532"/>
      <c r="HB124" s="532"/>
      <c r="HC124" s="532"/>
      <c r="HD124" s="532"/>
      <c r="HE124" s="532"/>
      <c r="HF124" s="532"/>
      <c r="HG124" s="532"/>
      <c r="HH124" s="532"/>
      <c r="HI124" s="532"/>
      <c r="HJ124" s="532"/>
      <c r="HK124" s="532"/>
      <c r="HL124" s="532"/>
      <c r="HM124" s="532"/>
      <c r="HN124" s="532"/>
      <c r="HO124" s="532"/>
      <c r="HP124" s="532"/>
      <c r="HQ124" s="532"/>
      <c r="HR124" s="532"/>
      <c r="HS124" s="532"/>
      <c r="HT124" s="532"/>
      <c r="HU124" s="532"/>
      <c r="HV124" s="532"/>
      <c r="HW124" s="532"/>
      <c r="HX124" s="532"/>
      <c r="HY124" s="532"/>
      <c r="HZ124" s="532"/>
      <c r="IA124" s="532"/>
      <c r="IB124" s="532"/>
      <c r="IC124" s="532"/>
      <c r="ID124" s="532"/>
      <c r="IE124" s="532"/>
      <c r="IF124" s="532"/>
      <c r="IG124" s="532"/>
      <c r="IH124" s="532"/>
      <c r="II124" s="532"/>
      <c r="IJ124" s="532"/>
      <c r="IK124" s="532"/>
      <c r="IL124" s="532"/>
      <c r="IM124" s="532"/>
      <c r="IN124" s="532"/>
      <c r="IO124" s="532"/>
      <c r="IP124" s="532"/>
      <c r="IQ124" s="532"/>
      <c r="IR124" s="532"/>
      <c r="IS124" s="532"/>
      <c r="IT124" s="532"/>
      <c r="IU124" s="532"/>
      <c r="IV124" s="532"/>
      <c r="IW124" s="532"/>
      <c r="IX124" s="532"/>
      <c r="IY124" s="532"/>
      <c r="IZ124" s="532"/>
      <c r="JA124" s="532"/>
      <c r="JB124" s="532"/>
      <c r="JC124" s="532"/>
      <c r="JD124" s="532"/>
      <c r="JE124" s="532"/>
      <c r="JF124" s="532"/>
      <c r="JG124" s="532"/>
      <c r="JH124" s="532"/>
      <c r="JI124" s="532"/>
      <c r="JJ124" s="532"/>
      <c r="JK124" s="532"/>
      <c r="JL124" s="532"/>
      <c r="JM124" s="532"/>
      <c r="JN124" s="532"/>
      <c r="JO124" s="532"/>
      <c r="JP124" s="532"/>
      <c r="JQ124" s="532"/>
      <c r="JR124" s="532"/>
      <c r="JS124" s="532"/>
      <c r="JT124" s="532"/>
    </row>
    <row r="125" spans="1:280" outlineLevel="1" x14ac:dyDescent="0.3">
      <c r="B125" s="279" t="s">
        <v>66</v>
      </c>
      <c r="C125" s="280" t="s">
        <v>226</v>
      </c>
      <c r="D125" s="289">
        <v>-0.4</v>
      </c>
      <c r="E125" s="281">
        <f>F125-D125</f>
        <v>0</v>
      </c>
      <c r="F125" s="289">
        <v>-0.4</v>
      </c>
      <c r="G125" s="281">
        <f>0.8-E125-D125</f>
        <v>1.2000000000000002</v>
      </c>
      <c r="H125" s="281">
        <f>I125-G125</f>
        <v>-2.3000000000000003</v>
      </c>
      <c r="I125" s="281">
        <f>J125-F125</f>
        <v>-1.1000000000000001</v>
      </c>
      <c r="J125" s="289">
        <v>-1.5</v>
      </c>
      <c r="K125" s="289">
        <v>0.6</v>
      </c>
      <c r="L125" s="281">
        <f>M125-K125</f>
        <v>0</v>
      </c>
      <c r="M125" s="289">
        <v>0.6</v>
      </c>
      <c r="N125" s="281">
        <f>1.2-L125-K125</f>
        <v>0.6</v>
      </c>
      <c r="O125" s="281">
        <f>P125-N125</f>
        <v>13.9</v>
      </c>
      <c r="P125" s="281">
        <f>Q125-M125</f>
        <v>14.5</v>
      </c>
      <c r="Q125" s="289">
        <v>15.1</v>
      </c>
      <c r="R125" s="289">
        <v>-7.9</v>
      </c>
      <c r="S125" s="281">
        <f>T125-R125</f>
        <v>-19.5</v>
      </c>
      <c r="T125" s="289">
        <v>-27.4</v>
      </c>
      <c r="U125" s="281">
        <f>-13.2-S125-R125</f>
        <v>14.200000000000001</v>
      </c>
      <c r="V125" s="281">
        <f>W125-U125</f>
        <v>-11.900000000000004</v>
      </c>
      <c r="W125" s="281">
        <f>X125-T125</f>
        <v>2.2999999999999972</v>
      </c>
      <c r="X125" s="289">
        <v>-25.1</v>
      </c>
      <c r="Y125" s="289">
        <v>-15.2</v>
      </c>
      <c r="Z125" s="281">
        <f>AA125-Y125</f>
        <v>20.6</v>
      </c>
      <c r="AA125" s="289">
        <v>5.4</v>
      </c>
      <c r="AB125" s="281">
        <f>15.3-Z125-Y125</f>
        <v>9.8999999999999986</v>
      </c>
      <c r="AC125" s="281">
        <f>AD125-AB125</f>
        <v>38</v>
      </c>
      <c r="AD125" s="281">
        <f>AE125-AA125</f>
        <v>47.9</v>
      </c>
      <c r="AE125" s="289">
        <v>53.3</v>
      </c>
      <c r="AF125" s="289">
        <v>-19.399999999999999</v>
      </c>
      <c r="AG125" s="281">
        <f>AH125-AF125</f>
        <v>1.5999999999999979</v>
      </c>
      <c r="AH125" s="289">
        <v>-17.8</v>
      </c>
      <c r="AI125" s="281">
        <f>-31.8-AG125-AF125</f>
        <v>-14</v>
      </c>
      <c r="AJ125" s="281">
        <f>AK125-AI125</f>
        <v>35</v>
      </c>
      <c r="AK125" s="281">
        <f>AL125-AH125</f>
        <v>21</v>
      </c>
      <c r="AL125" s="289">
        <v>3.2</v>
      </c>
      <c r="AM125" s="289">
        <v>1.1000000000000001</v>
      </c>
      <c r="AN125" s="281">
        <f>AO125-AM125</f>
        <v>9.8000000000000007</v>
      </c>
      <c r="AO125" s="289">
        <v>10.9</v>
      </c>
      <c r="AP125" s="281">
        <f>6.1-AO125</f>
        <v>-4.8000000000000007</v>
      </c>
      <c r="AQ125" s="281">
        <f>AR125-AP125</f>
        <v>-14.599999999999998</v>
      </c>
      <c r="AR125" s="281">
        <f>AS125-AO125</f>
        <v>-19.399999999999999</v>
      </c>
      <c r="AS125" s="289">
        <v>-8.5</v>
      </c>
      <c r="AT125" s="289">
        <v>2.8</v>
      </c>
      <c r="AU125" s="281">
        <f>+AV125-AT125</f>
        <v>-5.8</v>
      </c>
      <c r="AV125" s="289">
        <v>-3</v>
      </c>
      <c r="AW125" s="281">
        <f>-2.7-AV125</f>
        <v>0.29999999999999982</v>
      </c>
      <c r="AX125" s="281">
        <f>+AY125-AW125</f>
        <v>-3.3999999999999995</v>
      </c>
      <c r="AY125" s="281">
        <f>+AZ125-AV125</f>
        <v>-3.0999999999999996</v>
      </c>
      <c r="AZ125" s="289">
        <v>-6.1</v>
      </c>
      <c r="BA125" s="289">
        <v>-3.6</v>
      </c>
      <c r="BB125" s="281">
        <f>+BC125-BA125</f>
        <v>2.7</v>
      </c>
      <c r="BC125" s="289">
        <v>-0.9</v>
      </c>
      <c r="BD125" s="281">
        <f>-3.2-BC125</f>
        <v>-2.3000000000000003</v>
      </c>
      <c r="BE125" s="281">
        <f>+BF125-BD125</f>
        <v>0.60000000000000009</v>
      </c>
      <c r="BF125" s="281">
        <f>+BG125-BC125</f>
        <v>-1.7000000000000002</v>
      </c>
      <c r="BG125" s="289">
        <v>-2.6</v>
      </c>
      <c r="BH125" s="289">
        <v>-10.8</v>
      </c>
      <c r="BI125" s="281">
        <f>+BJ125-BH125</f>
        <v>10.9</v>
      </c>
      <c r="BJ125" s="289">
        <v>0.1</v>
      </c>
      <c r="BK125" s="289">
        <f>1.3-BJ125</f>
        <v>1.2</v>
      </c>
      <c r="BL125" s="281">
        <f>BN125-BK125-BJ125</f>
        <v>-5.1999999999999993</v>
      </c>
      <c r="BM125" s="281">
        <f>SUM(BK125:BL125)</f>
        <v>-3.9999999999999991</v>
      </c>
      <c r="BN125" s="289">
        <v>-3.9</v>
      </c>
      <c r="BO125" s="289">
        <v>1.9</v>
      </c>
      <c r="BP125" s="289">
        <f>0.8-BO125</f>
        <v>-1.0999999999999999</v>
      </c>
      <c r="BQ125" s="281">
        <f>SUM(BO125:BP125)</f>
        <v>0.8</v>
      </c>
      <c r="BR125" s="289">
        <f>3.2-BQ125</f>
        <v>2.4000000000000004</v>
      </c>
      <c r="BS125" s="289">
        <f>BU125-BR125-BQ125</f>
        <v>-0.7000000000000004</v>
      </c>
      <c r="BT125" s="281">
        <f>SUM(BR125:BS125)</f>
        <v>1.7</v>
      </c>
      <c r="BU125" s="289">
        <v>2.5</v>
      </c>
      <c r="BV125" s="289">
        <f>0.9</f>
        <v>0.9</v>
      </c>
      <c r="BW125" s="289">
        <f>-2.3-BV125</f>
        <v>-3.1999999999999997</v>
      </c>
      <c r="BX125" s="281">
        <f>SUM(BV125:BW125)</f>
        <v>-2.2999999999999998</v>
      </c>
      <c r="BY125" s="281">
        <f>-0.5-BX125</f>
        <v>1.7999999999999998</v>
      </c>
      <c r="BZ125" s="281">
        <f>CB125-BY125-BX125</f>
        <v>1.2</v>
      </c>
      <c r="CA125" s="281">
        <f>BZ125+BY125</f>
        <v>3</v>
      </c>
      <c r="CB125" s="289">
        <v>0.7</v>
      </c>
      <c r="CC125" s="289">
        <v>0.9</v>
      </c>
      <c r="CD125" s="289">
        <f>0.1-CC125</f>
        <v>-0.8</v>
      </c>
      <c r="CE125" s="281">
        <f>SUM(CC125:CD125)</f>
        <v>9.9999999999999978E-2</v>
      </c>
      <c r="CF125" s="289">
        <f>6.5-CE125</f>
        <v>6.4</v>
      </c>
      <c r="CG125" s="281">
        <f>CI125-CF125-CE125</f>
        <v>-5.0999999999999996</v>
      </c>
      <c r="CH125" s="281">
        <f>CG125+CF125</f>
        <v>1.3000000000000007</v>
      </c>
      <c r="CI125" s="289">
        <v>1.4</v>
      </c>
      <c r="CJ125" s="289">
        <f>-3.6</f>
        <v>-3.6</v>
      </c>
      <c r="CK125" s="281">
        <f>CL125-CJ125</f>
        <v>-0.89999999999999991</v>
      </c>
      <c r="CL125" s="289">
        <f>-4.5</f>
        <v>-4.5</v>
      </c>
      <c r="CM125" s="289">
        <f>-3.5-CL125</f>
        <v>1</v>
      </c>
      <c r="CN125" s="281">
        <f>CP125-CM125-CL125</f>
        <v>-0.70000000000000018</v>
      </c>
      <c r="CO125" s="281">
        <f>CN125+CM125</f>
        <v>0.29999999999999982</v>
      </c>
      <c r="CP125" s="290">
        <f>-4.2</f>
        <v>-4.2</v>
      </c>
      <c r="CQ125" s="290">
        <v>3.4</v>
      </c>
      <c r="CR125" s="325">
        <f>4.4-CQ125</f>
        <v>1.0000000000000004</v>
      </c>
      <c r="CS125" s="282">
        <f>CR125+CQ125</f>
        <v>4.4000000000000004</v>
      </c>
      <c r="CT125" s="325">
        <f>11-CS125</f>
        <v>6.6</v>
      </c>
      <c r="CU125" s="290">
        <f>6.6-SUM(CS125,CT125)</f>
        <v>-4.4000000000000004</v>
      </c>
      <c r="CV125" s="282">
        <f>CU125+CT125</f>
        <v>2.1999999999999993</v>
      </c>
      <c r="CW125" s="282">
        <f>CV125+CS125</f>
        <v>6.6</v>
      </c>
      <c r="CX125" s="290">
        <v>-3.4</v>
      </c>
      <c r="CY125" s="290">
        <f>-4.6-CX125</f>
        <v>-1.1999999999999997</v>
      </c>
      <c r="CZ125" s="282">
        <f>SUM(CX125:CY125)</f>
        <v>-4.5999999999999996</v>
      </c>
      <c r="DA125" s="325">
        <v>-3.6</v>
      </c>
      <c r="DB125" s="290">
        <f>+-6.2-DA125-CZ125</f>
        <v>1.9999999999999996</v>
      </c>
      <c r="DC125" s="282">
        <f>DB125+DA125</f>
        <v>-1.6000000000000005</v>
      </c>
      <c r="DD125" s="670">
        <f>DC125+CZ125</f>
        <v>-6.2</v>
      </c>
      <c r="DE125" s="290">
        <v>2.1</v>
      </c>
      <c r="DF125" s="290">
        <f>4.6-DE125</f>
        <v>2.4999999999999996</v>
      </c>
      <c r="DG125" s="282">
        <f>SUM(DE125:DF125)</f>
        <v>4.5999999999999996</v>
      </c>
      <c r="DH125" s="325">
        <f>7.3-DG125</f>
        <v>2.7</v>
      </c>
      <c r="DI125" s="282">
        <f t="shared" si="343"/>
        <v>-1</v>
      </c>
      <c r="DJ125" s="282">
        <f t="shared" si="344"/>
        <v>1.7000000000000002</v>
      </c>
      <c r="DK125" s="670">
        <v>6.3</v>
      </c>
      <c r="DL125" s="292">
        <v>-0.4</v>
      </c>
      <c r="DM125" s="282">
        <f>+DN125-DL125</f>
        <v>-8.1999999999999993</v>
      </c>
      <c r="DN125" s="290">
        <v>-8.6</v>
      </c>
      <c r="DO125" s="290">
        <f>-7.4-DN125</f>
        <v>1.1999999999999993</v>
      </c>
      <c r="DP125" s="282">
        <f t="shared" si="345"/>
        <v>1.5</v>
      </c>
      <c r="DQ125" s="282">
        <f t="shared" si="346"/>
        <v>2.6999999999999993</v>
      </c>
      <c r="DR125" s="670">
        <v>-5.9</v>
      </c>
      <c r="DS125" s="290">
        <v>-9</v>
      </c>
      <c r="DT125" s="282">
        <f>+DU125-DS125</f>
        <v>-1.9000000000000004</v>
      </c>
      <c r="DU125" s="317">
        <v>-10.9</v>
      </c>
      <c r="DV125" s="317">
        <f>-5.9-DU125</f>
        <v>5</v>
      </c>
      <c r="DW125" s="282">
        <f t="shared" si="347"/>
        <v>-2.5</v>
      </c>
      <c r="DX125" s="282">
        <f t="shared" si="348"/>
        <v>2.5</v>
      </c>
      <c r="DY125" s="670">
        <f>-8.4</f>
        <v>-8.4</v>
      </c>
      <c r="DZ125" s="290">
        <v>-2.2000000000000002</v>
      </c>
      <c r="EA125" s="282">
        <f>+EB125-DZ125</f>
        <v>-0.89999999999999991</v>
      </c>
      <c r="EB125" s="317">
        <v>-3.1</v>
      </c>
      <c r="EC125" s="317">
        <f>-1.2-EB125</f>
        <v>1.9000000000000001</v>
      </c>
      <c r="ED125" s="282">
        <f t="shared" si="349"/>
        <v>-2.2000000000000002</v>
      </c>
      <c r="EE125" s="282">
        <f t="shared" si="350"/>
        <v>-0.29999999999999982</v>
      </c>
      <c r="EF125" s="670">
        <v>-3.4</v>
      </c>
      <c r="EG125" s="290">
        <v>-0.4</v>
      </c>
      <c r="EH125" s="282">
        <f>+EI125-EG125</f>
        <v>0.4</v>
      </c>
      <c r="EI125" s="317">
        <v>0</v>
      </c>
      <c r="EJ125" s="317">
        <f>1.1-EI125</f>
        <v>1.1000000000000001</v>
      </c>
      <c r="EK125" s="282">
        <f t="shared" si="351"/>
        <v>-1.5</v>
      </c>
      <c r="EL125" s="282">
        <f t="shared" si="352"/>
        <v>-0.4</v>
      </c>
      <c r="EM125" s="670">
        <v>-0.4</v>
      </c>
      <c r="EN125" s="290"/>
      <c r="EO125" s="282">
        <f>+EP125-EN125</f>
        <v>0</v>
      </c>
      <c r="EP125" s="317"/>
      <c r="EQ125" s="725">
        <v>-1.8</v>
      </c>
      <c r="ER125" s="325">
        <v>0</v>
      </c>
      <c r="ES125" s="282">
        <f>SUM(EQ125:ER125)</f>
        <v>-1.8</v>
      </c>
      <c r="ET125" s="732">
        <f>ES125+EP125</f>
        <v>-1.8</v>
      </c>
      <c r="EU125" s="325">
        <v>0</v>
      </c>
      <c r="EV125" s="325">
        <v>0</v>
      </c>
      <c r="EW125" s="282">
        <f>SUM(EU125:EV125)</f>
        <v>0</v>
      </c>
      <c r="EX125" s="325">
        <v>0</v>
      </c>
      <c r="EY125" s="325">
        <v>0</v>
      </c>
      <c r="EZ125" s="282">
        <f>SUM(EX125:EY125)</f>
        <v>0</v>
      </c>
      <c r="FA125" s="590">
        <f>EZ125+EW125</f>
        <v>0</v>
      </c>
      <c r="FB125" s="325">
        <v>0</v>
      </c>
      <c r="FC125" s="325">
        <v>0</v>
      </c>
      <c r="FD125" s="282">
        <f>SUM(FB125:FC125)</f>
        <v>0</v>
      </c>
      <c r="FE125" s="325">
        <v>0</v>
      </c>
      <c r="FF125" s="325">
        <v>0</v>
      </c>
      <c r="FG125" s="282">
        <f>SUM(FE125:FF125)</f>
        <v>0</v>
      </c>
      <c r="FH125" s="590">
        <f>FG125+FD125</f>
        <v>0</v>
      </c>
      <c r="FI125" s="325">
        <v>0</v>
      </c>
      <c r="FJ125" s="325">
        <v>0</v>
      </c>
      <c r="FK125" s="282">
        <f>SUM(FI125:FJ125)</f>
        <v>0</v>
      </c>
      <c r="FL125" s="325">
        <v>0</v>
      </c>
      <c r="FM125" s="325">
        <v>0</v>
      </c>
      <c r="FN125" s="282">
        <f>SUM(FL125:FM125)</f>
        <v>0</v>
      </c>
      <c r="FO125" s="590">
        <f>FN125+FK125</f>
        <v>0</v>
      </c>
      <c r="FP125" s="325">
        <v>0</v>
      </c>
      <c r="FQ125" s="325">
        <v>0</v>
      </c>
      <c r="FR125" s="282">
        <f>SUM(FP125:FQ125)</f>
        <v>0</v>
      </c>
      <c r="FS125" s="325">
        <v>0</v>
      </c>
      <c r="FT125" s="325">
        <v>0</v>
      </c>
      <c r="FU125" s="282">
        <f>SUM(FS125:FT125)</f>
        <v>0</v>
      </c>
      <c r="FV125" s="590">
        <f>FU125+FR125</f>
        <v>0</v>
      </c>
    </row>
    <row r="126" spans="1:280" outlineLevel="1" x14ac:dyDescent="0.3">
      <c r="B126" s="279" t="s">
        <v>481</v>
      </c>
      <c r="C126" s="280" t="s">
        <v>226</v>
      </c>
      <c r="D126" s="289"/>
      <c r="E126" s="281"/>
      <c r="F126" s="289"/>
      <c r="G126" s="281"/>
      <c r="H126" s="281"/>
      <c r="I126" s="281"/>
      <c r="J126" s="289"/>
      <c r="K126" s="289"/>
      <c r="L126" s="281"/>
      <c r="M126" s="289"/>
      <c r="N126" s="281"/>
      <c r="O126" s="281"/>
      <c r="P126" s="281"/>
      <c r="Q126" s="289"/>
      <c r="R126" s="289"/>
      <c r="S126" s="281"/>
      <c r="T126" s="289"/>
      <c r="U126" s="281"/>
      <c r="V126" s="281"/>
      <c r="W126" s="281"/>
      <c r="X126" s="289"/>
      <c r="Y126" s="289"/>
      <c r="Z126" s="281"/>
      <c r="AA126" s="289"/>
      <c r="AB126" s="281"/>
      <c r="AC126" s="281"/>
      <c r="AD126" s="281"/>
      <c r="AE126" s="289"/>
      <c r="AF126" s="289"/>
      <c r="AG126" s="281"/>
      <c r="AH126" s="289"/>
      <c r="AI126" s="281"/>
      <c r="AJ126" s="281"/>
      <c r="AK126" s="281"/>
      <c r="AL126" s="289"/>
      <c r="AM126" s="289"/>
      <c r="AN126" s="281"/>
      <c r="AO126" s="289"/>
      <c r="AP126" s="281"/>
      <c r="AQ126" s="281"/>
      <c r="AR126" s="281"/>
      <c r="AS126" s="289"/>
      <c r="AT126" s="289"/>
      <c r="AU126" s="281"/>
      <c r="AV126" s="289"/>
      <c r="AW126" s="281"/>
      <c r="AX126" s="281"/>
      <c r="AY126" s="281"/>
      <c r="AZ126" s="289"/>
      <c r="BA126" s="289"/>
      <c r="BB126" s="281"/>
      <c r="BC126" s="289"/>
      <c r="BD126" s="281"/>
      <c r="BE126" s="281"/>
      <c r="BF126" s="281"/>
      <c r="BG126" s="289"/>
      <c r="BH126" s="289"/>
      <c r="BI126" s="281"/>
      <c r="BJ126" s="289"/>
      <c r="BK126" s="289"/>
      <c r="BL126" s="281"/>
      <c r="BM126" s="281"/>
      <c r="BN126" s="289"/>
      <c r="BO126" s="289"/>
      <c r="BP126" s="289"/>
      <c r="BQ126" s="281"/>
      <c r="BR126" s="289"/>
      <c r="BS126" s="289"/>
      <c r="BT126" s="281"/>
      <c r="BU126" s="289"/>
      <c r="BV126" s="289"/>
      <c r="BW126" s="289"/>
      <c r="BX126" s="281"/>
      <c r="BY126" s="281"/>
      <c r="BZ126" s="281"/>
      <c r="CA126" s="281"/>
      <c r="CB126" s="289"/>
      <c r="CC126" s="289"/>
      <c r="CD126" s="289"/>
      <c r="CE126" s="281"/>
      <c r="CF126" s="289"/>
      <c r="CG126" s="281"/>
      <c r="CH126" s="281"/>
      <c r="CI126" s="289"/>
      <c r="CJ126" s="289"/>
      <c r="CK126" s="281"/>
      <c r="CL126" s="289"/>
      <c r="CM126" s="289"/>
      <c r="CN126" s="281"/>
      <c r="CO126" s="281"/>
      <c r="CP126" s="290"/>
      <c r="CQ126" s="282">
        <f>CQ173-(CP173+CQ127)</f>
        <v>-12.299999999999955</v>
      </c>
      <c r="CR126" s="282">
        <f>CR173-(CQ173+CR127)</f>
        <v>-24.19999999999996</v>
      </c>
      <c r="CS126" s="282">
        <f>CS173-(CP173+CS127)</f>
        <v>-36.499999999999915</v>
      </c>
      <c r="CT126" s="282">
        <f>CT173-(CR173+CT127)</f>
        <v>45.69999999999996</v>
      </c>
      <c r="CU126" s="282">
        <f>CU173-(CT173+CU127)</f>
        <v>1.0000000000000711</v>
      </c>
      <c r="CV126" s="282">
        <f>CV173-(CS173+CV127)</f>
        <v>16.90000000000002</v>
      </c>
      <c r="CW126" s="282">
        <f>CW173-(CP173+CW127)</f>
        <v>-19.599999999999724</v>
      </c>
      <c r="CX126" s="283">
        <f>-(CX173-(CW173+CX127))</f>
        <v>-4</v>
      </c>
      <c r="CY126" s="283">
        <f>-(CY173-(CX173+CY127))</f>
        <v>2.4000000000000057</v>
      </c>
      <c r="CZ126" s="282">
        <f>CZ173-(CW173+CZ127)</f>
        <v>1.6000000000000654</v>
      </c>
      <c r="DA126" s="283">
        <f>-(DA173-(CZ173+DA127))</f>
        <v>-21.099999999999994</v>
      </c>
      <c r="DB126" s="283">
        <f>-(DB173-(DA173+DB127))</f>
        <v>19.100000000000051</v>
      </c>
      <c r="DC126" s="282">
        <f>DC173-(CZ173+DC127)</f>
        <v>1.9999999999998579</v>
      </c>
      <c r="DD126" s="673">
        <f>DD173-(CW173+DD127)</f>
        <v>3.6000000000000512</v>
      </c>
      <c r="DE126" s="283">
        <f>(DE173-(DD173+DE127))</f>
        <v>-1.4999999999999716</v>
      </c>
      <c r="DF126" s="283">
        <f>(DF173-(DE173+DF127))</f>
        <v>-17.899999999999977</v>
      </c>
      <c r="DG126" s="282">
        <f>SUM(DE126:DF126)</f>
        <v>-19.399999999999949</v>
      </c>
      <c r="DH126" s="283">
        <f>(DH173-(DG173+DH127))</f>
        <v>6.8000000000000682</v>
      </c>
      <c r="DI126" s="283">
        <f>(DI173-(DH173+DI127))</f>
        <v>-55.899999999999977</v>
      </c>
      <c r="DJ126" s="282">
        <f>SUM(DH126:DI126)</f>
        <v>-49.099999999999909</v>
      </c>
      <c r="DK126" s="673">
        <f>SUM(DG126,DJ126)</f>
        <v>-68.499999999999858</v>
      </c>
      <c r="DL126" s="441">
        <v>22.8</v>
      </c>
      <c r="DM126" s="325">
        <v>-51.6</v>
      </c>
      <c r="DN126" s="282">
        <f>+DM126+DL126</f>
        <v>-28.8</v>
      </c>
      <c r="DO126" s="442">
        <v>-5.4</v>
      </c>
      <c r="DP126" s="283">
        <f>(DP173-(DO173+DP127))</f>
        <v>-2.8000000000000682</v>
      </c>
      <c r="DQ126" s="282">
        <f>SUM(DO126:DP126)</f>
        <v>-8.2000000000000686</v>
      </c>
      <c r="DR126" s="673">
        <f>SUM(DN126,DQ126)</f>
        <v>-37.000000000000071</v>
      </c>
      <c r="DS126" s="283">
        <f>(DS173-(DR173+DS127))</f>
        <v>74.600000000000023</v>
      </c>
      <c r="DT126" s="283">
        <f>(DT173-(DS173+DT127))</f>
        <v>36.40000000000002</v>
      </c>
      <c r="DU126" s="283">
        <f>+DT126+DS126</f>
        <v>111.00000000000004</v>
      </c>
      <c r="DV126" s="317">
        <f>28.4-30.9+5</f>
        <v>2.5</v>
      </c>
      <c r="DW126" s="283">
        <f>(DW173-(DV173+DW127))</f>
        <v>-39.200000000000131</v>
      </c>
      <c r="DX126" s="282">
        <f>SUM(DV126:DW126)</f>
        <v>-36.700000000000131</v>
      </c>
      <c r="DY126" s="673">
        <f>SUM(DU126,DX126)</f>
        <v>74.299999999999912</v>
      </c>
      <c r="DZ126" s="283">
        <f>(DZ173-(DY173+DZ127))</f>
        <v>52.599999999999966</v>
      </c>
      <c r="EA126" s="283">
        <f>(EA173-(DZ173+EA127))</f>
        <v>-5.0999999999999943</v>
      </c>
      <c r="EB126" s="283">
        <f>+EA126+DZ126</f>
        <v>47.499999999999972</v>
      </c>
      <c r="EC126" s="317">
        <f>12.2+5+30.9-40.2</f>
        <v>7.8999999999999915</v>
      </c>
      <c r="ED126" s="283">
        <f>(ED173-(EC173+ED127))</f>
        <v>263.39999999999992</v>
      </c>
      <c r="EE126" s="282">
        <f>SUM(EC126:ED126)</f>
        <v>271.2999999999999</v>
      </c>
      <c r="EF126" s="673">
        <f>SUM(EB126,EE126)</f>
        <v>318.79999999999984</v>
      </c>
      <c r="EG126" s="283">
        <f>(EG173-(EF173+EG127))</f>
        <v>27.600000000000023</v>
      </c>
      <c r="EH126" s="283">
        <f>(EH173-(EG173+EH127))</f>
        <v>9.0999999999999091</v>
      </c>
      <c r="EI126" s="283">
        <f>+EH126+EG126</f>
        <v>36.699999999999932</v>
      </c>
      <c r="EJ126" s="283">
        <f>(EJ173-(EI173+EJ127))</f>
        <v>-4.2999999999999545</v>
      </c>
      <c r="EK126" s="283">
        <f>(EK173-(EJ173+EK127))</f>
        <v>-24.5</v>
      </c>
      <c r="EL126" s="282">
        <f>SUM(EJ126:EK126)</f>
        <v>-28.799999999999955</v>
      </c>
      <c r="EM126" s="673">
        <f>SUM(EI126,EL126)</f>
        <v>7.8999999999999773</v>
      </c>
      <c r="EN126" s="283">
        <f>(EN173-(EM173+EN127))</f>
        <v>-1675.5000000000005</v>
      </c>
      <c r="EO126" s="283">
        <f>(EO173-(EN173+EO127))</f>
        <v>1697.4000000000003</v>
      </c>
      <c r="EP126" s="283">
        <f>+EO126+EN126</f>
        <v>21.899999999999864</v>
      </c>
      <c r="EQ126" s="731">
        <f>(EQ173-(EP173+EQ127))</f>
        <v>-9.7000000000001023</v>
      </c>
      <c r="ER126" s="325"/>
      <c r="ES126" s="282">
        <f>EQ126+ER126</f>
        <v>-9.7000000000001023</v>
      </c>
      <c r="ET126" s="706">
        <f>EP126+ES126</f>
        <v>12.199999999999761</v>
      </c>
      <c r="EU126" s="325"/>
      <c r="EV126" s="325"/>
      <c r="EW126" s="282"/>
      <c r="EX126" s="325"/>
      <c r="EY126" s="325"/>
      <c r="EZ126" s="282"/>
      <c r="FA126" s="590"/>
      <c r="FB126" s="325"/>
      <c r="FC126" s="325"/>
      <c r="FD126" s="282"/>
      <c r="FE126" s="325"/>
      <c r="FF126" s="325"/>
      <c r="FG126" s="282"/>
      <c r="FH126" s="590"/>
      <c r="FI126" s="325"/>
      <c r="FJ126" s="325"/>
      <c r="FK126" s="282"/>
      <c r="FL126" s="325"/>
      <c r="FM126" s="325"/>
      <c r="FN126" s="282"/>
      <c r="FO126" s="590"/>
      <c r="FP126" s="325"/>
      <c r="FQ126" s="325"/>
      <c r="FR126" s="282"/>
      <c r="FS126" s="325"/>
      <c r="FT126" s="325"/>
      <c r="FU126" s="282"/>
      <c r="FV126" s="590"/>
    </row>
    <row r="127" spans="1:280" outlineLevel="1" x14ac:dyDescent="0.3">
      <c r="A127" s="302"/>
      <c r="B127" s="321" t="s">
        <v>482</v>
      </c>
      <c r="C127" s="294" t="s">
        <v>226</v>
      </c>
      <c r="D127" s="297">
        <f t="shared" ref="D127:BO127" si="359">D125+D124+D118+D110</f>
        <v>48.099999999999994</v>
      </c>
      <c r="E127" s="297">
        <f t="shared" si="359"/>
        <v>9.3000000000000043</v>
      </c>
      <c r="F127" s="297">
        <f t="shared" si="359"/>
        <v>57.400000000000006</v>
      </c>
      <c r="G127" s="297">
        <f t="shared" si="359"/>
        <v>-21.899999999999977</v>
      </c>
      <c r="H127" s="297">
        <f t="shared" si="359"/>
        <v>166.09999999999997</v>
      </c>
      <c r="I127" s="297">
        <f t="shared" si="359"/>
        <v>144.20000000000002</v>
      </c>
      <c r="J127" s="297">
        <f t="shared" si="359"/>
        <v>201.60000000000002</v>
      </c>
      <c r="K127" s="297">
        <f t="shared" si="359"/>
        <v>-139.69999999999999</v>
      </c>
      <c r="L127" s="297">
        <f t="shared" si="359"/>
        <v>-128.1</v>
      </c>
      <c r="M127" s="297">
        <f t="shared" si="359"/>
        <v>-267.8</v>
      </c>
      <c r="N127" s="297">
        <f t="shared" si="359"/>
        <v>17.999999999999993</v>
      </c>
      <c r="O127" s="297">
        <f t="shared" si="359"/>
        <v>-31.199999999999989</v>
      </c>
      <c r="P127" s="297">
        <f t="shared" si="359"/>
        <v>-13.20000000000001</v>
      </c>
      <c r="Q127" s="297">
        <f t="shared" si="359"/>
        <v>-281</v>
      </c>
      <c r="R127" s="297">
        <f t="shared" si="359"/>
        <v>46.5</v>
      </c>
      <c r="S127" s="297">
        <f t="shared" si="359"/>
        <v>-47.5</v>
      </c>
      <c r="T127" s="297">
        <f t="shared" si="359"/>
        <v>-1</v>
      </c>
      <c r="U127" s="297">
        <f t="shared" si="359"/>
        <v>36.799999999999969</v>
      </c>
      <c r="V127" s="297">
        <f t="shared" si="359"/>
        <v>-34.499999999999957</v>
      </c>
      <c r="W127" s="297">
        <f t="shared" si="359"/>
        <v>2.3000000000000114</v>
      </c>
      <c r="X127" s="297">
        <f t="shared" si="359"/>
        <v>1.3000000000000114</v>
      </c>
      <c r="Y127" s="297">
        <f t="shared" si="359"/>
        <v>135.9</v>
      </c>
      <c r="Z127" s="297">
        <f t="shared" si="359"/>
        <v>-79.400000000000006</v>
      </c>
      <c r="AA127" s="297">
        <f t="shared" si="359"/>
        <v>56.5</v>
      </c>
      <c r="AB127" s="297">
        <f t="shared" si="359"/>
        <v>-33.500000000000007</v>
      </c>
      <c r="AC127" s="297">
        <f t="shared" si="359"/>
        <v>-15.99999999999995</v>
      </c>
      <c r="AD127" s="297">
        <f t="shared" si="359"/>
        <v>-49.499999999999957</v>
      </c>
      <c r="AE127" s="297">
        <f t="shared" si="359"/>
        <v>7.0000000000000497</v>
      </c>
      <c r="AF127" s="297">
        <f t="shared" si="359"/>
        <v>0.29999999999999716</v>
      </c>
      <c r="AG127" s="297">
        <f t="shared" si="359"/>
        <v>3.0999999999999801</v>
      </c>
      <c r="AH127" s="297">
        <f t="shared" si="359"/>
        <v>3.4000000000000057</v>
      </c>
      <c r="AI127" s="297">
        <f t="shared" si="359"/>
        <v>5.3999999999999986</v>
      </c>
      <c r="AJ127" s="297">
        <f t="shared" si="359"/>
        <v>-32</v>
      </c>
      <c r="AK127" s="297">
        <f t="shared" si="359"/>
        <v>-26.6</v>
      </c>
      <c r="AL127" s="297">
        <f t="shared" si="359"/>
        <v>-23.200000000000017</v>
      </c>
      <c r="AM127" s="297">
        <f t="shared" si="359"/>
        <v>23.900000000000006</v>
      </c>
      <c r="AN127" s="297">
        <f t="shared" si="359"/>
        <v>-25.500000000000007</v>
      </c>
      <c r="AO127" s="297">
        <f t="shared" si="359"/>
        <v>-1.5999999999999988</v>
      </c>
      <c r="AP127" s="297">
        <f t="shared" si="359"/>
        <v>6.5999999999999943</v>
      </c>
      <c r="AQ127" s="297">
        <f t="shared" si="359"/>
        <v>-5.6000000000000156</v>
      </c>
      <c r="AR127" s="297">
        <f t="shared" si="359"/>
        <v>0.99999999999997158</v>
      </c>
      <c r="AS127" s="297">
        <f t="shared" si="359"/>
        <v>-0.59999999999999432</v>
      </c>
      <c r="AT127" s="297">
        <f t="shared" si="359"/>
        <v>57.5</v>
      </c>
      <c r="AU127" s="297">
        <f t="shared" si="359"/>
        <v>-52.800000000000004</v>
      </c>
      <c r="AV127" s="297">
        <f t="shared" si="359"/>
        <v>4.7000000000000028</v>
      </c>
      <c r="AW127" s="297">
        <f t="shared" si="359"/>
        <v>15.499999999999986</v>
      </c>
      <c r="AX127" s="297">
        <f t="shared" si="359"/>
        <v>226.61894928000001</v>
      </c>
      <c r="AY127" s="297">
        <f t="shared" si="359"/>
        <v>242.11894927999998</v>
      </c>
      <c r="AZ127" s="297">
        <f t="shared" si="359"/>
        <v>246.81894928</v>
      </c>
      <c r="BA127" s="297">
        <f t="shared" si="359"/>
        <v>31.900000000000002</v>
      </c>
      <c r="BB127" s="297">
        <f t="shared" si="359"/>
        <v>-220</v>
      </c>
      <c r="BC127" s="297">
        <f t="shared" si="359"/>
        <v>-188.10000000000002</v>
      </c>
      <c r="BD127" s="297">
        <f t="shared" si="359"/>
        <v>82.199999999999989</v>
      </c>
      <c r="BE127" s="297">
        <f t="shared" si="359"/>
        <v>-5.7999999999999936</v>
      </c>
      <c r="BF127" s="297">
        <f t="shared" si="359"/>
        <v>76.400000000000006</v>
      </c>
      <c r="BG127" s="297">
        <f t="shared" si="359"/>
        <v>-111.69999999999997</v>
      </c>
      <c r="BH127" s="297">
        <f t="shared" si="359"/>
        <v>44.4</v>
      </c>
      <c r="BI127" s="297">
        <f t="shared" si="359"/>
        <v>-71.499999999999986</v>
      </c>
      <c r="BJ127" s="297">
        <f t="shared" si="359"/>
        <v>-27.099999999999994</v>
      </c>
      <c r="BK127" s="297">
        <f t="shared" si="359"/>
        <v>58.59999999999998</v>
      </c>
      <c r="BL127" s="297">
        <f t="shared" si="359"/>
        <v>-17.69999999999996</v>
      </c>
      <c r="BM127" s="297">
        <f t="shared" si="359"/>
        <v>40.900000000000006</v>
      </c>
      <c r="BN127" s="297">
        <f t="shared" si="359"/>
        <v>13.800000000000011</v>
      </c>
      <c r="BO127" s="297">
        <f t="shared" si="359"/>
        <v>-135.39999999999998</v>
      </c>
      <c r="BP127" s="297">
        <f t="shared" ref="BP127:CD127" si="360">BP125+BP124+BP118+BP110</f>
        <v>28.4</v>
      </c>
      <c r="BQ127" s="297">
        <f t="shared" si="360"/>
        <v>-106.99999999999996</v>
      </c>
      <c r="BR127" s="297">
        <f t="shared" si="360"/>
        <v>1.7999999999999687</v>
      </c>
      <c r="BS127" s="297">
        <f t="shared" si="360"/>
        <v>4.6999999999998749</v>
      </c>
      <c r="BT127" s="297">
        <f t="shared" si="360"/>
        <v>6.4999999999998579</v>
      </c>
      <c r="BU127" s="297">
        <f t="shared" si="360"/>
        <v>-100.50000000000014</v>
      </c>
      <c r="BV127" s="297">
        <f t="shared" si="360"/>
        <v>25.299999999999997</v>
      </c>
      <c r="BW127" s="297">
        <f t="shared" si="360"/>
        <v>-8.7000000000000099</v>
      </c>
      <c r="BX127" s="297">
        <f t="shared" si="360"/>
        <v>16.600000000000037</v>
      </c>
      <c r="BY127" s="297">
        <f t="shared" si="360"/>
        <v>10.899999999999963</v>
      </c>
      <c r="BZ127" s="297">
        <f t="shared" si="360"/>
        <v>12.600000000000001</v>
      </c>
      <c r="CA127" s="297">
        <f t="shared" si="360"/>
        <v>23.499999999999943</v>
      </c>
      <c r="CB127" s="297">
        <f t="shared" si="360"/>
        <v>40.099999999999994</v>
      </c>
      <c r="CC127" s="297">
        <f t="shared" si="360"/>
        <v>-12.300000000000011</v>
      </c>
      <c r="CD127" s="297">
        <f t="shared" si="360"/>
        <v>-10.099999999999959</v>
      </c>
      <c r="CE127" s="297">
        <f>+CE110+CE118+CE124+CE125</f>
        <v>-22.399999999999942</v>
      </c>
      <c r="CF127" s="297">
        <f t="shared" ref="CF127:CL127" si="361">CF125+CF124+CF118+CF110</f>
        <v>3.3999999999999773</v>
      </c>
      <c r="CG127" s="297">
        <f t="shared" si="361"/>
        <v>-9.2000000000000099</v>
      </c>
      <c r="CH127" s="297">
        <f t="shared" si="361"/>
        <v>-5.8000000000000682</v>
      </c>
      <c r="CI127" s="297">
        <f t="shared" si="361"/>
        <v>-28.199999999999932</v>
      </c>
      <c r="CJ127" s="297">
        <f t="shared" si="361"/>
        <v>33.400000000000006</v>
      </c>
      <c r="CK127" s="297">
        <f t="shared" si="361"/>
        <v>-33.300000000000011</v>
      </c>
      <c r="CL127" s="297">
        <f t="shared" si="361"/>
        <v>9.9999999999980105E-2</v>
      </c>
      <c r="CM127" s="297">
        <f>CM125+CM124+CM118+CM110+0.1</f>
        <v>152.4</v>
      </c>
      <c r="CN127" s="297">
        <f t="shared" ref="CN127:DN127" si="362">CN125+CN124+CN118+CN110</f>
        <v>50.300000000000004</v>
      </c>
      <c r="CO127" s="297">
        <f t="shared" si="362"/>
        <v>202.60000000000008</v>
      </c>
      <c r="CP127" s="299">
        <f t="shared" si="362"/>
        <v>202.69999999999987</v>
      </c>
      <c r="CQ127" s="299">
        <f t="shared" si="362"/>
        <v>-86.600000000000094</v>
      </c>
      <c r="CR127" s="299">
        <f t="shared" si="362"/>
        <v>-49.600000000000009</v>
      </c>
      <c r="CS127" s="299">
        <f t="shared" si="362"/>
        <v>-136.2000000000001</v>
      </c>
      <c r="CT127" s="299">
        <f t="shared" si="362"/>
        <v>-36.099999999999966</v>
      </c>
      <c r="CU127" s="299">
        <f t="shared" si="362"/>
        <v>-40.800000000000068</v>
      </c>
      <c r="CV127" s="299">
        <f t="shared" si="362"/>
        <v>-47.100000000000023</v>
      </c>
      <c r="CW127" s="299">
        <f t="shared" si="362"/>
        <v>-183.3000000000003</v>
      </c>
      <c r="CX127" s="299">
        <f t="shared" si="362"/>
        <v>13.399999999999991</v>
      </c>
      <c r="CY127" s="299">
        <f t="shared" si="362"/>
        <v>1.9000000000000057</v>
      </c>
      <c r="CZ127" s="299">
        <f t="shared" si="362"/>
        <v>15.299999999999926</v>
      </c>
      <c r="DA127" s="299">
        <f t="shared" si="362"/>
        <v>32.200000000000017</v>
      </c>
      <c r="DB127" s="299">
        <f>DB125+DB124+DB118+DB110</f>
        <v>14.600000000000051</v>
      </c>
      <c r="DC127" s="299">
        <f>DC125+DC124+DC118+DC110</f>
        <v>46.800000000000153</v>
      </c>
      <c r="DD127" s="591">
        <f>DD125+DD124+DD118+DD110</f>
        <v>62.099999999999966</v>
      </c>
      <c r="DE127" s="300">
        <f>DE125+DE124+DE118+DE110</f>
        <v>54.899999999999977</v>
      </c>
      <c r="DF127" s="299">
        <f t="shared" si="362"/>
        <v>210.70000000000002</v>
      </c>
      <c r="DG127" s="299">
        <f>DG125+DG124+DG118+DG110</f>
        <v>265.60000000000014</v>
      </c>
      <c r="DH127" s="299">
        <f t="shared" si="362"/>
        <v>204.39999999999986</v>
      </c>
      <c r="DI127" s="299">
        <f t="shared" si="343"/>
        <v>-337.4</v>
      </c>
      <c r="DJ127" s="299">
        <f t="shared" si="344"/>
        <v>-133.00000000000011</v>
      </c>
      <c r="DK127" s="591">
        <f>DK125+DK124+DK118+DK110</f>
        <v>132.60000000000002</v>
      </c>
      <c r="DL127" s="324">
        <f t="shared" si="362"/>
        <v>-100.19999999999996</v>
      </c>
      <c r="DM127" s="299">
        <f t="shared" si="362"/>
        <v>53.300000000000026</v>
      </c>
      <c r="DN127" s="299">
        <f t="shared" si="362"/>
        <v>-46.899999999999977</v>
      </c>
      <c r="DO127" s="299">
        <f>DO125+DO124+DO118+DO110</f>
        <v>4.0999999999999091</v>
      </c>
      <c r="DP127" s="299">
        <f>+DQ127-DO127</f>
        <v>-3.6999999999999318</v>
      </c>
      <c r="DQ127" s="299">
        <f>+DR127-DN127</f>
        <v>0.39999999999997726</v>
      </c>
      <c r="DR127" s="591">
        <f>DR125+DR124+DR118+DR110</f>
        <v>-46.5</v>
      </c>
      <c r="DS127" s="299">
        <f>DS125+DS124+DS118+DS110</f>
        <v>-62.300000000000011</v>
      </c>
      <c r="DT127" s="299">
        <f>DT125+DT124+DT118+DT110</f>
        <v>-83.000000000000028</v>
      </c>
      <c r="DU127" s="300">
        <f>DU125+DU124+DU118+DU110</f>
        <v>-145.30000000000001</v>
      </c>
      <c r="DV127" s="300">
        <f>DV125+DV124+DV118+DV110</f>
        <v>16.80000000000004</v>
      </c>
      <c r="DW127" s="299">
        <f>+DX127-DV127</f>
        <v>42.200000000000131</v>
      </c>
      <c r="DX127" s="299">
        <f>+DY127-DU127</f>
        <v>59.000000000000171</v>
      </c>
      <c r="DY127" s="591">
        <f>DY125+DY124+DY118+DY110</f>
        <v>-86.299999999999841</v>
      </c>
      <c r="DZ127" s="299">
        <f>DZ125+DZ124+DZ118+DZ110</f>
        <v>-28.599999999999966</v>
      </c>
      <c r="EA127" s="299">
        <f>EA125+EA124+EA118+EA110</f>
        <v>22.400000000000006</v>
      </c>
      <c r="EB127" s="300">
        <f>EB125+EB124+EB118+EB110</f>
        <v>-6.1999999999999318</v>
      </c>
      <c r="EC127" s="300">
        <f>EC125+EC124+EC118+EC110</f>
        <v>271.59999999999991</v>
      </c>
      <c r="ED127" s="299">
        <f>+EE127-EC127</f>
        <v>-332.19999999999993</v>
      </c>
      <c r="EE127" s="299">
        <f>+EF127-EB127</f>
        <v>-60.600000000000023</v>
      </c>
      <c r="EF127" s="591">
        <f>EF125+EF124+EF118+EF110</f>
        <v>-66.799999999999955</v>
      </c>
      <c r="EG127" s="300">
        <f>EG125+EG124+EG118+EG110</f>
        <v>-32.500000000000028</v>
      </c>
      <c r="EH127" s="299">
        <f>EH125+EH124+EH118+EH110</f>
        <v>-1.0999999999999375</v>
      </c>
      <c r="EI127" s="300">
        <f>EI125+EI124+EI118+EI110</f>
        <v>-33.599999999999966</v>
      </c>
      <c r="EJ127" s="300">
        <f>EJ125+EJ124+EJ118+EJ110</f>
        <v>175.29999999999995</v>
      </c>
      <c r="EK127" s="299">
        <f>+EL127-EJ127</f>
        <v>48.099999999999966</v>
      </c>
      <c r="EL127" s="299">
        <f>+EM127-EI127</f>
        <v>223.39999999999992</v>
      </c>
      <c r="EM127" s="591">
        <f>EM125+EM124+EM118+EM110</f>
        <v>189.79999999999995</v>
      </c>
      <c r="EN127" s="300">
        <f>EN125+EN124+EN118+EN110</f>
        <v>1504.4</v>
      </c>
      <c r="EO127" s="299">
        <f>EO125+EO124+EO118+EO110</f>
        <v>-1522.3000000000002</v>
      </c>
      <c r="EP127" s="300">
        <f>EP125+EP124+EP118+EP110</f>
        <v>-17.900000000000261</v>
      </c>
      <c r="EQ127" s="301">
        <f>EQ125+EQ124+EQ118+EQ110</f>
        <v>-212.79999999999995</v>
      </c>
      <c r="ER127" s="299">
        <f t="shared" ref="ER127:FV127" si="363">ER125+ER124+ER118+ER110</f>
        <v>0</v>
      </c>
      <c r="ES127" s="299">
        <f t="shared" si="363"/>
        <v>-213.49999999999994</v>
      </c>
      <c r="ET127" s="591">
        <f t="shared" si="363"/>
        <v>-231.4000000000002</v>
      </c>
      <c r="EU127" s="299">
        <f t="shared" si="363"/>
        <v>0</v>
      </c>
      <c r="EV127" s="299">
        <f t="shared" si="363"/>
        <v>0</v>
      </c>
      <c r="EW127" s="299">
        <f t="shared" si="363"/>
        <v>0</v>
      </c>
      <c r="EX127" s="299">
        <f t="shared" si="363"/>
        <v>0</v>
      </c>
      <c r="EY127" s="299">
        <f t="shared" si="363"/>
        <v>0</v>
      </c>
      <c r="EZ127" s="299">
        <f t="shared" si="363"/>
        <v>0</v>
      </c>
      <c r="FA127" s="591">
        <f t="shared" si="363"/>
        <v>0</v>
      </c>
      <c r="FB127" s="299">
        <f t="shared" si="363"/>
        <v>0</v>
      </c>
      <c r="FC127" s="299">
        <f t="shared" si="363"/>
        <v>0</v>
      </c>
      <c r="FD127" s="299">
        <f t="shared" si="363"/>
        <v>0</v>
      </c>
      <c r="FE127" s="299">
        <f t="shared" si="363"/>
        <v>0</v>
      </c>
      <c r="FF127" s="299">
        <f t="shared" si="363"/>
        <v>0</v>
      </c>
      <c r="FG127" s="299">
        <f t="shared" si="363"/>
        <v>0</v>
      </c>
      <c r="FH127" s="591">
        <f t="shared" si="363"/>
        <v>0</v>
      </c>
      <c r="FI127" s="299">
        <f t="shared" si="363"/>
        <v>0</v>
      </c>
      <c r="FJ127" s="299">
        <f t="shared" si="363"/>
        <v>0</v>
      </c>
      <c r="FK127" s="299">
        <f t="shared" si="363"/>
        <v>0</v>
      </c>
      <c r="FL127" s="299">
        <f t="shared" si="363"/>
        <v>0</v>
      </c>
      <c r="FM127" s="299">
        <f t="shared" si="363"/>
        <v>0</v>
      </c>
      <c r="FN127" s="299">
        <f t="shared" si="363"/>
        <v>0</v>
      </c>
      <c r="FO127" s="591">
        <f t="shared" si="363"/>
        <v>0</v>
      </c>
      <c r="FP127" s="299">
        <f t="shared" si="363"/>
        <v>0</v>
      </c>
      <c r="FQ127" s="299">
        <f t="shared" si="363"/>
        <v>0</v>
      </c>
      <c r="FR127" s="299">
        <f t="shared" si="363"/>
        <v>0</v>
      </c>
      <c r="FS127" s="299">
        <f t="shared" si="363"/>
        <v>0</v>
      </c>
      <c r="FT127" s="299">
        <f t="shared" si="363"/>
        <v>0</v>
      </c>
      <c r="FU127" s="299">
        <f t="shared" si="363"/>
        <v>0</v>
      </c>
      <c r="FV127" s="591">
        <f t="shared" si="363"/>
        <v>0</v>
      </c>
      <c r="FW127" s="632"/>
    </row>
    <row r="128" spans="1:280" outlineLevel="1" x14ac:dyDescent="0.3">
      <c r="B128" s="253" t="s">
        <v>483</v>
      </c>
      <c r="C128" s="280" t="s">
        <v>226</v>
      </c>
      <c r="D128" s="281"/>
      <c r="E128" s="281"/>
      <c r="F128" s="281"/>
      <c r="G128" s="281"/>
      <c r="H128" s="281"/>
      <c r="I128" s="281"/>
      <c r="J128" s="281"/>
      <c r="K128" s="281"/>
      <c r="L128" s="281"/>
      <c r="M128" s="281"/>
      <c r="N128" s="281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  <c r="AF128" s="281"/>
      <c r="AG128" s="281"/>
      <c r="AH128" s="281"/>
      <c r="AI128" s="281"/>
      <c r="AJ128" s="281"/>
      <c r="AK128" s="281"/>
      <c r="AL128" s="281"/>
      <c r="AM128" s="281"/>
      <c r="AN128" s="281"/>
      <c r="AO128" s="281"/>
      <c r="AP128" s="281"/>
      <c r="AQ128" s="281"/>
      <c r="AR128" s="281"/>
      <c r="AS128" s="281"/>
      <c r="AT128" s="281"/>
      <c r="AU128" s="281"/>
      <c r="AV128" s="281"/>
      <c r="AW128" s="281"/>
      <c r="AX128" s="281"/>
      <c r="AY128" s="281"/>
      <c r="AZ128" s="281"/>
      <c r="BA128" s="281"/>
      <c r="BB128" s="281"/>
      <c r="BC128" s="281"/>
      <c r="BD128" s="281"/>
      <c r="BE128" s="281"/>
      <c r="BF128" s="281"/>
      <c r="BG128" s="281"/>
      <c r="BH128" s="281"/>
      <c r="BI128" s="281"/>
      <c r="BJ128" s="281"/>
      <c r="BK128" s="281"/>
      <c r="BL128" s="281"/>
      <c r="BM128" s="281"/>
      <c r="BN128" s="281">
        <f t="shared" ref="BN128:DN128" si="364">BN110+BN114</f>
        <v>214.10000000000002</v>
      </c>
      <c r="BO128" s="281">
        <f t="shared" si="364"/>
        <v>-6.1000000000000014</v>
      </c>
      <c r="BP128" s="281">
        <f t="shared" si="364"/>
        <v>-119.30000000000001</v>
      </c>
      <c r="BQ128" s="281">
        <f t="shared" si="364"/>
        <v>-125.39999999999999</v>
      </c>
      <c r="BR128" s="281">
        <f t="shared" si="364"/>
        <v>-10.90000000000002</v>
      </c>
      <c r="BS128" s="281">
        <f t="shared" si="364"/>
        <v>39.600000000000023</v>
      </c>
      <c r="BT128" s="281">
        <f t="shared" si="364"/>
        <v>28.699999999999989</v>
      </c>
      <c r="BU128" s="281">
        <f t="shared" si="364"/>
        <v>-96.700000000000074</v>
      </c>
      <c r="BV128" s="281">
        <f t="shared" si="364"/>
        <v>36.1</v>
      </c>
      <c r="BW128" s="281">
        <f t="shared" si="364"/>
        <v>7</v>
      </c>
      <c r="BX128" s="281">
        <f t="shared" si="364"/>
        <v>43.100000000000037</v>
      </c>
      <c r="BY128" s="281">
        <f t="shared" si="364"/>
        <v>105.29999999999995</v>
      </c>
      <c r="BZ128" s="281">
        <f t="shared" si="364"/>
        <v>38.79999999999999</v>
      </c>
      <c r="CA128" s="281">
        <f t="shared" si="364"/>
        <v>144.09999999999991</v>
      </c>
      <c r="CB128" s="281">
        <f t="shared" si="364"/>
        <v>187.2</v>
      </c>
      <c r="CC128" s="281">
        <f t="shared" si="364"/>
        <v>97.3</v>
      </c>
      <c r="CD128" s="281">
        <f t="shared" si="364"/>
        <v>-1.9999999999999893</v>
      </c>
      <c r="CE128" s="281">
        <f t="shared" si="364"/>
        <v>95.30000000000004</v>
      </c>
      <c r="CF128" s="281">
        <f t="shared" si="364"/>
        <v>111.99999999999997</v>
      </c>
      <c r="CG128" s="281">
        <f t="shared" si="364"/>
        <v>-17.099999999999987</v>
      </c>
      <c r="CH128" s="281">
        <f t="shared" si="364"/>
        <v>94.899999999999991</v>
      </c>
      <c r="CI128" s="281">
        <f t="shared" si="364"/>
        <v>190.20000000000002</v>
      </c>
      <c r="CJ128" s="281">
        <f t="shared" si="364"/>
        <v>54.800000000000004</v>
      </c>
      <c r="CK128" s="281">
        <f t="shared" si="364"/>
        <v>-40.4</v>
      </c>
      <c r="CL128" s="281">
        <f t="shared" si="364"/>
        <v>14.399999999999991</v>
      </c>
      <c r="CM128" s="281">
        <f t="shared" si="364"/>
        <v>76.200000000000017</v>
      </c>
      <c r="CN128" s="281">
        <f t="shared" si="364"/>
        <v>0.70000000000000284</v>
      </c>
      <c r="CO128" s="281">
        <f t="shared" si="364"/>
        <v>76.900000000000063</v>
      </c>
      <c r="CP128" s="282">
        <f t="shared" si="364"/>
        <v>91.299999999999898</v>
      </c>
      <c r="CQ128" s="282">
        <f t="shared" si="364"/>
        <v>39.700000000000003</v>
      </c>
      <c r="CR128" s="282">
        <f t="shared" si="364"/>
        <v>-42.100000000000009</v>
      </c>
      <c r="CS128" s="282">
        <f t="shared" si="364"/>
        <v>-2.4000000000000341</v>
      </c>
      <c r="CT128" s="282">
        <f t="shared" si="364"/>
        <v>59.800000000000068</v>
      </c>
      <c r="CU128" s="282">
        <f t="shared" si="364"/>
        <v>-70.100000000000051</v>
      </c>
      <c r="CV128" s="282">
        <f t="shared" si="364"/>
        <v>19.500000000000028</v>
      </c>
      <c r="CW128" s="282">
        <f t="shared" si="364"/>
        <v>17.099999999999909</v>
      </c>
      <c r="CX128" s="282">
        <f t="shared" si="364"/>
        <v>76.899999999999991</v>
      </c>
      <c r="CY128" s="282">
        <f t="shared" si="364"/>
        <v>47.100000000000023</v>
      </c>
      <c r="CZ128" s="282">
        <f t="shared" si="364"/>
        <v>123.99999999999996</v>
      </c>
      <c r="DA128" s="282">
        <f t="shared" si="364"/>
        <v>108.00000000000001</v>
      </c>
      <c r="DB128" s="282">
        <f>DB110+DB114</f>
        <v>25.40000000000002</v>
      </c>
      <c r="DC128" s="282">
        <f>DC110+DC114</f>
        <v>133.40000000000012</v>
      </c>
      <c r="DD128" s="590">
        <f>DD110+DD114</f>
        <v>257.39999999999998</v>
      </c>
      <c r="DE128" s="282">
        <f>DE110+DE114</f>
        <v>162.1</v>
      </c>
      <c r="DF128" s="282">
        <f t="shared" si="364"/>
        <v>210.00000000000003</v>
      </c>
      <c r="DG128" s="282">
        <f>DG110+DG114</f>
        <v>372.10000000000014</v>
      </c>
      <c r="DH128" s="282">
        <f t="shared" si="364"/>
        <v>229.29999999999984</v>
      </c>
      <c r="DI128" s="282">
        <f t="shared" si="343"/>
        <v>74.800000000000068</v>
      </c>
      <c r="DJ128" s="282">
        <f t="shared" si="344"/>
        <v>304.09999999999991</v>
      </c>
      <c r="DK128" s="590">
        <f>DK110+DK114</f>
        <v>676.2</v>
      </c>
      <c r="DL128" s="284">
        <f t="shared" si="364"/>
        <v>140.69999999999999</v>
      </c>
      <c r="DM128" s="282">
        <f t="shared" si="364"/>
        <v>108.70000000000002</v>
      </c>
      <c r="DN128" s="282">
        <f t="shared" si="364"/>
        <v>249.4</v>
      </c>
      <c r="DO128" s="282">
        <f>DO110+DO114</f>
        <v>129.39999999999995</v>
      </c>
      <c r="DP128" s="282">
        <f>+DQ128-DO128</f>
        <v>120.60000000000008</v>
      </c>
      <c r="DQ128" s="282">
        <f>+DR128-DN128</f>
        <v>250.00000000000003</v>
      </c>
      <c r="DR128" s="590">
        <f>DR110+DR114</f>
        <v>499.40000000000003</v>
      </c>
      <c r="DS128" s="282">
        <f>DS110+DS114</f>
        <v>-20.5</v>
      </c>
      <c r="DT128" s="282">
        <f>DT110+DT114</f>
        <v>-25</v>
      </c>
      <c r="DU128" s="283">
        <f>DU110+DU114</f>
        <v>-45.5</v>
      </c>
      <c r="DV128" s="283">
        <f>DV110+DV114</f>
        <v>26.900000000000034</v>
      </c>
      <c r="DW128" s="282">
        <f>+DX128-DV128</f>
        <v>34.900000000000034</v>
      </c>
      <c r="DX128" s="282">
        <f>+DY128-DU128</f>
        <v>61.800000000000068</v>
      </c>
      <c r="DY128" s="590">
        <f>DY110+DY114</f>
        <v>16.300000000000068</v>
      </c>
      <c r="DZ128" s="282">
        <f>DZ110+DZ114</f>
        <v>126.70000000000002</v>
      </c>
      <c r="EA128" s="282">
        <f>EA110+EA114</f>
        <v>99.800000000000011</v>
      </c>
      <c r="EB128" s="283">
        <f>EB110+EB114</f>
        <v>226.50000000000003</v>
      </c>
      <c r="EC128" s="283">
        <f>EC110+EC114</f>
        <v>194.79999999999998</v>
      </c>
      <c r="ED128" s="282">
        <f>+EE128-EC128</f>
        <v>43.600000000000023</v>
      </c>
      <c r="EE128" s="282">
        <f>+EF128-EB128</f>
        <v>238.4</v>
      </c>
      <c r="EF128" s="590">
        <f>EF110+EF114</f>
        <v>464.90000000000003</v>
      </c>
      <c r="EG128" s="282">
        <f>EG110+EG114</f>
        <v>55.299999999999983</v>
      </c>
      <c r="EH128" s="282">
        <f>EH110+EH114</f>
        <v>83.80000000000004</v>
      </c>
      <c r="EI128" s="283">
        <f>EI110+EI114</f>
        <v>139.10000000000002</v>
      </c>
      <c r="EJ128" s="283">
        <f>EJ110+EJ114</f>
        <v>185.29999999999995</v>
      </c>
      <c r="EK128" s="282">
        <f>+EL128-EJ128</f>
        <v>56.199999999999989</v>
      </c>
      <c r="EL128" s="282">
        <f>+EM128-EI128</f>
        <v>241.49999999999994</v>
      </c>
      <c r="EM128" s="590">
        <f>EM110+EM114</f>
        <v>380.59999999999997</v>
      </c>
      <c r="EN128" s="282">
        <f>EN110+EN114</f>
        <v>103.7</v>
      </c>
      <c r="EO128" s="282">
        <f>EO110+EO114</f>
        <v>-45.3</v>
      </c>
      <c r="EP128" s="283">
        <f>EP110+EP114</f>
        <v>58.400000000000006</v>
      </c>
      <c r="EQ128" s="284">
        <f>EQ110+EQ114</f>
        <v>94.19999999999996</v>
      </c>
      <c r="ER128" s="282">
        <f t="shared" ref="ER128:FV128" si="365">ER110+ER114</f>
        <v>100.4557543529037</v>
      </c>
      <c r="ES128" s="282">
        <f t="shared" si="365"/>
        <v>193.9557543529036</v>
      </c>
      <c r="ET128" s="590">
        <f>EP128+ES128</f>
        <v>252.3557543529036</v>
      </c>
      <c r="EU128" s="282">
        <f t="shared" si="365"/>
        <v>247.00381034226368</v>
      </c>
      <c r="EV128" s="282">
        <f t="shared" si="365"/>
        <v>84.775111880681152</v>
      </c>
      <c r="EW128" s="282">
        <f t="shared" si="365"/>
        <v>331.77892222294486</v>
      </c>
      <c r="EX128" s="282">
        <f t="shared" si="365"/>
        <v>168.76206522470821</v>
      </c>
      <c r="EY128" s="282">
        <f t="shared" si="365"/>
        <v>66.632486208387846</v>
      </c>
      <c r="EZ128" s="282">
        <f t="shared" si="365"/>
        <v>235.39455143309601</v>
      </c>
      <c r="FA128" s="590">
        <f t="shared" si="365"/>
        <v>567.17347365604076</v>
      </c>
      <c r="FB128" s="282">
        <f t="shared" si="365"/>
        <v>296.39596396699915</v>
      </c>
      <c r="FC128" s="282">
        <f t="shared" si="365"/>
        <v>123.11481844016154</v>
      </c>
      <c r="FD128" s="282">
        <f t="shared" si="365"/>
        <v>419.51078240716083</v>
      </c>
      <c r="FE128" s="282">
        <f t="shared" si="365"/>
        <v>228.01129485250465</v>
      </c>
      <c r="FF128" s="282">
        <f t="shared" si="365"/>
        <v>107.35189325638842</v>
      </c>
      <c r="FG128" s="282">
        <f t="shared" si="365"/>
        <v>335.36318810889304</v>
      </c>
      <c r="FH128" s="590">
        <f t="shared" si="365"/>
        <v>754.87397051605399</v>
      </c>
      <c r="FI128" s="282">
        <f t="shared" si="365"/>
        <v>361.30052025002084</v>
      </c>
      <c r="FJ128" s="282">
        <f t="shared" si="365"/>
        <v>160.81758567247752</v>
      </c>
      <c r="FK128" s="282">
        <f t="shared" si="365"/>
        <v>522.11810592249844</v>
      </c>
      <c r="FL128" s="282">
        <f t="shared" si="365"/>
        <v>271.46477287664612</v>
      </c>
      <c r="FM128" s="282">
        <f t="shared" si="365"/>
        <v>141.95026963915348</v>
      </c>
      <c r="FN128" s="282">
        <f t="shared" si="365"/>
        <v>413.4150425157996</v>
      </c>
      <c r="FO128" s="590">
        <f t="shared" si="365"/>
        <v>935.5331484382981</v>
      </c>
      <c r="FP128" s="282">
        <f t="shared" si="365"/>
        <v>409.15208465554701</v>
      </c>
      <c r="FQ128" s="282">
        <f t="shared" si="365"/>
        <v>200.04434553587902</v>
      </c>
      <c r="FR128" s="282">
        <f t="shared" si="365"/>
        <v>609.19643019142609</v>
      </c>
      <c r="FS128" s="282">
        <f t="shared" si="365"/>
        <v>319.4456052428169</v>
      </c>
      <c r="FT128" s="282">
        <f t="shared" si="365"/>
        <v>180.73917892525105</v>
      </c>
      <c r="FU128" s="282">
        <f t="shared" si="365"/>
        <v>500.18478416806806</v>
      </c>
      <c r="FV128" s="590">
        <f t="shared" si="365"/>
        <v>1109.3812143594942</v>
      </c>
    </row>
    <row r="129" spans="1:280" s="247" customFormat="1" ht="12.05" customHeight="1" x14ac:dyDescent="0.3">
      <c r="A129" s="273" t="s">
        <v>484</v>
      </c>
      <c r="B129" s="273"/>
      <c r="C129" s="394"/>
      <c r="D129" s="395"/>
      <c r="E129" s="395"/>
      <c r="F129" s="395"/>
      <c r="G129" s="395"/>
      <c r="H129" s="395"/>
      <c r="I129" s="395"/>
      <c r="J129" s="395"/>
      <c r="K129" s="395"/>
      <c r="L129" s="443"/>
      <c r="M129" s="444"/>
      <c r="N129" s="443"/>
      <c r="O129" s="443"/>
      <c r="P129" s="444"/>
      <c r="Q129" s="443"/>
      <c r="R129" s="443"/>
      <c r="S129" s="444"/>
      <c r="T129" s="443"/>
      <c r="U129" s="443"/>
      <c r="V129" s="444"/>
      <c r="W129" s="443"/>
      <c r="X129" s="443"/>
      <c r="Y129" s="444"/>
      <c r="Z129" s="443"/>
      <c r="AA129" s="443"/>
      <c r="AB129" s="443"/>
      <c r="AC129" s="443"/>
      <c r="AD129" s="443"/>
      <c r="AE129" s="443"/>
      <c r="AF129" s="443"/>
      <c r="AG129" s="443"/>
      <c r="AH129" s="443"/>
      <c r="AI129" s="443"/>
      <c r="AJ129" s="443"/>
      <c r="AK129" s="443"/>
      <c r="AL129" s="443"/>
      <c r="AM129" s="443"/>
      <c r="AN129" s="443"/>
      <c r="AO129" s="443"/>
      <c r="AP129" s="443"/>
      <c r="AQ129" s="443"/>
      <c r="AR129" s="443"/>
      <c r="AS129" s="443"/>
      <c r="AT129" s="443"/>
      <c r="AU129" s="443"/>
      <c r="AV129" s="443"/>
      <c r="AW129" s="443"/>
      <c r="AX129" s="443"/>
      <c r="AY129" s="443"/>
      <c r="AZ129" s="443"/>
      <c r="BA129" s="443"/>
      <c r="BB129" s="443"/>
      <c r="BC129" s="444"/>
      <c r="BD129" s="443"/>
      <c r="BE129" s="443"/>
      <c r="BF129" s="444"/>
      <c r="BG129" s="443"/>
      <c r="BH129" s="443"/>
      <c r="BI129" s="444"/>
      <c r="BJ129" s="443"/>
      <c r="BK129" s="443"/>
      <c r="BL129" s="444"/>
      <c r="BM129" s="443"/>
      <c r="BN129" s="443"/>
      <c r="BO129" s="444"/>
      <c r="BP129" s="443"/>
      <c r="BQ129" s="443"/>
      <c r="BR129" s="444"/>
      <c r="BS129" s="443"/>
      <c r="BT129" s="443"/>
      <c r="BU129" s="444"/>
      <c r="BV129" s="443"/>
      <c r="BW129" s="443"/>
      <c r="BX129" s="444"/>
      <c r="BY129" s="443"/>
      <c r="BZ129" s="443"/>
      <c r="CA129" s="444"/>
      <c r="CB129" s="443"/>
      <c r="CC129" s="395"/>
      <c r="CD129" s="395"/>
      <c r="CE129" s="395"/>
      <c r="CF129" s="395"/>
      <c r="CG129" s="395"/>
      <c r="CH129" s="395"/>
      <c r="CI129" s="395"/>
      <c r="CJ129" s="395"/>
      <c r="CK129" s="395"/>
      <c r="CL129" s="395"/>
      <c r="CM129" s="443"/>
      <c r="CN129" s="395"/>
      <c r="CO129" s="395"/>
      <c r="CP129" s="395"/>
      <c r="CQ129" s="395"/>
      <c r="CR129" s="395"/>
      <c r="CS129" s="445"/>
      <c r="CT129" s="277"/>
      <c r="CU129" s="445"/>
      <c r="CV129" s="446"/>
      <c r="CW129" s="395"/>
      <c r="CX129" s="395"/>
      <c r="CY129" s="395"/>
      <c r="CZ129" s="395"/>
      <c r="DA129" s="277"/>
      <c r="DB129" s="445"/>
      <c r="DC129" s="446"/>
      <c r="DD129" s="259"/>
      <c r="DE129" s="395"/>
      <c r="DF129" s="395"/>
      <c r="DG129" s="395"/>
      <c r="DH129" s="277"/>
      <c r="DI129" s="446"/>
      <c r="DJ129" s="395"/>
      <c r="DK129" s="259"/>
      <c r="DL129" s="447"/>
      <c r="DM129" s="283"/>
      <c r="DN129" s="395"/>
      <c r="DO129" s="395"/>
      <c r="DP129" s="446"/>
      <c r="DQ129" s="395"/>
      <c r="DR129" s="259"/>
      <c r="DS129" s="395"/>
      <c r="DT129" s="395"/>
      <c r="DU129" s="538"/>
      <c r="DV129" s="395"/>
      <c r="DW129" s="446"/>
      <c r="DX129" s="395"/>
      <c r="DY129" s="259"/>
      <c r="DZ129" s="395"/>
      <c r="EA129" s="395"/>
      <c r="EB129" s="538"/>
      <c r="EC129" s="395"/>
      <c r="ED129" s="446"/>
      <c r="EE129" s="395"/>
      <c r="EF129" s="259"/>
      <c r="EG129" s="395"/>
      <c r="EH129" s="395"/>
      <c r="EI129" s="538"/>
      <c r="EJ129" s="395"/>
      <c r="EK129" s="446"/>
      <c r="EL129" s="395"/>
      <c r="EM129" s="259"/>
      <c r="EN129" s="395"/>
      <c r="EO129" s="395"/>
      <c r="EP129" s="538"/>
      <c r="EQ129" s="447"/>
      <c r="ER129" s="395"/>
      <c r="ES129" s="395"/>
      <c r="ET129" s="259"/>
      <c r="EU129" s="395"/>
      <c r="EV129" s="395"/>
      <c r="EW129" s="395"/>
      <c r="EX129" s="395"/>
      <c r="EY129" s="395"/>
      <c r="EZ129" s="395"/>
      <c r="FA129" s="259"/>
      <c r="FB129" s="395"/>
      <c r="FC129" s="395"/>
      <c r="FD129" s="395"/>
      <c r="FE129" s="395"/>
      <c r="FF129" s="395"/>
      <c r="FG129" s="395"/>
      <c r="FH129" s="259"/>
      <c r="FI129" s="395"/>
      <c r="FJ129" s="395"/>
      <c r="FK129" s="395"/>
      <c r="FL129" s="395"/>
      <c r="FM129" s="395"/>
      <c r="FN129" s="395"/>
      <c r="FO129" s="259"/>
      <c r="FP129" s="395"/>
      <c r="FQ129" s="395"/>
      <c r="FR129" s="395"/>
      <c r="FS129" s="395"/>
      <c r="FT129" s="395"/>
      <c r="FU129" s="395"/>
      <c r="FV129" s="259"/>
      <c r="FW129" s="532"/>
      <c r="FX129" s="532"/>
      <c r="FY129" s="532"/>
      <c r="FZ129" s="532"/>
      <c r="GA129" s="532"/>
      <c r="GB129"/>
      <c r="GC129"/>
      <c r="GD129"/>
      <c r="GE129"/>
      <c r="GF129"/>
      <c r="GG129"/>
      <c r="GH129" s="532"/>
      <c r="GI129" s="532"/>
      <c r="GJ129" s="532"/>
      <c r="GK129" s="532"/>
      <c r="GL129" s="532"/>
      <c r="GM129" s="532"/>
      <c r="GN129" s="532"/>
      <c r="GO129" s="532"/>
      <c r="GP129" s="532"/>
      <c r="GQ129" s="532"/>
      <c r="GR129" s="532"/>
      <c r="GS129" s="532"/>
      <c r="GT129" s="532"/>
      <c r="GU129" s="532"/>
      <c r="GV129" s="532"/>
      <c r="GW129" s="532"/>
      <c r="GX129" s="532"/>
      <c r="GY129" s="532"/>
      <c r="GZ129" s="532"/>
      <c r="HA129" s="532"/>
      <c r="HB129" s="532"/>
      <c r="HC129" s="532"/>
      <c r="HD129" s="532"/>
      <c r="HE129" s="532"/>
      <c r="HF129" s="532"/>
      <c r="HG129" s="532"/>
      <c r="HH129" s="532"/>
      <c r="HI129" s="532"/>
      <c r="HJ129" s="532"/>
      <c r="HK129" s="532"/>
      <c r="HL129" s="532"/>
      <c r="HM129" s="532"/>
      <c r="HN129" s="532"/>
      <c r="HO129" s="532"/>
      <c r="HP129" s="532"/>
      <c r="HQ129" s="532"/>
      <c r="HR129" s="532"/>
      <c r="HS129" s="532"/>
      <c r="HT129" s="532"/>
      <c r="HU129" s="532"/>
      <c r="HV129" s="532"/>
      <c r="HW129" s="532"/>
      <c r="HX129" s="532"/>
      <c r="HY129" s="532"/>
      <c r="HZ129" s="532"/>
      <c r="IA129" s="532"/>
      <c r="IB129" s="532"/>
      <c r="IC129" s="532"/>
      <c r="ID129" s="532"/>
      <c r="IE129" s="532"/>
      <c r="IF129" s="532"/>
      <c r="IG129" s="532"/>
      <c r="IH129" s="532"/>
      <c r="II129" s="532"/>
      <c r="IJ129" s="532"/>
      <c r="IK129" s="532"/>
      <c r="IL129" s="532"/>
      <c r="IM129" s="532"/>
      <c r="IN129" s="532"/>
      <c r="IO129" s="532"/>
      <c r="IP129" s="532"/>
      <c r="IQ129" s="532"/>
      <c r="IR129" s="532"/>
      <c r="IS129" s="532"/>
      <c r="IT129" s="532"/>
      <c r="IU129" s="532"/>
      <c r="IV129" s="532"/>
      <c r="IW129" s="532"/>
      <c r="IX129" s="532"/>
      <c r="IY129" s="532"/>
      <c r="IZ129" s="532"/>
      <c r="JA129" s="532"/>
      <c r="JB129" s="532"/>
      <c r="JC129" s="532"/>
      <c r="JD129" s="532"/>
      <c r="JE129" s="532"/>
      <c r="JF129" s="532"/>
      <c r="JG129" s="532"/>
      <c r="JH129" s="532"/>
      <c r="JI129" s="532"/>
      <c r="JJ129" s="532"/>
      <c r="JK129" s="532"/>
      <c r="JL129" s="532"/>
      <c r="JM129" s="532"/>
      <c r="JN129" s="532"/>
      <c r="JO129" s="532"/>
      <c r="JP129" s="532"/>
      <c r="JQ129" s="532"/>
      <c r="JR129" s="532"/>
      <c r="JS129" s="532"/>
      <c r="JT129" s="532"/>
    </row>
    <row r="130" spans="1:280" outlineLevel="1" x14ac:dyDescent="0.3">
      <c r="B130" s="396" t="s">
        <v>485</v>
      </c>
      <c r="C130" s="280"/>
      <c r="BN130" s="320"/>
      <c r="BO130" s="320"/>
      <c r="BP130" s="320"/>
      <c r="BQ130" s="320"/>
      <c r="BR130" s="320"/>
      <c r="BS130" s="320"/>
      <c r="BT130" s="320"/>
      <c r="BU130" s="320"/>
      <c r="BV130" s="320"/>
      <c r="BW130" s="320"/>
      <c r="BX130" s="320"/>
      <c r="BY130" s="320"/>
      <c r="BZ130" s="320"/>
      <c r="CA130" s="320"/>
      <c r="CB130" s="320"/>
      <c r="CC130" s="320"/>
      <c r="CD130" s="320"/>
      <c r="CE130" s="320"/>
      <c r="CF130" s="320"/>
      <c r="CG130" s="320"/>
      <c r="CH130" s="320"/>
      <c r="CI130" s="320"/>
      <c r="CJ130" s="320"/>
      <c r="CK130" s="320"/>
      <c r="CL130" s="320"/>
      <c r="CM130" s="320"/>
      <c r="CN130" s="320"/>
      <c r="CO130" s="320"/>
      <c r="CP130" s="282"/>
      <c r="CQ130" s="282"/>
      <c r="CR130" s="282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82"/>
      <c r="DC130" s="282"/>
      <c r="DD130" s="590"/>
      <c r="DE130" s="282"/>
      <c r="DF130" s="282"/>
      <c r="DG130" s="282"/>
      <c r="DH130" s="282"/>
      <c r="DI130" s="282"/>
      <c r="DJ130" s="282"/>
      <c r="DK130" s="590"/>
      <c r="DL130" s="284"/>
      <c r="DM130" s="282"/>
      <c r="DN130" s="282"/>
      <c r="DO130" s="282"/>
      <c r="DP130" s="282"/>
      <c r="DQ130" s="282"/>
      <c r="DR130" s="590"/>
      <c r="DS130" s="282"/>
      <c r="DT130" s="282"/>
      <c r="DU130" s="282"/>
      <c r="DV130" s="282"/>
      <c r="DW130" s="282"/>
      <c r="DX130" s="282"/>
      <c r="DY130" s="590"/>
      <c r="DZ130" s="282"/>
      <c r="EA130" s="282"/>
      <c r="EB130" s="282"/>
      <c r="EC130" s="282"/>
      <c r="ED130" s="282"/>
      <c r="EE130" s="282"/>
      <c r="EF130" s="590"/>
      <c r="EG130" s="282"/>
      <c r="EH130" s="282"/>
      <c r="EI130" s="282"/>
      <c r="EJ130" s="282"/>
      <c r="EK130" s="282"/>
      <c r="EL130" s="282"/>
      <c r="EM130" s="590"/>
      <c r="EN130" s="282"/>
      <c r="EO130" s="282"/>
      <c r="EP130" s="282"/>
      <c r="EQ130" s="284"/>
      <c r="ER130" s="282"/>
      <c r="ES130" s="282"/>
      <c r="ET130" s="590"/>
      <c r="EU130" s="282"/>
      <c r="EV130" s="282"/>
      <c r="EW130" s="282"/>
      <c r="EX130" s="282"/>
      <c r="EY130" s="282"/>
      <c r="EZ130" s="282"/>
      <c r="FA130" s="590"/>
      <c r="FB130" s="282"/>
      <c r="FC130" s="282"/>
      <c r="FD130" s="282"/>
      <c r="FE130" s="282"/>
      <c r="FF130" s="282"/>
      <c r="FG130" s="282"/>
      <c r="FH130" s="590"/>
      <c r="FI130" s="282"/>
      <c r="FJ130" s="282"/>
      <c r="FK130" s="282"/>
      <c r="FL130" s="282"/>
      <c r="FM130" s="282"/>
      <c r="FN130" s="282"/>
      <c r="FO130" s="590"/>
      <c r="FP130" s="282"/>
      <c r="FQ130" s="282"/>
      <c r="FR130" s="282"/>
      <c r="FS130" s="282"/>
      <c r="FT130" s="282"/>
      <c r="FU130" s="282"/>
      <c r="FV130" s="590"/>
    </row>
    <row r="131" spans="1:280" outlineLevel="1" x14ac:dyDescent="0.3">
      <c r="B131" s="253" t="s">
        <v>486</v>
      </c>
      <c r="C131" s="280" t="s">
        <v>226</v>
      </c>
      <c r="D131" s="281">
        <f t="shared" ref="D131:I131" si="366">D175</f>
        <v>161.6</v>
      </c>
      <c r="E131" s="281">
        <f t="shared" si="366"/>
        <v>170.9</v>
      </c>
      <c r="F131" s="281">
        <f t="shared" si="366"/>
        <v>170.9</v>
      </c>
      <c r="G131" s="281">
        <f t="shared" si="366"/>
        <v>149</v>
      </c>
      <c r="H131" s="281">
        <f t="shared" si="366"/>
        <v>315.10000000000002</v>
      </c>
      <c r="I131" s="281">
        <f t="shared" si="366"/>
        <v>315.10000000000002</v>
      </c>
      <c r="J131" s="281">
        <f>J173</f>
        <v>315.10000000000002</v>
      </c>
      <c r="K131" s="281">
        <f t="shared" ref="K131:BV131" si="367">K173</f>
        <v>175.4</v>
      </c>
      <c r="L131" s="281">
        <f t="shared" si="367"/>
        <v>47.3</v>
      </c>
      <c r="M131" s="281">
        <f t="shared" si="367"/>
        <v>47.3</v>
      </c>
      <c r="N131" s="281">
        <f t="shared" si="367"/>
        <v>65.3</v>
      </c>
      <c r="O131" s="281">
        <f t="shared" si="367"/>
        <v>34.1</v>
      </c>
      <c r="P131" s="281">
        <f t="shared" si="367"/>
        <v>34.1</v>
      </c>
      <c r="Q131" s="281">
        <f t="shared" si="367"/>
        <v>34.1</v>
      </c>
      <c r="R131" s="281">
        <f t="shared" si="367"/>
        <v>80.599999999999994</v>
      </c>
      <c r="S131" s="281">
        <f t="shared" si="367"/>
        <v>33.1</v>
      </c>
      <c r="T131" s="281">
        <f t="shared" si="367"/>
        <v>33.1</v>
      </c>
      <c r="U131" s="281">
        <f t="shared" si="367"/>
        <v>69.900000000000006</v>
      </c>
      <c r="V131" s="281">
        <f t="shared" si="367"/>
        <v>35.4</v>
      </c>
      <c r="W131" s="281">
        <f t="shared" si="367"/>
        <v>35.4</v>
      </c>
      <c r="X131" s="281">
        <f t="shared" si="367"/>
        <v>35.4</v>
      </c>
      <c r="Y131" s="281">
        <f t="shared" si="367"/>
        <v>171.3</v>
      </c>
      <c r="Z131" s="281">
        <f t="shared" si="367"/>
        <v>91.9</v>
      </c>
      <c r="AA131" s="281">
        <f t="shared" si="367"/>
        <v>91.9</v>
      </c>
      <c r="AB131" s="281">
        <f t="shared" si="367"/>
        <v>58.4</v>
      </c>
      <c r="AC131" s="281">
        <f t="shared" si="367"/>
        <v>42.4</v>
      </c>
      <c r="AD131" s="281">
        <f t="shared" si="367"/>
        <v>42.4</v>
      </c>
      <c r="AE131" s="281">
        <f t="shared" si="367"/>
        <v>42.4</v>
      </c>
      <c r="AF131" s="281">
        <f t="shared" si="367"/>
        <v>42.7</v>
      </c>
      <c r="AG131" s="281">
        <f t="shared" si="367"/>
        <v>45.8</v>
      </c>
      <c r="AH131" s="281">
        <f t="shared" si="367"/>
        <v>45.8</v>
      </c>
      <c r="AI131" s="281">
        <f t="shared" si="367"/>
        <v>51.2</v>
      </c>
      <c r="AJ131" s="281">
        <f t="shared" si="367"/>
        <v>19.2</v>
      </c>
      <c r="AK131" s="281">
        <f t="shared" si="367"/>
        <v>19.2</v>
      </c>
      <c r="AL131" s="281">
        <f t="shared" si="367"/>
        <v>19.2</v>
      </c>
      <c r="AM131" s="281">
        <f t="shared" si="367"/>
        <v>43.1</v>
      </c>
      <c r="AN131" s="281">
        <f t="shared" si="367"/>
        <v>17.600000000000001</v>
      </c>
      <c r="AO131" s="281">
        <f t="shared" si="367"/>
        <v>17.600000000000001</v>
      </c>
      <c r="AP131" s="281">
        <f t="shared" si="367"/>
        <v>24.2</v>
      </c>
      <c r="AQ131" s="281">
        <f t="shared" si="367"/>
        <v>18.600000000000001</v>
      </c>
      <c r="AR131" s="281">
        <f t="shared" si="367"/>
        <v>18.600000000000001</v>
      </c>
      <c r="AS131" s="281">
        <f t="shared" si="367"/>
        <v>18.600000000000001</v>
      </c>
      <c r="AT131" s="281">
        <f t="shared" si="367"/>
        <v>76.099999999999994</v>
      </c>
      <c r="AU131" s="281">
        <f t="shared" si="367"/>
        <v>23.3</v>
      </c>
      <c r="AV131" s="281">
        <f t="shared" si="367"/>
        <v>23.3</v>
      </c>
      <c r="AW131" s="281">
        <f t="shared" si="367"/>
        <v>38.799999999999997</v>
      </c>
      <c r="AX131" s="281">
        <f t="shared" si="367"/>
        <v>265.39999999999998</v>
      </c>
      <c r="AY131" s="281">
        <f t="shared" si="367"/>
        <v>265.39999999999998</v>
      </c>
      <c r="AZ131" s="281">
        <f t="shared" si="367"/>
        <v>265.39999999999998</v>
      </c>
      <c r="BA131" s="281">
        <f t="shared" si="367"/>
        <v>297.60000000000002</v>
      </c>
      <c r="BB131" s="281">
        <f t="shared" si="367"/>
        <v>77.3</v>
      </c>
      <c r="BC131" s="281">
        <f t="shared" si="367"/>
        <v>77.3</v>
      </c>
      <c r="BD131" s="281">
        <f t="shared" si="367"/>
        <v>159.5</v>
      </c>
      <c r="BE131" s="281">
        <f t="shared" si="367"/>
        <v>153.69999999999999</v>
      </c>
      <c r="BF131" s="281">
        <f t="shared" si="367"/>
        <v>153.69999999999999</v>
      </c>
      <c r="BG131" s="281">
        <f t="shared" si="367"/>
        <v>153.69999999999999</v>
      </c>
      <c r="BH131" s="281">
        <f t="shared" si="367"/>
        <v>198.1</v>
      </c>
      <c r="BI131" s="281">
        <f t="shared" si="367"/>
        <v>126.6</v>
      </c>
      <c r="BJ131" s="281">
        <f t="shared" si="367"/>
        <v>126.6</v>
      </c>
      <c r="BK131" s="281">
        <f t="shared" si="367"/>
        <v>185.2</v>
      </c>
      <c r="BL131" s="281"/>
      <c r="BM131" s="281">
        <f t="shared" si="367"/>
        <v>167.5</v>
      </c>
      <c r="BN131" s="320">
        <f t="shared" si="367"/>
        <v>167.5</v>
      </c>
      <c r="BO131" s="320">
        <f t="shared" si="367"/>
        <v>32.1</v>
      </c>
      <c r="BP131" s="320">
        <f t="shared" si="367"/>
        <v>60.5</v>
      </c>
      <c r="BQ131" s="320">
        <f t="shared" si="367"/>
        <v>60.5</v>
      </c>
      <c r="BR131" s="320">
        <f t="shared" si="367"/>
        <v>62.3</v>
      </c>
      <c r="BS131" s="320">
        <f t="shared" si="367"/>
        <v>67</v>
      </c>
      <c r="BT131" s="320">
        <f t="shared" si="367"/>
        <v>67</v>
      </c>
      <c r="BU131" s="320">
        <f t="shared" si="367"/>
        <v>67</v>
      </c>
      <c r="BV131" s="320">
        <f t="shared" si="367"/>
        <v>92.3</v>
      </c>
      <c r="BW131" s="320">
        <f t="shared" ref="BW131:DU131" si="368">BW173</f>
        <v>83.6</v>
      </c>
      <c r="BX131" s="320">
        <f t="shared" si="368"/>
        <v>83.6</v>
      </c>
      <c r="BY131" s="320">
        <f t="shared" si="368"/>
        <v>94.5</v>
      </c>
      <c r="BZ131" s="320">
        <f t="shared" si="368"/>
        <v>107.1</v>
      </c>
      <c r="CA131" s="320">
        <f t="shared" si="368"/>
        <v>107.1</v>
      </c>
      <c r="CB131" s="320">
        <f t="shared" si="368"/>
        <v>107.1</v>
      </c>
      <c r="CC131" s="320">
        <f t="shared" si="368"/>
        <v>94.8</v>
      </c>
      <c r="CD131" s="320">
        <f t="shared" si="368"/>
        <v>84.7</v>
      </c>
      <c r="CE131" s="320">
        <f t="shared" si="368"/>
        <v>84.7</v>
      </c>
      <c r="CF131" s="320">
        <f t="shared" si="368"/>
        <v>88.1</v>
      </c>
      <c r="CG131" s="320">
        <f>CG173</f>
        <v>78.900000000000006</v>
      </c>
      <c r="CH131" s="320">
        <f>CH173</f>
        <v>78.900000000000006</v>
      </c>
      <c r="CI131" s="320">
        <f>CI173</f>
        <v>78.900000000000006</v>
      </c>
      <c r="CJ131" s="320">
        <f t="shared" si="368"/>
        <v>112.3</v>
      </c>
      <c r="CK131" s="320">
        <f t="shared" si="368"/>
        <v>78.8</v>
      </c>
      <c r="CL131" s="320">
        <f t="shared" si="368"/>
        <v>78.8</v>
      </c>
      <c r="CM131" s="320">
        <f t="shared" si="368"/>
        <v>231.3</v>
      </c>
      <c r="CN131" s="320">
        <f>CN173</f>
        <v>281.60000000000002</v>
      </c>
      <c r="CO131" s="320">
        <f>CO173</f>
        <v>281.60000000000002</v>
      </c>
      <c r="CP131" s="282">
        <f>CP173</f>
        <v>281.60000000000002</v>
      </c>
      <c r="CQ131" s="282">
        <f>CQ173</f>
        <v>182.7</v>
      </c>
      <c r="CR131" s="282">
        <f t="shared" si="368"/>
        <v>108.9</v>
      </c>
      <c r="CS131" s="282">
        <f t="shared" si="368"/>
        <v>108.9</v>
      </c>
      <c r="CT131" s="282">
        <f t="shared" si="368"/>
        <v>118.5</v>
      </c>
      <c r="CU131" s="282">
        <f t="shared" si="368"/>
        <v>78.7</v>
      </c>
      <c r="CV131" s="282">
        <f t="shared" si="368"/>
        <v>78.7</v>
      </c>
      <c r="CW131" s="282">
        <f t="shared" si="368"/>
        <v>78.7</v>
      </c>
      <c r="CX131" s="282">
        <f t="shared" si="368"/>
        <v>96.1</v>
      </c>
      <c r="CY131" s="282">
        <f t="shared" si="368"/>
        <v>95.6</v>
      </c>
      <c r="CZ131" s="282">
        <f t="shared" si="368"/>
        <v>95.6</v>
      </c>
      <c r="DA131" s="282">
        <f t="shared" si="368"/>
        <v>148.9</v>
      </c>
      <c r="DB131" s="282">
        <f t="shared" si="368"/>
        <v>144.4</v>
      </c>
      <c r="DC131" s="282">
        <f t="shared" si="368"/>
        <v>144.4</v>
      </c>
      <c r="DD131" s="590">
        <f t="shared" si="368"/>
        <v>144.4</v>
      </c>
      <c r="DE131" s="282">
        <f t="shared" si="368"/>
        <v>197.8</v>
      </c>
      <c r="DF131" s="282">
        <f t="shared" si="368"/>
        <v>390.6</v>
      </c>
      <c r="DG131" s="282">
        <f t="shared" si="368"/>
        <v>390.6</v>
      </c>
      <c r="DH131" s="282">
        <f t="shared" si="368"/>
        <v>601.79999999999995</v>
      </c>
      <c r="DI131" s="282">
        <f t="shared" si="368"/>
        <v>208.5</v>
      </c>
      <c r="DJ131" s="282">
        <f t="shared" si="368"/>
        <v>208.5</v>
      </c>
      <c r="DK131" s="590">
        <f t="shared" si="368"/>
        <v>208.5</v>
      </c>
      <c r="DL131" s="284">
        <f t="shared" si="368"/>
        <v>131.1</v>
      </c>
      <c r="DM131" s="282">
        <f t="shared" si="368"/>
        <v>132.80000000000001</v>
      </c>
      <c r="DN131" s="282">
        <f t="shared" si="368"/>
        <v>132.80000000000001</v>
      </c>
      <c r="DO131" s="282">
        <f t="shared" si="368"/>
        <v>131.5</v>
      </c>
      <c r="DP131" s="282">
        <f t="shared" si="368"/>
        <v>125</v>
      </c>
      <c r="DQ131" s="282">
        <f t="shared" si="368"/>
        <v>125</v>
      </c>
      <c r="DR131" s="590">
        <f t="shared" si="368"/>
        <v>125</v>
      </c>
      <c r="DS131" s="282">
        <f t="shared" si="368"/>
        <v>137.30000000000001</v>
      </c>
      <c r="DT131" s="282">
        <f t="shared" si="368"/>
        <v>90.7</v>
      </c>
      <c r="DU131" s="282">
        <f t="shared" si="368"/>
        <v>90.7</v>
      </c>
      <c r="DV131" s="282">
        <f t="shared" ref="DV131:EB131" si="369">DV173</f>
        <v>110</v>
      </c>
      <c r="DW131" s="282">
        <f t="shared" si="369"/>
        <v>113</v>
      </c>
      <c r="DX131" s="282">
        <f t="shared" si="369"/>
        <v>113</v>
      </c>
      <c r="DY131" s="590">
        <f t="shared" si="369"/>
        <v>113</v>
      </c>
      <c r="DZ131" s="282">
        <f t="shared" si="369"/>
        <v>137</v>
      </c>
      <c r="EA131" s="282">
        <f t="shared" si="369"/>
        <v>154.30000000000001</v>
      </c>
      <c r="EB131" s="282">
        <f t="shared" si="369"/>
        <v>154.30000000000001</v>
      </c>
      <c r="EC131" s="282">
        <f t="shared" ref="EC131:EI131" si="370">EC173</f>
        <v>433.8</v>
      </c>
      <c r="ED131" s="282">
        <f t="shared" si="370"/>
        <v>365</v>
      </c>
      <c r="EE131" s="282">
        <f t="shared" si="370"/>
        <v>365</v>
      </c>
      <c r="EF131" s="590">
        <f t="shared" si="370"/>
        <v>365</v>
      </c>
      <c r="EG131" s="282">
        <f t="shared" si="370"/>
        <v>360.1</v>
      </c>
      <c r="EH131" s="282">
        <f t="shared" si="370"/>
        <v>368.1</v>
      </c>
      <c r="EI131" s="282">
        <f t="shared" si="370"/>
        <v>368.1</v>
      </c>
      <c r="EJ131" s="282">
        <f>EJ173</f>
        <v>539.1</v>
      </c>
      <c r="EK131" s="282">
        <f>EK173</f>
        <v>562.70000000000005</v>
      </c>
      <c r="EL131" s="282">
        <f>EL173</f>
        <v>562.70000000000005</v>
      </c>
      <c r="EM131" s="590">
        <f>EM173</f>
        <v>562.70000000000005</v>
      </c>
      <c r="EN131" s="282">
        <f t="shared" ref="EN131:EP131" si="371">EN173</f>
        <v>391.6</v>
      </c>
      <c r="EO131" s="282">
        <f t="shared" si="371"/>
        <v>566.70000000000005</v>
      </c>
      <c r="EP131" s="282">
        <f t="shared" si="371"/>
        <v>566.70000000000005</v>
      </c>
      <c r="EQ131" s="284">
        <f t="shared" ref="EQ131" si="372">EQ173</f>
        <v>344.2</v>
      </c>
      <c r="ER131" s="282">
        <f t="shared" ref="ER131:FV131" si="373">ER173</f>
        <v>344.2</v>
      </c>
      <c r="ES131" s="282">
        <f t="shared" si="373"/>
        <v>344.2</v>
      </c>
      <c r="ET131" s="590">
        <f t="shared" si="373"/>
        <v>344.2</v>
      </c>
      <c r="EU131" s="282">
        <f t="shared" si="373"/>
        <v>344.2</v>
      </c>
      <c r="EV131" s="282">
        <f t="shared" si="373"/>
        <v>344.2</v>
      </c>
      <c r="EW131" s="282">
        <f t="shared" si="373"/>
        <v>344.2</v>
      </c>
      <c r="EX131" s="282">
        <f t="shared" si="373"/>
        <v>344.2</v>
      </c>
      <c r="EY131" s="282">
        <f t="shared" si="373"/>
        <v>344.2</v>
      </c>
      <c r="EZ131" s="282">
        <f t="shared" si="373"/>
        <v>344.2</v>
      </c>
      <c r="FA131" s="590">
        <f t="shared" si="373"/>
        <v>344.2</v>
      </c>
      <c r="FB131" s="282">
        <f t="shared" si="373"/>
        <v>344.2</v>
      </c>
      <c r="FC131" s="282">
        <f t="shared" si="373"/>
        <v>344.2</v>
      </c>
      <c r="FD131" s="282">
        <f t="shared" si="373"/>
        <v>344.2</v>
      </c>
      <c r="FE131" s="282">
        <f t="shared" si="373"/>
        <v>344.2</v>
      </c>
      <c r="FF131" s="282">
        <f t="shared" si="373"/>
        <v>344.2</v>
      </c>
      <c r="FG131" s="282">
        <f t="shared" si="373"/>
        <v>344.2</v>
      </c>
      <c r="FH131" s="590">
        <f t="shared" si="373"/>
        <v>344.2</v>
      </c>
      <c r="FI131" s="282">
        <f t="shared" si="373"/>
        <v>344.2</v>
      </c>
      <c r="FJ131" s="282">
        <f t="shared" si="373"/>
        <v>344.2</v>
      </c>
      <c r="FK131" s="282">
        <f t="shared" si="373"/>
        <v>344.2</v>
      </c>
      <c r="FL131" s="282">
        <f t="shared" si="373"/>
        <v>344.2</v>
      </c>
      <c r="FM131" s="282">
        <f t="shared" si="373"/>
        <v>344.2</v>
      </c>
      <c r="FN131" s="282">
        <f t="shared" si="373"/>
        <v>344.2</v>
      </c>
      <c r="FO131" s="590">
        <f t="shared" si="373"/>
        <v>344.2</v>
      </c>
      <c r="FP131" s="282">
        <f t="shared" si="373"/>
        <v>344.2</v>
      </c>
      <c r="FQ131" s="282">
        <f t="shared" si="373"/>
        <v>344.2</v>
      </c>
      <c r="FR131" s="282">
        <f t="shared" si="373"/>
        <v>344.2</v>
      </c>
      <c r="FS131" s="282">
        <f t="shared" si="373"/>
        <v>344.2</v>
      </c>
      <c r="FT131" s="282">
        <f t="shared" si="373"/>
        <v>344.2</v>
      </c>
      <c r="FU131" s="282">
        <f t="shared" si="373"/>
        <v>344.2</v>
      </c>
      <c r="FV131" s="590">
        <f t="shared" si="373"/>
        <v>344.2</v>
      </c>
    </row>
    <row r="132" spans="1:280" outlineLevel="1" x14ac:dyDescent="0.3">
      <c r="B132" s="253" t="s">
        <v>487</v>
      </c>
      <c r="C132" s="280" t="s">
        <v>226</v>
      </c>
      <c r="D132" s="281">
        <f t="shared" ref="D132:BK132" si="374">D192+D201</f>
        <v>147.4</v>
      </c>
      <c r="E132" s="281">
        <f t="shared" si="374"/>
        <v>147.4</v>
      </c>
      <c r="F132" s="281">
        <f t="shared" si="374"/>
        <v>147.4</v>
      </c>
      <c r="G132" s="281">
        <f t="shared" si="374"/>
        <v>121.69999999999999</v>
      </c>
      <c r="H132" s="281">
        <f t="shared" si="374"/>
        <v>302.7</v>
      </c>
      <c r="I132" s="281">
        <f t="shared" si="374"/>
        <v>302.7</v>
      </c>
      <c r="J132" s="281">
        <f t="shared" si="374"/>
        <v>302.7</v>
      </c>
      <c r="K132" s="281">
        <f t="shared" si="374"/>
        <v>137</v>
      </c>
      <c r="L132" s="281">
        <f t="shared" si="374"/>
        <v>135</v>
      </c>
      <c r="M132" s="281">
        <f t="shared" si="374"/>
        <v>135</v>
      </c>
      <c r="N132" s="281">
        <f t="shared" si="374"/>
        <v>88</v>
      </c>
      <c r="O132" s="281">
        <f t="shared" si="374"/>
        <v>188</v>
      </c>
      <c r="P132" s="281">
        <f t="shared" si="374"/>
        <v>188</v>
      </c>
      <c r="Q132" s="281">
        <f t="shared" si="374"/>
        <v>188</v>
      </c>
      <c r="R132" s="281">
        <f t="shared" si="374"/>
        <v>125</v>
      </c>
      <c r="S132" s="281">
        <f t="shared" si="374"/>
        <v>123</v>
      </c>
      <c r="T132" s="281">
        <f t="shared" si="374"/>
        <v>123</v>
      </c>
      <c r="U132" s="281">
        <f t="shared" si="374"/>
        <v>302.5</v>
      </c>
      <c r="V132" s="281">
        <f t="shared" si="374"/>
        <v>264.5</v>
      </c>
      <c r="W132" s="281">
        <f t="shared" si="374"/>
        <v>264.5</v>
      </c>
      <c r="X132" s="281">
        <f t="shared" si="374"/>
        <v>264.5</v>
      </c>
      <c r="Y132" s="281">
        <f t="shared" si="374"/>
        <v>324.5</v>
      </c>
      <c r="Z132" s="281">
        <f t="shared" si="374"/>
        <v>266.2</v>
      </c>
      <c r="AA132" s="281">
        <f t="shared" si="374"/>
        <v>266.2</v>
      </c>
      <c r="AB132" s="281">
        <f t="shared" si="374"/>
        <v>298.2</v>
      </c>
      <c r="AC132" s="281">
        <f t="shared" si="374"/>
        <v>324</v>
      </c>
      <c r="AD132" s="281">
        <f t="shared" si="374"/>
        <v>324</v>
      </c>
      <c r="AE132" s="281">
        <f t="shared" si="374"/>
        <v>324</v>
      </c>
      <c r="AF132" s="281">
        <f t="shared" si="374"/>
        <v>271</v>
      </c>
      <c r="AG132" s="281">
        <f t="shared" si="374"/>
        <v>212</v>
      </c>
      <c r="AH132" s="281">
        <f t="shared" si="374"/>
        <v>212</v>
      </c>
      <c r="AI132" s="281">
        <f t="shared" si="374"/>
        <v>192</v>
      </c>
      <c r="AJ132" s="281">
        <f t="shared" si="374"/>
        <v>154</v>
      </c>
      <c r="AK132" s="281">
        <f t="shared" si="374"/>
        <v>154</v>
      </c>
      <c r="AL132" s="281">
        <f t="shared" si="374"/>
        <v>154</v>
      </c>
      <c r="AM132" s="281">
        <f t="shared" si="374"/>
        <v>215</v>
      </c>
      <c r="AN132" s="281">
        <f t="shared" si="374"/>
        <v>157</v>
      </c>
      <c r="AO132" s="281">
        <f t="shared" si="374"/>
        <v>157</v>
      </c>
      <c r="AP132" s="281">
        <f t="shared" si="374"/>
        <v>82</v>
      </c>
      <c r="AQ132" s="281">
        <f t="shared" si="374"/>
        <v>59</v>
      </c>
      <c r="AR132" s="281">
        <f t="shared" si="374"/>
        <v>59</v>
      </c>
      <c r="AS132" s="281">
        <f t="shared" si="374"/>
        <v>59</v>
      </c>
      <c r="AT132" s="281">
        <f t="shared" si="374"/>
        <v>103</v>
      </c>
      <c r="AU132" s="281">
        <f t="shared" si="374"/>
        <v>60</v>
      </c>
      <c r="AV132" s="281">
        <f t="shared" si="374"/>
        <v>60</v>
      </c>
      <c r="AW132" s="281">
        <f t="shared" si="374"/>
        <v>13</v>
      </c>
      <c r="AX132" s="281">
        <f t="shared" si="374"/>
        <v>30.9</v>
      </c>
      <c r="AY132" s="281">
        <f t="shared" si="374"/>
        <v>30.9</v>
      </c>
      <c r="AZ132" s="281">
        <f t="shared" si="374"/>
        <v>30.9</v>
      </c>
      <c r="BA132" s="281">
        <f t="shared" si="374"/>
        <v>0</v>
      </c>
      <c r="BB132" s="281">
        <f t="shared" si="374"/>
        <v>0</v>
      </c>
      <c r="BC132" s="281">
        <f t="shared" si="374"/>
        <v>0</v>
      </c>
      <c r="BD132" s="281">
        <f t="shared" si="374"/>
        <v>0</v>
      </c>
      <c r="BE132" s="281">
        <f t="shared" si="374"/>
        <v>0</v>
      </c>
      <c r="BF132" s="281">
        <f t="shared" si="374"/>
        <v>0</v>
      </c>
      <c r="BG132" s="281">
        <f t="shared" si="374"/>
        <v>0</v>
      </c>
      <c r="BH132" s="281">
        <f t="shared" si="374"/>
        <v>0</v>
      </c>
      <c r="BI132" s="281">
        <f t="shared" si="374"/>
        <v>0</v>
      </c>
      <c r="BJ132" s="281">
        <f t="shared" si="374"/>
        <v>0</v>
      </c>
      <c r="BK132" s="281">
        <f t="shared" si="374"/>
        <v>22.7</v>
      </c>
      <c r="BL132" s="281"/>
      <c r="BM132" s="281">
        <f t="shared" ref="BM132:DK132" si="375">BM192+BM201</f>
        <v>47</v>
      </c>
      <c r="BN132" s="320">
        <f t="shared" si="375"/>
        <v>47</v>
      </c>
      <c r="BO132" s="320">
        <f t="shared" si="375"/>
        <v>48.6</v>
      </c>
      <c r="BP132" s="320">
        <f t="shared" si="375"/>
        <v>380</v>
      </c>
      <c r="BQ132" s="320">
        <f t="shared" si="375"/>
        <v>380</v>
      </c>
      <c r="BR132" s="320">
        <f t="shared" si="375"/>
        <v>390</v>
      </c>
      <c r="BS132" s="320">
        <f t="shared" si="375"/>
        <v>411.1</v>
      </c>
      <c r="BT132" s="320">
        <f t="shared" si="375"/>
        <v>411.1</v>
      </c>
      <c r="BU132" s="320">
        <f t="shared" si="375"/>
        <v>411.1</v>
      </c>
      <c r="BV132" s="320">
        <f t="shared" si="375"/>
        <v>410.1</v>
      </c>
      <c r="BW132" s="320">
        <f t="shared" si="375"/>
        <v>590.6</v>
      </c>
      <c r="BX132" s="320">
        <f t="shared" si="375"/>
        <v>590.6</v>
      </c>
      <c r="BY132" s="320">
        <f t="shared" si="375"/>
        <v>521.9</v>
      </c>
      <c r="BZ132" s="320">
        <f t="shared" si="375"/>
        <v>563.5</v>
      </c>
      <c r="CA132" s="320">
        <f t="shared" si="375"/>
        <v>563.5</v>
      </c>
      <c r="CB132" s="320">
        <f t="shared" si="375"/>
        <v>563.5</v>
      </c>
      <c r="CC132" s="320">
        <f t="shared" si="375"/>
        <v>466.29999999999995</v>
      </c>
      <c r="CD132" s="320">
        <f t="shared" si="375"/>
        <v>639.6</v>
      </c>
      <c r="CE132" s="320">
        <f t="shared" si="375"/>
        <v>639.6</v>
      </c>
      <c r="CF132" s="320">
        <f t="shared" si="375"/>
        <v>523.79999999999995</v>
      </c>
      <c r="CG132" s="320">
        <f t="shared" si="375"/>
        <v>616.9</v>
      </c>
      <c r="CH132" s="320">
        <f t="shared" si="375"/>
        <v>616.9</v>
      </c>
      <c r="CI132" s="320">
        <f t="shared" si="375"/>
        <v>616.9</v>
      </c>
      <c r="CJ132" s="320">
        <f t="shared" si="375"/>
        <v>540.1</v>
      </c>
      <c r="CK132" s="320">
        <f t="shared" si="375"/>
        <v>680.7</v>
      </c>
      <c r="CL132" s="320">
        <f t="shared" si="375"/>
        <v>680.7</v>
      </c>
      <c r="CM132" s="320">
        <f t="shared" si="375"/>
        <v>783.9</v>
      </c>
      <c r="CN132" s="320">
        <f t="shared" si="375"/>
        <v>884.4</v>
      </c>
      <c r="CO132" s="320">
        <f t="shared" si="375"/>
        <v>884.4</v>
      </c>
      <c r="CP132" s="282">
        <f t="shared" si="375"/>
        <v>884.4</v>
      </c>
      <c r="CQ132" s="282">
        <f t="shared" si="375"/>
        <v>1249.5999999999999</v>
      </c>
      <c r="CR132" s="282">
        <f t="shared" si="375"/>
        <v>1370.3</v>
      </c>
      <c r="CS132" s="282">
        <f t="shared" si="375"/>
        <v>1370.3</v>
      </c>
      <c r="CT132" s="282">
        <f t="shared" si="375"/>
        <v>1307.3</v>
      </c>
      <c r="CU132" s="282">
        <f t="shared" si="375"/>
        <v>1380.3</v>
      </c>
      <c r="CV132" s="282">
        <f t="shared" si="375"/>
        <v>1380.3</v>
      </c>
      <c r="CW132" s="282">
        <f t="shared" si="375"/>
        <v>1380.3</v>
      </c>
      <c r="CX132" s="282">
        <f t="shared" si="375"/>
        <v>1306.2</v>
      </c>
      <c r="CY132" s="282">
        <f t="shared" si="375"/>
        <v>1429.9</v>
      </c>
      <c r="CZ132" s="282">
        <f t="shared" si="375"/>
        <v>1429.9</v>
      </c>
      <c r="DA132" s="282">
        <f t="shared" si="375"/>
        <v>1411.7</v>
      </c>
      <c r="DB132" s="282">
        <f t="shared" si="375"/>
        <v>1354.6</v>
      </c>
      <c r="DC132" s="282">
        <f t="shared" si="375"/>
        <v>1354.6</v>
      </c>
      <c r="DD132" s="590">
        <f t="shared" si="375"/>
        <v>1354.6</v>
      </c>
      <c r="DE132" s="282">
        <f t="shared" si="375"/>
        <v>1234.4000000000001</v>
      </c>
      <c r="DF132" s="282">
        <f t="shared" si="375"/>
        <v>1254.8</v>
      </c>
      <c r="DG132" s="282">
        <f t="shared" si="375"/>
        <v>1254.8</v>
      </c>
      <c r="DH132" s="282">
        <f t="shared" si="375"/>
        <v>1277.9000000000001</v>
      </c>
      <c r="DI132" s="282">
        <f t="shared" si="375"/>
        <v>858.6</v>
      </c>
      <c r="DJ132" s="282">
        <f t="shared" si="375"/>
        <v>858.6</v>
      </c>
      <c r="DK132" s="590">
        <f t="shared" si="375"/>
        <v>858.6</v>
      </c>
      <c r="DL132" s="284">
        <f>DL192+DL201</f>
        <v>936.8</v>
      </c>
      <c r="DM132" s="282">
        <f t="shared" ref="DM132:DR132" si="376">DM192+DM201</f>
        <v>855.7</v>
      </c>
      <c r="DN132" s="282">
        <f t="shared" si="376"/>
        <v>855.7</v>
      </c>
      <c r="DO132" s="282">
        <f t="shared" si="376"/>
        <v>892.8</v>
      </c>
      <c r="DP132" s="282">
        <f t="shared" si="376"/>
        <v>877.3</v>
      </c>
      <c r="DQ132" s="282">
        <f t="shared" si="376"/>
        <v>877.3</v>
      </c>
      <c r="DR132" s="590">
        <f t="shared" si="376"/>
        <v>877.3</v>
      </c>
      <c r="DS132" s="282">
        <f>DS192+DS201</f>
        <v>859.4</v>
      </c>
      <c r="DT132" s="282">
        <f t="shared" ref="DT132:FV132" si="377">DT192+DT201</f>
        <v>933.8</v>
      </c>
      <c r="DU132" s="282">
        <f t="shared" si="377"/>
        <v>933.8</v>
      </c>
      <c r="DV132" s="282">
        <f t="shared" si="377"/>
        <v>988.1</v>
      </c>
      <c r="DW132" s="282">
        <f t="shared" si="377"/>
        <v>1059</v>
      </c>
      <c r="DX132" s="282">
        <f t="shared" si="377"/>
        <v>1059</v>
      </c>
      <c r="DY132" s="590">
        <f t="shared" si="377"/>
        <v>1059</v>
      </c>
      <c r="DZ132" s="282">
        <f>DZ192+DZ201</f>
        <v>977.9</v>
      </c>
      <c r="EA132" s="282">
        <f t="shared" ref="EA132:EF132" si="378">EA192+EA201</f>
        <v>956.8</v>
      </c>
      <c r="EB132" s="282">
        <f t="shared" si="378"/>
        <v>956.8</v>
      </c>
      <c r="EC132" s="282">
        <f t="shared" si="378"/>
        <v>1135.5999999999999</v>
      </c>
      <c r="ED132" s="282">
        <f t="shared" si="378"/>
        <v>1122.5999999999999</v>
      </c>
      <c r="EE132" s="282">
        <f t="shared" si="378"/>
        <v>1122.5999999999999</v>
      </c>
      <c r="EF132" s="590">
        <f t="shared" si="378"/>
        <v>1122.5999999999999</v>
      </c>
      <c r="EG132" s="282">
        <f>EG192+EG201</f>
        <v>1117.7</v>
      </c>
      <c r="EH132" s="282">
        <f t="shared" ref="EH132:EM132" si="379">EH192+EH201</f>
        <v>1135.3</v>
      </c>
      <c r="EI132" s="282">
        <f t="shared" si="379"/>
        <v>1135.3</v>
      </c>
      <c r="EJ132" s="282">
        <f t="shared" si="379"/>
        <v>1103.7</v>
      </c>
      <c r="EK132" s="282">
        <f t="shared" si="379"/>
        <v>1119.5</v>
      </c>
      <c r="EL132" s="282">
        <f t="shared" si="379"/>
        <v>1119.5</v>
      </c>
      <c r="EM132" s="590">
        <f t="shared" si="379"/>
        <v>1119.5</v>
      </c>
      <c r="EN132" s="282">
        <f>EN192+EN201</f>
        <v>2524.9</v>
      </c>
      <c r="EO132" s="282">
        <f t="shared" ref="EO132:EP132" si="380">EO192+EO201</f>
        <v>5016</v>
      </c>
      <c r="EP132" s="282">
        <f t="shared" si="380"/>
        <v>5016</v>
      </c>
      <c r="EQ132" s="284">
        <f>EQ192+EQ201</f>
        <v>4608.9000000000005</v>
      </c>
      <c r="ER132" s="282">
        <f t="shared" si="377"/>
        <v>4508.444245647097</v>
      </c>
      <c r="ES132" s="282">
        <f t="shared" si="377"/>
        <v>4508.444245647097</v>
      </c>
      <c r="ET132" s="590">
        <f t="shared" si="377"/>
        <v>4508.444245647097</v>
      </c>
      <c r="EU132" s="282">
        <f>EU192+EU201</f>
        <v>4261.440435304833</v>
      </c>
      <c r="EV132" s="282">
        <f t="shared" si="377"/>
        <v>4176.6653234241521</v>
      </c>
      <c r="EW132" s="282">
        <f t="shared" si="377"/>
        <v>4176.6653234241521</v>
      </c>
      <c r="EX132" s="282">
        <f t="shared" si="377"/>
        <v>4007.9032581994438</v>
      </c>
      <c r="EY132" s="282">
        <f t="shared" si="377"/>
        <v>3941.2707719910559</v>
      </c>
      <c r="EZ132" s="282">
        <f t="shared" si="377"/>
        <v>3941.2707719910559</v>
      </c>
      <c r="FA132" s="590">
        <f t="shared" si="377"/>
        <v>3941.2707719910559</v>
      </c>
      <c r="FB132" s="282">
        <f t="shared" si="377"/>
        <v>3644.8748080240566</v>
      </c>
      <c r="FC132" s="282">
        <f t="shared" si="377"/>
        <v>3521.7599895838953</v>
      </c>
      <c r="FD132" s="282">
        <f t="shared" si="377"/>
        <v>3521.7599895838953</v>
      </c>
      <c r="FE132" s="282">
        <f t="shared" si="377"/>
        <v>3293.7486947313905</v>
      </c>
      <c r="FF132" s="282">
        <f t="shared" si="377"/>
        <v>3186.3968014750021</v>
      </c>
      <c r="FG132" s="282">
        <f t="shared" si="377"/>
        <v>3186.3968014750021</v>
      </c>
      <c r="FH132" s="590">
        <f t="shared" si="377"/>
        <v>3186.3968014750021</v>
      </c>
      <c r="FI132" s="282">
        <f t="shared" si="377"/>
        <v>2825.0962812249813</v>
      </c>
      <c r="FJ132" s="282">
        <f t="shared" si="377"/>
        <v>2664.2786955525039</v>
      </c>
      <c r="FK132" s="282">
        <f t="shared" si="377"/>
        <v>2664.2786955525039</v>
      </c>
      <c r="FL132" s="282">
        <f t="shared" si="377"/>
        <v>2392.8139226758576</v>
      </c>
      <c r="FM132" s="282">
        <f t="shared" si="377"/>
        <v>2250.8636530367039</v>
      </c>
      <c r="FN132" s="282">
        <f t="shared" si="377"/>
        <v>2250.8636530367039</v>
      </c>
      <c r="FO132" s="590">
        <f t="shared" si="377"/>
        <v>2250.8636530367039</v>
      </c>
      <c r="FP132" s="282">
        <f t="shared" si="377"/>
        <v>1841.7115683811567</v>
      </c>
      <c r="FQ132" s="282">
        <f t="shared" si="377"/>
        <v>1641.6672228452776</v>
      </c>
      <c r="FR132" s="282">
        <f t="shared" si="377"/>
        <v>1641.6672228452776</v>
      </c>
      <c r="FS132" s="282">
        <f t="shared" si="377"/>
        <v>1322.2216176024606</v>
      </c>
      <c r="FT132" s="282">
        <f t="shared" si="377"/>
        <v>1141.4824386772095</v>
      </c>
      <c r="FU132" s="282">
        <f t="shared" si="377"/>
        <v>1141.4824386772095</v>
      </c>
      <c r="FV132" s="590">
        <f t="shared" si="377"/>
        <v>1141.4824386772095</v>
      </c>
    </row>
    <row r="133" spans="1:280" outlineLevel="1" x14ac:dyDescent="0.3">
      <c r="B133" s="253" t="s">
        <v>488</v>
      </c>
      <c r="C133" s="280" t="s">
        <v>226</v>
      </c>
      <c r="D133" s="281"/>
      <c r="E133" s="281"/>
      <c r="F133" s="281"/>
      <c r="G133" s="281"/>
      <c r="H133" s="281"/>
      <c r="I133" s="281"/>
      <c r="J133" s="281"/>
      <c r="K133" s="281"/>
      <c r="L133" s="281"/>
      <c r="M133" s="281"/>
      <c r="N133" s="281"/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81"/>
      <c r="AF133" s="281"/>
      <c r="AG133" s="281"/>
      <c r="AH133" s="281"/>
      <c r="AI133" s="281"/>
      <c r="AJ133" s="281"/>
      <c r="AK133" s="281"/>
      <c r="AL133" s="281"/>
      <c r="AM133" s="281"/>
      <c r="AN133" s="281"/>
      <c r="AO133" s="281"/>
      <c r="AP133" s="281"/>
      <c r="AQ133" s="281"/>
      <c r="AR133" s="281"/>
      <c r="AS133" s="281"/>
      <c r="AT133" s="281"/>
      <c r="AU133" s="281"/>
      <c r="AV133" s="281"/>
      <c r="AW133" s="281"/>
      <c r="AX133" s="281"/>
      <c r="AY133" s="281"/>
      <c r="AZ133" s="281"/>
      <c r="BA133" s="281"/>
      <c r="BB133" s="281"/>
      <c r="BC133" s="281"/>
      <c r="BD133" s="281"/>
      <c r="BE133" s="281"/>
      <c r="BF133" s="281"/>
      <c r="BG133" s="281"/>
      <c r="BH133" s="281"/>
      <c r="BI133" s="281"/>
      <c r="BJ133" s="281"/>
      <c r="BK133" s="281"/>
      <c r="BL133" s="281"/>
      <c r="BM133" s="281"/>
      <c r="BN133" s="320"/>
      <c r="BO133" s="320"/>
      <c r="BP133" s="320"/>
      <c r="BQ133" s="320"/>
      <c r="BR133" s="320"/>
      <c r="BS133" s="320"/>
      <c r="BT133" s="320"/>
      <c r="BU133" s="320"/>
      <c r="BV133" s="320"/>
      <c r="BW133" s="320"/>
      <c r="BX133" s="320"/>
      <c r="BY133" s="320"/>
      <c r="BZ133" s="320"/>
      <c r="CA133" s="320"/>
      <c r="CB133" s="320"/>
      <c r="CC133" s="320"/>
      <c r="CD133" s="320"/>
      <c r="CE133" s="320"/>
      <c r="CF133" s="320"/>
      <c r="CG133" s="320"/>
      <c r="CH133" s="320"/>
      <c r="CI133" s="320"/>
      <c r="CJ133" s="320"/>
      <c r="CK133" s="320"/>
      <c r="CL133" s="320"/>
      <c r="CM133" s="320"/>
      <c r="CN133" s="320"/>
      <c r="CO133" s="320"/>
      <c r="CP133" s="282"/>
      <c r="CQ133" s="282"/>
      <c r="CR133" s="282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82"/>
      <c r="DC133" s="282"/>
      <c r="DD133" s="590"/>
      <c r="DE133" s="282"/>
      <c r="DF133" s="282"/>
      <c r="DG133" s="282"/>
      <c r="DH133" s="282"/>
      <c r="DI133" s="282"/>
      <c r="DJ133" s="282"/>
      <c r="DK133" s="590"/>
      <c r="DL133" s="284"/>
      <c r="DM133" s="282"/>
      <c r="DN133" s="282"/>
      <c r="DO133" s="282"/>
      <c r="DP133" s="282"/>
      <c r="DQ133" s="282"/>
      <c r="DR133" s="590"/>
      <c r="DS133" s="282"/>
      <c r="DT133" s="282"/>
      <c r="DU133" s="282"/>
      <c r="DV133" s="282"/>
      <c r="DW133" s="282"/>
      <c r="DX133" s="282"/>
      <c r="DY133" s="590"/>
      <c r="DZ133" s="282"/>
      <c r="EA133" s="282"/>
      <c r="EB133" s="282"/>
      <c r="EC133" s="282"/>
      <c r="ED133" s="282"/>
      <c r="EE133" s="282"/>
      <c r="EF133" s="590"/>
      <c r="EG133" s="282"/>
      <c r="EH133" s="282"/>
      <c r="EI133" s="282"/>
      <c r="EJ133" s="282"/>
      <c r="EK133" s="282"/>
      <c r="EL133" s="282"/>
      <c r="EM133" s="590"/>
      <c r="EN133" s="282"/>
      <c r="EO133" s="282"/>
      <c r="EP133" s="282"/>
      <c r="EQ133" s="284"/>
      <c r="ER133" s="282"/>
      <c r="ES133" s="282"/>
      <c r="ET133" s="590"/>
      <c r="EU133" s="282"/>
      <c r="EV133" s="282"/>
      <c r="EW133" s="282"/>
      <c r="EX133" s="282"/>
      <c r="EY133" s="282"/>
      <c r="EZ133" s="282"/>
      <c r="FA133" s="590"/>
      <c r="FB133" s="282"/>
      <c r="FC133" s="282"/>
      <c r="FD133" s="282"/>
      <c r="FE133" s="282"/>
      <c r="FF133" s="282"/>
      <c r="FG133" s="282"/>
      <c r="FH133" s="590"/>
      <c r="FI133" s="282"/>
      <c r="FJ133" s="282"/>
      <c r="FK133" s="282"/>
      <c r="FL133" s="282"/>
      <c r="FM133" s="282"/>
      <c r="FN133" s="282"/>
      <c r="FO133" s="590"/>
      <c r="FP133" s="282"/>
      <c r="FQ133" s="282"/>
      <c r="FR133" s="282"/>
      <c r="FS133" s="282"/>
      <c r="FT133" s="282"/>
      <c r="FU133" s="282"/>
      <c r="FV133" s="590"/>
    </row>
    <row r="134" spans="1:280" outlineLevel="1" x14ac:dyDescent="0.3">
      <c r="A134" s="302"/>
      <c r="B134" s="302" t="s">
        <v>489</v>
      </c>
      <c r="C134" s="448" t="s">
        <v>226</v>
      </c>
      <c r="D134" s="449">
        <f t="shared" ref="D134:BO134" si="381">D133+D132-D131</f>
        <v>-14.199999999999989</v>
      </c>
      <c r="E134" s="449">
        <f t="shared" si="381"/>
        <v>-23.5</v>
      </c>
      <c r="F134" s="449">
        <f t="shared" si="381"/>
        <v>-23.5</v>
      </c>
      <c r="G134" s="449">
        <f t="shared" si="381"/>
        <v>-27.300000000000011</v>
      </c>
      <c r="H134" s="449">
        <f t="shared" si="381"/>
        <v>-12.400000000000034</v>
      </c>
      <c r="I134" s="449">
        <f t="shared" si="381"/>
        <v>-12.400000000000034</v>
      </c>
      <c r="J134" s="449">
        <f t="shared" si="381"/>
        <v>-12.400000000000034</v>
      </c>
      <c r="K134" s="449">
        <f t="shared" si="381"/>
        <v>-38.400000000000006</v>
      </c>
      <c r="L134" s="449">
        <f t="shared" si="381"/>
        <v>87.7</v>
      </c>
      <c r="M134" s="449">
        <f t="shared" si="381"/>
        <v>87.7</v>
      </c>
      <c r="N134" s="449">
        <f t="shared" si="381"/>
        <v>22.700000000000003</v>
      </c>
      <c r="O134" s="449">
        <f t="shared" si="381"/>
        <v>153.9</v>
      </c>
      <c r="P134" s="449">
        <f t="shared" si="381"/>
        <v>153.9</v>
      </c>
      <c r="Q134" s="449">
        <f t="shared" si="381"/>
        <v>153.9</v>
      </c>
      <c r="R134" s="449">
        <f t="shared" si="381"/>
        <v>44.400000000000006</v>
      </c>
      <c r="S134" s="449">
        <f t="shared" si="381"/>
        <v>89.9</v>
      </c>
      <c r="T134" s="449">
        <f t="shared" si="381"/>
        <v>89.9</v>
      </c>
      <c r="U134" s="449">
        <f t="shared" si="381"/>
        <v>232.6</v>
      </c>
      <c r="V134" s="449">
        <f t="shared" si="381"/>
        <v>229.1</v>
      </c>
      <c r="W134" s="449">
        <f t="shared" si="381"/>
        <v>229.1</v>
      </c>
      <c r="X134" s="449">
        <f t="shared" si="381"/>
        <v>229.1</v>
      </c>
      <c r="Y134" s="449">
        <f t="shared" si="381"/>
        <v>153.19999999999999</v>
      </c>
      <c r="Z134" s="449">
        <f t="shared" si="381"/>
        <v>174.29999999999998</v>
      </c>
      <c r="AA134" s="449">
        <f t="shared" si="381"/>
        <v>174.29999999999998</v>
      </c>
      <c r="AB134" s="449">
        <f t="shared" si="381"/>
        <v>239.79999999999998</v>
      </c>
      <c r="AC134" s="449">
        <f t="shared" si="381"/>
        <v>281.60000000000002</v>
      </c>
      <c r="AD134" s="449">
        <f t="shared" si="381"/>
        <v>281.60000000000002</v>
      </c>
      <c r="AE134" s="449">
        <f t="shared" si="381"/>
        <v>281.60000000000002</v>
      </c>
      <c r="AF134" s="449">
        <f t="shared" si="381"/>
        <v>228.3</v>
      </c>
      <c r="AG134" s="449">
        <f t="shared" si="381"/>
        <v>166.2</v>
      </c>
      <c r="AH134" s="449">
        <f t="shared" si="381"/>
        <v>166.2</v>
      </c>
      <c r="AI134" s="449">
        <f t="shared" si="381"/>
        <v>140.80000000000001</v>
      </c>
      <c r="AJ134" s="449">
        <f t="shared" si="381"/>
        <v>134.80000000000001</v>
      </c>
      <c r="AK134" s="449">
        <f t="shared" si="381"/>
        <v>134.80000000000001</v>
      </c>
      <c r="AL134" s="449">
        <f t="shared" si="381"/>
        <v>134.80000000000001</v>
      </c>
      <c r="AM134" s="449">
        <f t="shared" si="381"/>
        <v>171.9</v>
      </c>
      <c r="AN134" s="449">
        <f t="shared" si="381"/>
        <v>139.4</v>
      </c>
      <c r="AO134" s="449">
        <f t="shared" si="381"/>
        <v>139.4</v>
      </c>
      <c r="AP134" s="449">
        <f t="shared" si="381"/>
        <v>57.8</v>
      </c>
      <c r="AQ134" s="449">
        <f t="shared" si="381"/>
        <v>40.4</v>
      </c>
      <c r="AR134" s="449">
        <f t="shared" si="381"/>
        <v>40.4</v>
      </c>
      <c r="AS134" s="449">
        <f t="shared" si="381"/>
        <v>40.4</v>
      </c>
      <c r="AT134" s="449">
        <f t="shared" si="381"/>
        <v>26.900000000000006</v>
      </c>
      <c r="AU134" s="449">
        <f t="shared" si="381"/>
        <v>36.700000000000003</v>
      </c>
      <c r="AV134" s="449">
        <f t="shared" si="381"/>
        <v>36.700000000000003</v>
      </c>
      <c r="AW134" s="449">
        <f t="shared" si="381"/>
        <v>-25.799999999999997</v>
      </c>
      <c r="AX134" s="449">
        <f t="shared" si="381"/>
        <v>-234.49999999999997</v>
      </c>
      <c r="AY134" s="449">
        <f t="shared" si="381"/>
        <v>-234.49999999999997</v>
      </c>
      <c r="AZ134" s="449">
        <f t="shared" si="381"/>
        <v>-234.49999999999997</v>
      </c>
      <c r="BA134" s="449">
        <f t="shared" si="381"/>
        <v>-297.60000000000002</v>
      </c>
      <c r="BB134" s="449">
        <f t="shared" si="381"/>
        <v>-77.3</v>
      </c>
      <c r="BC134" s="449">
        <f t="shared" si="381"/>
        <v>-77.3</v>
      </c>
      <c r="BD134" s="449">
        <f t="shared" si="381"/>
        <v>-159.5</v>
      </c>
      <c r="BE134" s="449">
        <f t="shared" si="381"/>
        <v>-153.69999999999999</v>
      </c>
      <c r="BF134" s="449">
        <f t="shared" si="381"/>
        <v>-153.69999999999999</v>
      </c>
      <c r="BG134" s="449">
        <f t="shared" si="381"/>
        <v>-153.69999999999999</v>
      </c>
      <c r="BH134" s="449">
        <f t="shared" si="381"/>
        <v>-198.1</v>
      </c>
      <c r="BI134" s="449">
        <f t="shared" si="381"/>
        <v>-126.6</v>
      </c>
      <c r="BJ134" s="449">
        <f t="shared" si="381"/>
        <v>-126.6</v>
      </c>
      <c r="BK134" s="449">
        <f t="shared" si="381"/>
        <v>-162.5</v>
      </c>
      <c r="BL134" s="449"/>
      <c r="BM134" s="449">
        <f t="shared" si="381"/>
        <v>-120.5</v>
      </c>
      <c r="BN134" s="450">
        <f t="shared" si="381"/>
        <v>-120.5</v>
      </c>
      <c r="BO134" s="450">
        <f t="shared" si="381"/>
        <v>16.5</v>
      </c>
      <c r="BP134" s="450">
        <f t="shared" ref="BP134:DA134" si="382">BP133+BP132-BP131</f>
        <v>319.5</v>
      </c>
      <c r="BQ134" s="450">
        <f t="shared" si="382"/>
        <v>319.5</v>
      </c>
      <c r="BR134" s="450">
        <f t="shared" si="382"/>
        <v>327.7</v>
      </c>
      <c r="BS134" s="450">
        <f t="shared" si="382"/>
        <v>344.1</v>
      </c>
      <c r="BT134" s="450">
        <f t="shared" si="382"/>
        <v>344.1</v>
      </c>
      <c r="BU134" s="450">
        <f t="shared" si="382"/>
        <v>344.1</v>
      </c>
      <c r="BV134" s="450">
        <f t="shared" si="382"/>
        <v>317.8</v>
      </c>
      <c r="BW134" s="450">
        <f t="shared" si="382"/>
        <v>507</v>
      </c>
      <c r="BX134" s="450">
        <f t="shared" si="382"/>
        <v>507</v>
      </c>
      <c r="BY134" s="450">
        <f t="shared" si="382"/>
        <v>427.4</v>
      </c>
      <c r="BZ134" s="450">
        <f t="shared" si="382"/>
        <v>456.4</v>
      </c>
      <c r="CA134" s="450">
        <f t="shared" si="382"/>
        <v>456.4</v>
      </c>
      <c r="CB134" s="450">
        <f t="shared" si="382"/>
        <v>456.4</v>
      </c>
      <c r="CC134" s="450">
        <f>CC133+CC132-CC131</f>
        <v>371.49999999999994</v>
      </c>
      <c r="CD134" s="450">
        <f t="shared" si="382"/>
        <v>554.9</v>
      </c>
      <c r="CE134" s="450">
        <f t="shared" si="382"/>
        <v>554.9</v>
      </c>
      <c r="CF134" s="450">
        <f t="shared" si="382"/>
        <v>435.69999999999993</v>
      </c>
      <c r="CG134" s="450">
        <f>CG133+CG132-CG131</f>
        <v>538</v>
      </c>
      <c r="CH134" s="450">
        <f>CH133+CH132-CH131</f>
        <v>538</v>
      </c>
      <c r="CI134" s="450">
        <f>CI133+CI132-CI131</f>
        <v>538</v>
      </c>
      <c r="CJ134" s="450">
        <f t="shared" si="382"/>
        <v>427.8</v>
      </c>
      <c r="CK134" s="450">
        <f t="shared" si="382"/>
        <v>601.90000000000009</v>
      </c>
      <c r="CL134" s="450">
        <f t="shared" si="382"/>
        <v>601.90000000000009</v>
      </c>
      <c r="CM134" s="450">
        <f t="shared" si="382"/>
        <v>552.59999999999991</v>
      </c>
      <c r="CN134" s="450">
        <f>CN133+CN132-CN131</f>
        <v>602.79999999999995</v>
      </c>
      <c r="CO134" s="450">
        <f>CO133+CO132-CO131</f>
        <v>602.79999999999995</v>
      </c>
      <c r="CP134" s="451">
        <f>CP133+CP132-CP131</f>
        <v>602.79999999999995</v>
      </c>
      <c r="CQ134" s="451">
        <f>CQ133+CQ132-CQ131</f>
        <v>1066.8999999999999</v>
      </c>
      <c r="CR134" s="451">
        <f t="shared" si="382"/>
        <v>1261.3999999999999</v>
      </c>
      <c r="CS134" s="451">
        <f t="shared" si="382"/>
        <v>1261.3999999999999</v>
      </c>
      <c r="CT134" s="451">
        <f t="shared" si="382"/>
        <v>1188.8</v>
      </c>
      <c r="CU134" s="451">
        <f t="shared" si="382"/>
        <v>1301.5999999999999</v>
      </c>
      <c r="CV134" s="451">
        <f t="shared" si="382"/>
        <v>1301.5999999999999</v>
      </c>
      <c r="CW134" s="451">
        <f t="shared" si="382"/>
        <v>1301.5999999999999</v>
      </c>
      <c r="CX134" s="451">
        <f t="shared" si="382"/>
        <v>1210.1000000000001</v>
      </c>
      <c r="CY134" s="451">
        <f t="shared" si="382"/>
        <v>1334.3000000000002</v>
      </c>
      <c r="CZ134" s="451">
        <f t="shared" si="382"/>
        <v>1334.3000000000002</v>
      </c>
      <c r="DA134" s="451">
        <f t="shared" si="382"/>
        <v>1262.8</v>
      </c>
      <c r="DB134" s="451">
        <f>DB133+DB132-DB131</f>
        <v>1210.1999999999998</v>
      </c>
      <c r="DC134" s="451">
        <f>DC133+DC132-DC131</f>
        <v>1210.1999999999998</v>
      </c>
      <c r="DD134" s="607">
        <f>DD133+DD132-DD131</f>
        <v>1210.1999999999998</v>
      </c>
      <c r="DE134" s="451">
        <f>DE133+DE132-DE131</f>
        <v>1036.6000000000001</v>
      </c>
      <c r="DF134" s="451">
        <f t="shared" ref="DF134:DK134" si="383">DF133+DF132-DF131</f>
        <v>864.19999999999993</v>
      </c>
      <c r="DG134" s="451">
        <f t="shared" si="383"/>
        <v>864.19999999999993</v>
      </c>
      <c r="DH134" s="451">
        <f t="shared" si="383"/>
        <v>676.10000000000014</v>
      </c>
      <c r="DI134" s="451">
        <f t="shared" si="383"/>
        <v>650.1</v>
      </c>
      <c r="DJ134" s="451">
        <f t="shared" si="383"/>
        <v>650.1</v>
      </c>
      <c r="DK134" s="607">
        <f t="shared" si="383"/>
        <v>650.1</v>
      </c>
      <c r="DL134" s="452">
        <f>DL133+DL132-DL131</f>
        <v>805.69999999999993</v>
      </c>
      <c r="DM134" s="451">
        <f t="shared" ref="DM134:DR134" si="384">DM133+DM132-DM131</f>
        <v>722.90000000000009</v>
      </c>
      <c r="DN134" s="451">
        <f t="shared" si="384"/>
        <v>722.90000000000009</v>
      </c>
      <c r="DO134" s="451">
        <f t="shared" si="384"/>
        <v>761.3</v>
      </c>
      <c r="DP134" s="451">
        <f t="shared" si="384"/>
        <v>752.3</v>
      </c>
      <c r="DQ134" s="451">
        <f t="shared" si="384"/>
        <v>752.3</v>
      </c>
      <c r="DR134" s="607">
        <f t="shared" si="384"/>
        <v>752.3</v>
      </c>
      <c r="DS134" s="451">
        <f>DS133+DS132-DS131</f>
        <v>722.09999999999991</v>
      </c>
      <c r="DT134" s="451">
        <f t="shared" ref="DT134:ET134" si="385">DT133+DT132-DT131</f>
        <v>843.09999999999991</v>
      </c>
      <c r="DU134" s="451">
        <f t="shared" si="385"/>
        <v>843.09999999999991</v>
      </c>
      <c r="DV134" s="282">
        <f t="shared" si="385"/>
        <v>878.1</v>
      </c>
      <c r="DW134" s="451">
        <f t="shared" si="385"/>
        <v>946</v>
      </c>
      <c r="DX134" s="451">
        <f t="shared" si="385"/>
        <v>946</v>
      </c>
      <c r="DY134" s="607">
        <f t="shared" si="385"/>
        <v>946</v>
      </c>
      <c r="DZ134" s="451">
        <f>DZ133+DZ132-DZ131</f>
        <v>840.9</v>
      </c>
      <c r="EA134" s="451">
        <f t="shared" ref="EA134:EF134" si="386">EA133+EA132-EA131</f>
        <v>802.5</v>
      </c>
      <c r="EB134" s="451">
        <f t="shared" si="386"/>
        <v>802.5</v>
      </c>
      <c r="EC134" s="282">
        <f t="shared" si="386"/>
        <v>701.8</v>
      </c>
      <c r="ED134" s="451">
        <f t="shared" si="386"/>
        <v>757.59999999999991</v>
      </c>
      <c r="EE134" s="451">
        <f t="shared" si="386"/>
        <v>757.59999999999991</v>
      </c>
      <c r="EF134" s="607">
        <f t="shared" si="386"/>
        <v>757.59999999999991</v>
      </c>
      <c r="EG134" s="451">
        <f>EG133+EG132-EG131</f>
        <v>757.6</v>
      </c>
      <c r="EH134" s="451">
        <f t="shared" ref="EH134:EM134" si="387">EH133+EH132-EH131</f>
        <v>767.19999999999993</v>
      </c>
      <c r="EI134" s="451">
        <f t="shared" si="387"/>
        <v>767.19999999999993</v>
      </c>
      <c r="EJ134" s="282">
        <f t="shared" si="387"/>
        <v>564.6</v>
      </c>
      <c r="EK134" s="451">
        <f t="shared" si="387"/>
        <v>556.79999999999995</v>
      </c>
      <c r="EL134" s="451">
        <f t="shared" si="387"/>
        <v>556.79999999999995</v>
      </c>
      <c r="EM134" s="607">
        <f t="shared" si="387"/>
        <v>556.79999999999995</v>
      </c>
      <c r="EN134" s="451">
        <f>EN133+EN132-EN131</f>
        <v>2133.3000000000002</v>
      </c>
      <c r="EO134" s="451">
        <f t="shared" ref="EO134:EP134" si="388">EO133+EO132-EO131</f>
        <v>4449.3</v>
      </c>
      <c r="EP134" s="451">
        <f t="shared" si="388"/>
        <v>4449.3</v>
      </c>
      <c r="EQ134" s="452">
        <f>EQ133+EQ132-EQ131</f>
        <v>4264.7000000000007</v>
      </c>
      <c r="ER134" s="451">
        <f t="shared" si="385"/>
        <v>4164.2442456470972</v>
      </c>
      <c r="ES134" s="451">
        <f t="shared" si="385"/>
        <v>4164.2442456470972</v>
      </c>
      <c r="ET134" s="607">
        <f t="shared" si="385"/>
        <v>4164.2442456470972</v>
      </c>
      <c r="EU134" s="451">
        <f>EU133+EU132-EU131</f>
        <v>3917.2404353048332</v>
      </c>
      <c r="EV134" s="451">
        <f t="shared" ref="EV134:FV134" si="389">EV133+EV132-EV131</f>
        <v>3832.4653234241523</v>
      </c>
      <c r="EW134" s="451">
        <f t="shared" si="389"/>
        <v>3832.4653234241523</v>
      </c>
      <c r="EX134" s="451">
        <f t="shared" si="389"/>
        <v>3663.703258199444</v>
      </c>
      <c r="EY134" s="451">
        <f t="shared" si="389"/>
        <v>3597.0707719910561</v>
      </c>
      <c r="EZ134" s="451">
        <f t="shared" si="389"/>
        <v>3597.0707719910561</v>
      </c>
      <c r="FA134" s="607">
        <f t="shared" si="389"/>
        <v>3597.0707719910561</v>
      </c>
      <c r="FB134" s="451">
        <f t="shared" si="389"/>
        <v>3300.6748080240568</v>
      </c>
      <c r="FC134" s="451">
        <f t="shared" si="389"/>
        <v>3177.5599895838955</v>
      </c>
      <c r="FD134" s="451">
        <f t="shared" si="389"/>
        <v>3177.5599895838955</v>
      </c>
      <c r="FE134" s="451">
        <f t="shared" si="389"/>
        <v>2949.5486947313907</v>
      </c>
      <c r="FF134" s="451">
        <f t="shared" si="389"/>
        <v>2842.1968014750023</v>
      </c>
      <c r="FG134" s="451">
        <f t="shared" si="389"/>
        <v>2842.1968014750023</v>
      </c>
      <c r="FH134" s="607">
        <f t="shared" si="389"/>
        <v>2842.1968014750023</v>
      </c>
      <c r="FI134" s="451">
        <f t="shared" si="389"/>
        <v>2480.8962812249815</v>
      </c>
      <c r="FJ134" s="451">
        <f t="shared" si="389"/>
        <v>2320.0786955525041</v>
      </c>
      <c r="FK134" s="451">
        <f t="shared" si="389"/>
        <v>2320.0786955525041</v>
      </c>
      <c r="FL134" s="451">
        <f t="shared" si="389"/>
        <v>2048.6139226758578</v>
      </c>
      <c r="FM134" s="451">
        <f t="shared" si="389"/>
        <v>1906.6636530367039</v>
      </c>
      <c r="FN134" s="451">
        <f t="shared" si="389"/>
        <v>1906.6636530367039</v>
      </c>
      <c r="FO134" s="607">
        <f t="shared" si="389"/>
        <v>1906.6636530367039</v>
      </c>
      <c r="FP134" s="451">
        <f t="shared" si="389"/>
        <v>1497.5115683811566</v>
      </c>
      <c r="FQ134" s="451">
        <f t="shared" si="389"/>
        <v>1297.4672228452775</v>
      </c>
      <c r="FR134" s="451">
        <f t="shared" si="389"/>
        <v>1297.4672228452775</v>
      </c>
      <c r="FS134" s="451">
        <f t="shared" si="389"/>
        <v>978.02161760246054</v>
      </c>
      <c r="FT134" s="451">
        <f t="shared" si="389"/>
        <v>797.28243867720948</v>
      </c>
      <c r="FU134" s="451">
        <f t="shared" si="389"/>
        <v>797.28243867720948</v>
      </c>
      <c r="FV134" s="607">
        <f t="shared" si="389"/>
        <v>797.28243867720948</v>
      </c>
      <c r="FW134" s="632"/>
    </row>
    <row r="135" spans="1:280" outlineLevel="1" x14ac:dyDescent="0.3">
      <c r="B135" s="253" t="s">
        <v>490</v>
      </c>
      <c r="C135" s="280" t="s">
        <v>226</v>
      </c>
      <c r="K135" s="281">
        <f>K134-D134</f>
        <v>-24.200000000000017</v>
      </c>
      <c r="L135" s="281">
        <f t="shared" ref="L135:AP135" si="390">L134-E134</f>
        <v>111.2</v>
      </c>
      <c r="M135" s="281">
        <f t="shared" si="390"/>
        <v>111.2</v>
      </c>
      <c r="N135" s="281">
        <f t="shared" si="390"/>
        <v>50.000000000000014</v>
      </c>
      <c r="O135" s="281">
        <f t="shared" si="390"/>
        <v>166.30000000000004</v>
      </c>
      <c r="P135" s="281">
        <f t="shared" si="390"/>
        <v>166.30000000000004</v>
      </c>
      <c r="Q135" s="281">
        <f t="shared" si="390"/>
        <v>166.30000000000004</v>
      </c>
      <c r="R135" s="281">
        <f t="shared" si="390"/>
        <v>82.800000000000011</v>
      </c>
      <c r="S135" s="281">
        <f t="shared" si="390"/>
        <v>2.2000000000000028</v>
      </c>
      <c r="T135" s="281">
        <f t="shared" si="390"/>
        <v>2.2000000000000028</v>
      </c>
      <c r="U135" s="281">
        <f t="shared" si="390"/>
        <v>209.89999999999998</v>
      </c>
      <c r="V135" s="281">
        <f t="shared" si="390"/>
        <v>75.199999999999989</v>
      </c>
      <c r="W135" s="281">
        <f t="shared" si="390"/>
        <v>75.199999999999989</v>
      </c>
      <c r="X135" s="281">
        <f t="shared" si="390"/>
        <v>75.199999999999989</v>
      </c>
      <c r="Y135" s="281">
        <f t="shared" si="390"/>
        <v>108.79999999999998</v>
      </c>
      <c r="Z135" s="281">
        <f t="shared" si="390"/>
        <v>84.399999999999977</v>
      </c>
      <c r="AA135" s="281">
        <f t="shared" si="390"/>
        <v>84.399999999999977</v>
      </c>
      <c r="AB135" s="281">
        <f t="shared" si="390"/>
        <v>7.1999999999999886</v>
      </c>
      <c r="AC135" s="281">
        <f t="shared" si="390"/>
        <v>52.500000000000028</v>
      </c>
      <c r="AD135" s="281">
        <f t="shared" si="390"/>
        <v>52.500000000000028</v>
      </c>
      <c r="AE135" s="281">
        <f>AE134-X134</f>
        <v>52.500000000000028</v>
      </c>
      <c r="AF135" s="281">
        <f t="shared" si="390"/>
        <v>75.100000000000023</v>
      </c>
      <c r="AG135" s="281">
        <f t="shared" si="390"/>
        <v>-8.0999999999999943</v>
      </c>
      <c r="AH135" s="281">
        <f t="shared" si="390"/>
        <v>-8.0999999999999943</v>
      </c>
      <c r="AI135" s="281">
        <f t="shared" si="390"/>
        <v>-98.999999999999972</v>
      </c>
      <c r="AJ135" s="281">
        <f t="shared" si="390"/>
        <v>-146.80000000000001</v>
      </c>
      <c r="AK135" s="281">
        <f t="shared" si="390"/>
        <v>-146.80000000000001</v>
      </c>
      <c r="AL135" s="281">
        <f>AL134-AE134</f>
        <v>-146.80000000000001</v>
      </c>
      <c r="AM135" s="281">
        <f t="shared" si="390"/>
        <v>-56.400000000000006</v>
      </c>
      <c r="AN135" s="281">
        <f t="shared" si="390"/>
        <v>-26.799999999999983</v>
      </c>
      <c r="AO135" s="281">
        <f t="shared" si="390"/>
        <v>-26.799999999999983</v>
      </c>
      <c r="AP135" s="281">
        <f t="shared" si="390"/>
        <v>-83.000000000000014</v>
      </c>
      <c r="AQ135" s="281">
        <f>AQ134-AJ134</f>
        <v>-94.4</v>
      </c>
      <c r="AR135" s="281">
        <f>AR134-AK134</f>
        <v>-94.4</v>
      </c>
      <c r="AS135" s="281">
        <f>AS134-AL134</f>
        <v>-94.4</v>
      </c>
      <c r="AT135" s="281">
        <f>AT134-AM134</f>
        <v>-145</v>
      </c>
      <c r="AU135" s="281">
        <f t="shared" ref="AU135:CW135" si="391">AU134-AN134</f>
        <v>-102.7</v>
      </c>
      <c r="AV135" s="281">
        <f t="shared" si="391"/>
        <v>-102.7</v>
      </c>
      <c r="AW135" s="281">
        <f t="shared" si="391"/>
        <v>-83.6</v>
      </c>
      <c r="AX135" s="281">
        <f t="shared" si="391"/>
        <v>-274.89999999999998</v>
      </c>
      <c r="AY135" s="281">
        <f t="shared" si="391"/>
        <v>-274.89999999999998</v>
      </c>
      <c r="AZ135" s="281">
        <f t="shared" si="391"/>
        <v>-274.89999999999998</v>
      </c>
      <c r="BA135" s="281">
        <f t="shared" si="391"/>
        <v>-324.5</v>
      </c>
      <c r="BB135" s="281">
        <f t="shared" si="391"/>
        <v>-114</v>
      </c>
      <c r="BC135" s="281">
        <f t="shared" si="391"/>
        <v>-114</v>
      </c>
      <c r="BD135" s="281">
        <f t="shared" si="391"/>
        <v>-133.69999999999999</v>
      </c>
      <c r="BE135" s="281">
        <f t="shared" si="391"/>
        <v>80.799999999999983</v>
      </c>
      <c r="BF135" s="281">
        <f t="shared" si="391"/>
        <v>80.799999999999983</v>
      </c>
      <c r="BG135" s="281">
        <f t="shared" si="391"/>
        <v>80.799999999999983</v>
      </c>
      <c r="BH135" s="281">
        <f t="shared" si="391"/>
        <v>99.500000000000028</v>
      </c>
      <c r="BI135" s="281">
        <f t="shared" si="391"/>
        <v>-49.3</v>
      </c>
      <c r="BJ135" s="281">
        <f t="shared" si="391"/>
        <v>-49.3</v>
      </c>
      <c r="BK135" s="281">
        <f t="shared" si="391"/>
        <v>-3</v>
      </c>
      <c r="BL135" s="281"/>
      <c r="BM135" s="281">
        <f t="shared" si="391"/>
        <v>33.199999999999989</v>
      </c>
      <c r="BN135" s="320">
        <f t="shared" si="391"/>
        <v>33.199999999999989</v>
      </c>
      <c r="BO135" s="320">
        <f t="shared" si="391"/>
        <v>214.6</v>
      </c>
      <c r="BP135" s="320">
        <f t="shared" si="391"/>
        <v>446.1</v>
      </c>
      <c r="BQ135" s="320">
        <f t="shared" si="391"/>
        <v>446.1</v>
      </c>
      <c r="BR135" s="320">
        <f t="shared" si="391"/>
        <v>490.2</v>
      </c>
      <c r="BS135" s="320">
        <f t="shared" si="391"/>
        <v>344.1</v>
      </c>
      <c r="BT135" s="320">
        <f t="shared" si="391"/>
        <v>464.6</v>
      </c>
      <c r="BU135" s="320">
        <f t="shared" si="391"/>
        <v>464.6</v>
      </c>
      <c r="BV135" s="320">
        <f t="shared" si="391"/>
        <v>301.3</v>
      </c>
      <c r="BW135" s="320">
        <f t="shared" si="391"/>
        <v>187.5</v>
      </c>
      <c r="BX135" s="320">
        <f t="shared" si="391"/>
        <v>187.5</v>
      </c>
      <c r="BY135" s="320">
        <f t="shared" si="391"/>
        <v>99.699999999999989</v>
      </c>
      <c r="BZ135" s="320">
        <f t="shared" si="391"/>
        <v>112.29999999999995</v>
      </c>
      <c r="CA135" s="320">
        <f t="shared" si="391"/>
        <v>112.29999999999995</v>
      </c>
      <c r="CB135" s="320">
        <f t="shared" si="391"/>
        <v>112.29999999999995</v>
      </c>
      <c r="CC135" s="320">
        <f>CC134-BV134</f>
        <v>53.699999999999932</v>
      </c>
      <c r="CD135" s="320">
        <f t="shared" si="391"/>
        <v>47.899999999999977</v>
      </c>
      <c r="CE135" s="320">
        <f t="shared" si="391"/>
        <v>47.899999999999977</v>
      </c>
      <c r="CF135" s="320">
        <f t="shared" si="391"/>
        <v>8.2999999999999545</v>
      </c>
      <c r="CG135" s="320">
        <f>CG134-BZ134</f>
        <v>81.600000000000023</v>
      </c>
      <c r="CH135" s="320">
        <f>CH134-CA134</f>
        <v>81.600000000000023</v>
      </c>
      <c r="CI135" s="320">
        <f>CI134-CB134</f>
        <v>81.600000000000023</v>
      </c>
      <c r="CJ135" s="320">
        <f t="shared" si="391"/>
        <v>56.300000000000068</v>
      </c>
      <c r="CK135" s="320">
        <f t="shared" si="391"/>
        <v>47.000000000000114</v>
      </c>
      <c r="CL135" s="320">
        <f t="shared" si="391"/>
        <v>47.000000000000114</v>
      </c>
      <c r="CM135" s="320">
        <f t="shared" si="391"/>
        <v>116.89999999999998</v>
      </c>
      <c r="CN135" s="320">
        <f t="shared" si="391"/>
        <v>64.799999999999955</v>
      </c>
      <c r="CO135" s="320">
        <f t="shared" si="391"/>
        <v>64.799999999999955</v>
      </c>
      <c r="CP135" s="282">
        <f t="shared" si="391"/>
        <v>64.799999999999955</v>
      </c>
      <c r="CQ135" s="282">
        <f t="shared" si="391"/>
        <v>639.09999999999991</v>
      </c>
      <c r="CR135" s="282">
        <f t="shared" si="391"/>
        <v>659.49999999999977</v>
      </c>
      <c r="CS135" s="282">
        <f t="shared" si="391"/>
        <v>659.49999999999977</v>
      </c>
      <c r="CT135" s="282">
        <f>CT134-CS134</f>
        <v>-72.599999999999909</v>
      </c>
      <c r="CU135" s="282">
        <f>CU134-CT134</f>
        <v>112.79999999999995</v>
      </c>
      <c r="CV135" s="282">
        <f>CV134-CS134</f>
        <v>40.200000000000045</v>
      </c>
      <c r="CW135" s="282">
        <f t="shared" si="391"/>
        <v>698.8</v>
      </c>
      <c r="CX135" s="282">
        <f>CX134-CW134</f>
        <v>-91.499999999999773</v>
      </c>
      <c r="CY135" s="282">
        <f>CY134-CX134</f>
        <v>124.20000000000005</v>
      </c>
      <c r="CZ135" s="282">
        <f>CZ134-CW134</f>
        <v>32.700000000000273</v>
      </c>
      <c r="DA135" s="282">
        <f>DA134-CZ134</f>
        <v>-71.500000000000227</v>
      </c>
      <c r="DB135" s="282">
        <f>DB134-DA134</f>
        <v>-52.600000000000136</v>
      </c>
      <c r="DC135" s="282">
        <f>DC134-CZ134</f>
        <v>-124.10000000000036</v>
      </c>
      <c r="DD135" s="590">
        <f>DD134-CW134</f>
        <v>-91.400000000000091</v>
      </c>
      <c r="DE135" s="282">
        <f>DE134-DD134</f>
        <v>-173.59999999999968</v>
      </c>
      <c r="DF135" s="282">
        <f>DF134-DE134</f>
        <v>-172.4000000000002</v>
      </c>
      <c r="DG135" s="282">
        <f>DG134-DD134</f>
        <v>-345.99999999999989</v>
      </c>
      <c r="DH135" s="282">
        <f>DH134-DG134</f>
        <v>-188.0999999999998</v>
      </c>
      <c r="DI135" s="282">
        <f>DI134-DH134</f>
        <v>-26.000000000000114</v>
      </c>
      <c r="DJ135" s="282">
        <f>DJ134-DG134</f>
        <v>-214.09999999999991</v>
      </c>
      <c r="DK135" s="590">
        <f>DK134-DD134</f>
        <v>-560.0999999999998</v>
      </c>
      <c r="DL135" s="284">
        <f>DL134-DK134</f>
        <v>155.59999999999991</v>
      </c>
      <c r="DM135" s="282">
        <f>DM134-DL134</f>
        <v>-82.799999999999841</v>
      </c>
      <c r="DN135" s="282">
        <f>DN134-DK134</f>
        <v>72.800000000000068</v>
      </c>
      <c r="DO135" s="282">
        <f>DO134-DN134</f>
        <v>38.399999999999864</v>
      </c>
      <c r="DP135" s="282">
        <f>DP134-DO134</f>
        <v>-9</v>
      </c>
      <c r="DQ135" s="282">
        <f>DQ134-DN134</f>
        <v>29.399999999999864</v>
      </c>
      <c r="DR135" s="590">
        <f>DR134-DK134</f>
        <v>102.19999999999993</v>
      </c>
      <c r="DS135" s="282">
        <f>DS134-DR134</f>
        <v>-30.200000000000045</v>
      </c>
      <c r="DT135" s="282">
        <f>DT134-DS134</f>
        <v>121</v>
      </c>
      <c r="DU135" s="282">
        <f>DU134-DR134</f>
        <v>90.799999999999955</v>
      </c>
      <c r="DV135" s="282">
        <f>DV134-DU134</f>
        <v>35.000000000000114</v>
      </c>
      <c r="DW135" s="282">
        <f>DW134-DV134</f>
        <v>67.899999999999977</v>
      </c>
      <c r="DX135" s="282">
        <f>DX134-DU134</f>
        <v>102.90000000000009</v>
      </c>
      <c r="DY135" s="590">
        <f>DY134-DR134</f>
        <v>193.70000000000005</v>
      </c>
      <c r="DZ135" s="282">
        <f>DZ134-DY134</f>
        <v>-105.10000000000002</v>
      </c>
      <c r="EA135" s="282">
        <f>EA134-DZ134</f>
        <v>-38.399999999999977</v>
      </c>
      <c r="EB135" s="282">
        <f>EB134-DY134</f>
        <v>-143.5</v>
      </c>
      <c r="EC135" s="282">
        <f>EC134-EB134</f>
        <v>-100.70000000000005</v>
      </c>
      <c r="ED135" s="282">
        <f>ED134-EC134</f>
        <v>55.799999999999955</v>
      </c>
      <c r="EE135" s="282">
        <f>EE134-EB134</f>
        <v>-44.900000000000091</v>
      </c>
      <c r="EF135" s="590">
        <f>EF134-DY134</f>
        <v>-188.40000000000009</v>
      </c>
      <c r="EG135" s="282">
        <f>EG134-EF134</f>
        <v>0</v>
      </c>
      <c r="EH135" s="282">
        <f>EH134-EG134</f>
        <v>9.5999999999999091</v>
      </c>
      <c r="EI135" s="282">
        <f>EI134-EF134</f>
        <v>9.6000000000000227</v>
      </c>
      <c r="EJ135" s="282">
        <f>EJ134-EI134</f>
        <v>-202.59999999999991</v>
      </c>
      <c r="EK135" s="282">
        <f>EK134-EJ134</f>
        <v>-7.8000000000000682</v>
      </c>
      <c r="EL135" s="282">
        <f>EL134-EI134</f>
        <v>-210.39999999999998</v>
      </c>
      <c r="EM135" s="590">
        <f>EM134-EF134</f>
        <v>-200.79999999999995</v>
      </c>
      <c r="EN135" s="282">
        <f>EN134-EM134</f>
        <v>1576.5000000000002</v>
      </c>
      <c r="EO135" s="282">
        <f>EO134-EN134</f>
        <v>2316</v>
      </c>
      <c r="EP135" s="282">
        <f>EP134-EM134</f>
        <v>3892.5</v>
      </c>
      <c r="EQ135" s="284">
        <f>EQ134-EP134</f>
        <v>-184.59999999999945</v>
      </c>
      <c r="ER135" s="282">
        <f>ER134-EQ134</f>
        <v>-100.45575435290357</v>
      </c>
      <c r="ES135" s="282">
        <f>ES134-EP134</f>
        <v>-285.05575435290302</v>
      </c>
      <c r="ET135" s="590">
        <f>ET134-EM134</f>
        <v>3607.444245647097</v>
      </c>
      <c r="EU135" s="282">
        <f>EU134-ET134</f>
        <v>-247.00381034226393</v>
      </c>
      <c r="EV135" s="282">
        <f>EV134-EU134</f>
        <v>-84.775111880680925</v>
      </c>
      <c r="EW135" s="282">
        <f>EW134-ET134</f>
        <v>-331.77892222294486</v>
      </c>
      <c r="EX135" s="282">
        <f>EX134-EW134</f>
        <v>-168.76206522470829</v>
      </c>
      <c r="EY135" s="282">
        <f>EY134-EX134</f>
        <v>-66.632486208387945</v>
      </c>
      <c r="EZ135" s="282">
        <f>EZ134-EW134</f>
        <v>-235.39455143309624</v>
      </c>
      <c r="FA135" s="590">
        <f>FA134-ET134</f>
        <v>-567.1734736560411</v>
      </c>
      <c r="FB135" s="282">
        <f>FB134-FA134</f>
        <v>-296.39596396699926</v>
      </c>
      <c r="FC135" s="282">
        <f>FC134-FB134</f>
        <v>-123.11481844016134</v>
      </c>
      <c r="FD135" s="282">
        <f>FD134-FA134</f>
        <v>-419.5107824071606</v>
      </c>
      <c r="FE135" s="282">
        <f>FE134-FD134</f>
        <v>-228.01129485250476</v>
      </c>
      <c r="FF135" s="282">
        <f>FF134-FE134</f>
        <v>-107.35189325638839</v>
      </c>
      <c r="FG135" s="282">
        <f>FG134-FD134</f>
        <v>-335.36318810889316</v>
      </c>
      <c r="FH135" s="590">
        <f>FH134-FA134</f>
        <v>-754.87397051605376</v>
      </c>
      <c r="FI135" s="282">
        <f>FI134-FH134</f>
        <v>-361.30052025002078</v>
      </c>
      <c r="FJ135" s="282">
        <f>FJ134-FI134</f>
        <v>-160.81758567247743</v>
      </c>
      <c r="FK135" s="282">
        <f>FK134-FH134</f>
        <v>-522.11810592249822</v>
      </c>
      <c r="FL135" s="282">
        <f>FL134-FK134</f>
        <v>-271.46477287664629</v>
      </c>
      <c r="FM135" s="282">
        <f>FM134-FL134</f>
        <v>-141.95026963915393</v>
      </c>
      <c r="FN135" s="282">
        <f>FN134-FK134</f>
        <v>-413.41504251580022</v>
      </c>
      <c r="FO135" s="590">
        <f>FO134-FH134</f>
        <v>-935.53314843829844</v>
      </c>
      <c r="FP135" s="282">
        <f>FP134-FO134</f>
        <v>-409.15208465554724</v>
      </c>
      <c r="FQ135" s="282">
        <f>FQ134-FP134</f>
        <v>-200.04434553587907</v>
      </c>
      <c r="FR135" s="282">
        <f>FR134-FO134</f>
        <v>-609.19643019142632</v>
      </c>
      <c r="FS135" s="282">
        <f>FS134-FR134</f>
        <v>-319.44560524281701</v>
      </c>
      <c r="FT135" s="282">
        <f>FT134-FS134</f>
        <v>-180.73917892525105</v>
      </c>
      <c r="FU135" s="282">
        <f>FU134-FR134</f>
        <v>-500.18478416806806</v>
      </c>
      <c r="FV135" s="590">
        <f>FV134-FO134</f>
        <v>-1109.3812143594944</v>
      </c>
    </row>
    <row r="136" spans="1:280" outlineLevel="1" x14ac:dyDescent="0.3">
      <c r="C136" s="280"/>
      <c r="K136" s="281"/>
      <c r="L136" s="281"/>
      <c r="M136" s="281"/>
      <c r="N136" s="281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  <c r="AF136" s="281"/>
      <c r="AG136" s="281"/>
      <c r="AH136" s="281"/>
      <c r="AI136" s="281"/>
      <c r="AJ136" s="281"/>
      <c r="AK136" s="281"/>
      <c r="AL136" s="281"/>
      <c r="AM136" s="281"/>
      <c r="AN136" s="281"/>
      <c r="AO136" s="281"/>
      <c r="AP136" s="281"/>
      <c r="AQ136" s="281"/>
      <c r="AR136" s="281"/>
      <c r="AS136" s="281"/>
      <c r="AT136" s="281"/>
      <c r="AU136" s="281"/>
      <c r="AV136" s="281"/>
      <c r="AW136" s="281"/>
      <c r="AX136" s="281"/>
      <c r="AY136" s="281"/>
      <c r="AZ136" s="281"/>
      <c r="BA136" s="281"/>
      <c r="BB136" s="281"/>
      <c r="BC136" s="281"/>
      <c r="BD136" s="281"/>
      <c r="BE136" s="281"/>
      <c r="BF136" s="281"/>
      <c r="BG136" s="281"/>
      <c r="BH136" s="281"/>
      <c r="BI136" s="281"/>
      <c r="BJ136" s="281"/>
      <c r="BK136" s="281"/>
      <c r="BL136" s="281"/>
      <c r="BM136" s="281"/>
      <c r="BN136" s="320"/>
      <c r="BO136" s="320"/>
      <c r="BP136" s="320"/>
      <c r="BQ136" s="320"/>
      <c r="BR136" s="320"/>
      <c r="BS136" s="320"/>
      <c r="BT136" s="320"/>
      <c r="BU136" s="320"/>
      <c r="BV136" s="320"/>
      <c r="BW136" s="320"/>
      <c r="BX136" s="320"/>
      <c r="BY136" s="320"/>
      <c r="BZ136" s="320"/>
      <c r="CA136" s="320"/>
      <c r="CB136" s="320"/>
      <c r="CC136" s="320"/>
      <c r="CD136" s="320"/>
      <c r="CE136" s="320"/>
      <c r="CF136" s="320"/>
      <c r="CG136" s="320"/>
      <c r="CH136" s="320"/>
      <c r="CI136" s="320"/>
      <c r="CJ136" s="320"/>
      <c r="CK136" s="320"/>
      <c r="CL136" s="320"/>
      <c r="CM136" s="320"/>
      <c r="CN136" s="320"/>
      <c r="CO136" s="320"/>
      <c r="CP136" s="282"/>
      <c r="CQ136" s="282"/>
      <c r="CR136" s="282"/>
      <c r="CS136" s="282"/>
      <c r="CT136" s="282"/>
      <c r="CU136" s="282"/>
      <c r="CV136" s="282"/>
      <c r="CW136" s="282"/>
      <c r="CX136" s="282"/>
      <c r="CY136" s="282"/>
      <c r="CZ136" s="282"/>
      <c r="DA136" s="282"/>
      <c r="DB136" s="282"/>
      <c r="DC136" s="282"/>
      <c r="DD136" s="590"/>
      <c r="DE136" s="282"/>
      <c r="DF136" s="282"/>
      <c r="DG136" s="282"/>
      <c r="DH136" s="282"/>
      <c r="DI136" s="282"/>
      <c r="DJ136" s="282"/>
      <c r="DK136" s="590"/>
      <c r="DL136" s="284"/>
      <c r="DM136" s="282"/>
      <c r="DN136" s="282"/>
      <c r="DO136" s="282"/>
      <c r="DP136" s="282"/>
      <c r="DQ136" s="282"/>
      <c r="DR136" s="590"/>
      <c r="DS136" s="282"/>
      <c r="DT136" s="282"/>
      <c r="DU136" s="282"/>
      <c r="DV136" s="282"/>
      <c r="DW136" s="282"/>
      <c r="DX136" s="282"/>
      <c r="DY136" s="590"/>
      <c r="DZ136" s="282"/>
      <c r="EA136" s="282"/>
      <c r="EB136" s="282"/>
      <c r="EC136" s="282"/>
      <c r="ED136" s="282"/>
      <c r="EE136" s="282"/>
      <c r="EF136" s="590"/>
      <c r="EG136" s="282"/>
      <c r="EH136" s="282"/>
      <c r="EI136" s="282"/>
      <c r="EJ136" s="282"/>
      <c r="EK136" s="282"/>
      <c r="EL136" s="282"/>
      <c r="EM136" s="590"/>
      <c r="EN136" s="282"/>
      <c r="EO136" s="282"/>
      <c r="EP136" s="282"/>
      <c r="EQ136" s="284"/>
      <c r="ER136" s="282"/>
      <c r="ES136" s="282"/>
      <c r="ET136" s="590"/>
      <c r="EU136" s="282"/>
      <c r="EV136" s="282"/>
      <c r="EW136" s="282"/>
      <c r="EX136" s="282"/>
      <c r="EY136" s="282"/>
      <c r="EZ136" s="282"/>
      <c r="FA136" s="590"/>
      <c r="FB136" s="282"/>
      <c r="FC136" s="282"/>
      <c r="FD136" s="282"/>
      <c r="FE136" s="282"/>
      <c r="FF136" s="282"/>
      <c r="FG136" s="282"/>
      <c r="FH136" s="590"/>
      <c r="FI136" s="282"/>
      <c r="FJ136" s="282"/>
      <c r="FK136" s="282"/>
      <c r="FL136" s="282"/>
      <c r="FM136" s="282"/>
      <c r="FN136" s="282"/>
      <c r="FO136" s="590"/>
      <c r="FP136" s="282"/>
      <c r="FQ136" s="282"/>
      <c r="FR136" s="282"/>
      <c r="FS136" s="282"/>
      <c r="FT136" s="282"/>
      <c r="FU136" s="282"/>
      <c r="FV136" s="590"/>
    </row>
    <row r="137" spans="1:280" outlineLevel="1" x14ac:dyDescent="0.3">
      <c r="B137" s="253" t="s">
        <v>491</v>
      </c>
      <c r="C137" s="280"/>
      <c r="D137" s="281">
        <f t="shared" ref="D137:AI137" si="392">-D48/D65</f>
        <v>131.57142857142858</v>
      </c>
      <c r="E137" s="281">
        <f t="shared" si="392"/>
        <v>81.100000000000009</v>
      </c>
      <c r="F137" s="281">
        <f t="shared" si="392"/>
        <v>103.41176470588235</v>
      </c>
      <c r="G137" s="281">
        <f t="shared" si="392"/>
        <v>-86.500000000000043</v>
      </c>
      <c r="H137" s="281">
        <f t="shared" si="392"/>
        <v>-98.71428571428568</v>
      </c>
      <c r="I137" s="281">
        <f t="shared" si="392"/>
        <v>-92.2</v>
      </c>
      <c r="J137" s="281">
        <f t="shared" si="392"/>
        <v>1403.4999999999991</v>
      </c>
      <c r="K137" s="281">
        <f t="shared" si="392"/>
        <v>48.050000000000011</v>
      </c>
      <c r="L137" s="281">
        <f t="shared" si="392"/>
        <v>-88.2</v>
      </c>
      <c r="M137" s="281">
        <f t="shared" si="392"/>
        <v>184.3</v>
      </c>
      <c r="N137" s="281">
        <f t="shared" si="392"/>
        <v>49.307692307692299</v>
      </c>
      <c r="O137" s="281">
        <f t="shared" si="392"/>
        <v>16.785714285714285</v>
      </c>
      <c r="P137" s="281">
        <f t="shared" si="392"/>
        <v>24.472727272727273</v>
      </c>
      <c r="Q137" s="281">
        <f t="shared" si="392"/>
        <v>49.061538461538447</v>
      </c>
      <c r="R137" s="281">
        <f t="shared" si="392"/>
        <v>97.63636363636364</v>
      </c>
      <c r="S137" s="281">
        <f t="shared" si="392"/>
        <v>127.66666666666666</v>
      </c>
      <c r="T137" s="281">
        <f t="shared" si="392"/>
        <v>108.23529411764704</v>
      </c>
      <c r="U137" s="281">
        <f t="shared" si="392"/>
        <v>29.450000000000003</v>
      </c>
      <c r="V137" s="281">
        <f t="shared" si="392"/>
        <v>9.6304347826086936</v>
      </c>
      <c r="W137" s="281">
        <f t="shared" si="392"/>
        <v>15.63636363636364</v>
      </c>
      <c r="X137" s="281">
        <f t="shared" si="392"/>
        <v>34.602409638554221</v>
      </c>
      <c r="Y137" s="281">
        <f t="shared" si="392"/>
        <v>32.749999999999993</v>
      </c>
      <c r="Z137" s="281">
        <f t="shared" si="392"/>
        <v>28.350000000000009</v>
      </c>
      <c r="AA137" s="281">
        <f t="shared" si="392"/>
        <v>30.549999999999997</v>
      </c>
      <c r="AB137" s="281">
        <f t="shared" si="392"/>
        <v>11.703703703703701</v>
      </c>
      <c r="AC137" s="281">
        <f t="shared" si="392"/>
        <v>6.3333333333333339</v>
      </c>
      <c r="AD137" s="281">
        <f t="shared" si="392"/>
        <v>9.0185185185185173</v>
      </c>
      <c r="AE137" s="281">
        <f t="shared" si="392"/>
        <v>18.180851063829788</v>
      </c>
      <c r="AF137" s="281">
        <f t="shared" si="392"/>
        <v>45.571428571428577</v>
      </c>
      <c r="AG137" s="281">
        <f t="shared" si="392"/>
        <v>44.857142857142861</v>
      </c>
      <c r="AH137" s="281">
        <f t="shared" si="392"/>
        <v>45.214285714285708</v>
      </c>
      <c r="AI137" s="281">
        <f t="shared" si="392"/>
        <v>25.764705882352942</v>
      </c>
      <c r="AJ137" s="281">
        <f t="shared" ref="AJ137:BK137" si="393">-AJ48/AJ65</f>
        <v>13.678571428571422</v>
      </c>
      <c r="AK137" s="281">
        <f t="shared" si="393"/>
        <v>18.244444444444444</v>
      </c>
      <c r="AL137" s="281">
        <f t="shared" si="393"/>
        <v>28.589041095890408</v>
      </c>
      <c r="AM137" s="281">
        <f t="shared" si="393"/>
        <v>38.17647058823529</v>
      </c>
      <c r="AN137" s="281">
        <f t="shared" si="393"/>
        <v>21.049999999999997</v>
      </c>
      <c r="AO137" s="281">
        <f t="shared" si="393"/>
        <v>28.918918918918919</v>
      </c>
      <c r="AP137" s="281">
        <f t="shared" si="393"/>
        <v>15.099999999999998</v>
      </c>
      <c r="AQ137" s="281">
        <f t="shared" si="393"/>
        <v>15.6</v>
      </c>
      <c r="AR137" s="281">
        <f t="shared" si="393"/>
        <v>15.4</v>
      </c>
      <c r="AS137" s="281">
        <f t="shared" si="393"/>
        <v>21.149425287356326</v>
      </c>
      <c r="AT137" s="281">
        <f t="shared" si="393"/>
        <v>37.866666666666674</v>
      </c>
      <c r="AU137" s="281">
        <f t="shared" si="393"/>
        <v>27.809523809523807</v>
      </c>
      <c r="AV137" s="281">
        <f t="shared" si="393"/>
        <v>32.000000000000007</v>
      </c>
      <c r="AW137" s="281">
        <f t="shared" si="393"/>
        <v>16.434782608695652</v>
      </c>
      <c r="AX137" s="281">
        <f t="shared" si="393"/>
        <v>8.7291666666666679</v>
      </c>
      <c r="AY137" s="281">
        <f t="shared" si="393"/>
        <v>11.225352112676056</v>
      </c>
      <c r="AZ137" s="281">
        <f t="shared" si="393"/>
        <v>18.21495327102804</v>
      </c>
      <c r="BA137" s="281">
        <f t="shared" si="393"/>
        <v>64.1111111111111</v>
      </c>
      <c r="BB137" s="281">
        <f t="shared" si="393"/>
        <v>46.909090909090907</v>
      </c>
      <c r="BC137" s="281">
        <f t="shared" si="393"/>
        <v>54.649999999999977</v>
      </c>
      <c r="BD137" s="281">
        <f t="shared" si="393"/>
        <v>26.692307692307697</v>
      </c>
      <c r="BE137" s="281">
        <f t="shared" si="393"/>
        <v>28.461538461538485</v>
      </c>
      <c r="BF137" s="281">
        <f t="shared" si="393"/>
        <v>27.576923076923087</v>
      </c>
      <c r="BG137" s="281">
        <f t="shared" si="393"/>
        <v>39.347826086956523</v>
      </c>
      <c r="BH137" s="281">
        <f t="shared" si="393"/>
        <v>67.5</v>
      </c>
      <c r="BI137" s="281">
        <f t="shared" si="393"/>
        <v>66.090909090909108</v>
      </c>
      <c r="BJ137" s="281">
        <f t="shared" si="393"/>
        <v>66.761904761904773</v>
      </c>
      <c r="BK137" s="281">
        <f t="shared" si="393"/>
        <v>55.2</v>
      </c>
      <c r="BL137" s="281"/>
      <c r="BM137" s="281">
        <f t="shared" ref="BM137:CR137" si="394">-BM48/BM65</f>
        <v>59.263157894736835</v>
      </c>
      <c r="BN137" s="320">
        <f t="shared" si="394"/>
        <v>63.200000000000017</v>
      </c>
      <c r="BO137" s="320">
        <f t="shared" si="394"/>
        <v>79.1111111111111</v>
      </c>
      <c r="BP137" s="320">
        <f t="shared" si="394"/>
        <v>53.1875</v>
      </c>
      <c r="BQ137" s="320">
        <f t="shared" si="394"/>
        <v>62.519999999999996</v>
      </c>
      <c r="BR137" s="320">
        <f t="shared" si="394"/>
        <v>26.76</v>
      </c>
      <c r="BS137" s="320">
        <f t="shared" si="394"/>
        <v>16.833333333333329</v>
      </c>
      <c r="BT137" s="320">
        <f t="shared" si="394"/>
        <v>20.232876712328764</v>
      </c>
      <c r="BU137" s="320">
        <f t="shared" si="394"/>
        <v>31.020408163265305</v>
      </c>
      <c r="BV137" s="320">
        <f t="shared" si="394"/>
        <v>14.91666666666667</v>
      </c>
      <c r="BW137" s="320">
        <f t="shared" si="394"/>
        <v>14.676923076923078</v>
      </c>
      <c r="BX137" s="320">
        <f t="shared" si="394"/>
        <v>14.792000000000003</v>
      </c>
      <c r="BY137" s="320">
        <f t="shared" si="394"/>
        <v>12.424242424242424</v>
      </c>
      <c r="BZ137" s="320">
        <f t="shared" si="394"/>
        <v>14.186440677966099</v>
      </c>
      <c r="CA137" s="320">
        <f t="shared" si="394"/>
        <v>13.255999999999998</v>
      </c>
      <c r="CB137" s="320">
        <f t="shared" si="394"/>
        <v>14.024000000000003</v>
      </c>
      <c r="CC137" s="320">
        <f t="shared" si="394"/>
        <v>18.074074074074076</v>
      </c>
      <c r="CD137" s="320">
        <f t="shared" si="394"/>
        <v>14.943661971830988</v>
      </c>
      <c r="CE137" s="320">
        <f t="shared" si="394"/>
        <v>16.296000000000003</v>
      </c>
      <c r="CF137" s="320">
        <f t="shared" si="394"/>
        <v>10.500000000000002</v>
      </c>
      <c r="CG137" s="320">
        <f t="shared" si="394"/>
        <v>10.01298701298701</v>
      </c>
      <c r="CH137" s="320">
        <f t="shared" si="394"/>
        <v>10.244897959183673</v>
      </c>
      <c r="CI137" s="320">
        <f t="shared" si="394"/>
        <v>13.025735294117647</v>
      </c>
      <c r="CJ137" s="320">
        <f t="shared" si="394"/>
        <v>13.40909090909091</v>
      </c>
      <c r="CK137" s="320">
        <f t="shared" si="394"/>
        <v>14.027027027027028</v>
      </c>
      <c r="CL137" s="320">
        <f t="shared" si="394"/>
        <v>13.735714285714284</v>
      </c>
      <c r="CM137" s="320">
        <f t="shared" si="394"/>
        <v>11.267441860465112</v>
      </c>
      <c r="CN137" s="320">
        <f t="shared" si="394"/>
        <v>11.738636363636365</v>
      </c>
      <c r="CO137" s="320">
        <f t="shared" si="394"/>
        <v>11.505747126436779</v>
      </c>
      <c r="CP137" s="282">
        <f t="shared" si="394"/>
        <v>12.499999999999998</v>
      </c>
      <c r="CQ137" s="282">
        <f t="shared" si="394"/>
        <v>9.8256880733944953</v>
      </c>
      <c r="CR137" s="282">
        <f t="shared" si="394"/>
        <v>8.2230769230769241</v>
      </c>
      <c r="CS137" s="282">
        <f t="shared" ref="CS137:DX137" si="395">-CS48/CS65</f>
        <v>8.95397489539749</v>
      </c>
      <c r="CT137" s="282">
        <f t="shared" si="395"/>
        <v>6.2916666666666652</v>
      </c>
      <c r="CU137" s="282">
        <f t="shared" si="395"/>
        <v>7.2463768115942013</v>
      </c>
      <c r="CV137" s="282">
        <f t="shared" si="395"/>
        <v>6.7588652482269485</v>
      </c>
      <c r="CW137" s="282">
        <f t="shared" si="395"/>
        <v>7.7658349328214973</v>
      </c>
      <c r="CX137" s="282">
        <f t="shared" si="395"/>
        <v>8.9496402877697872</v>
      </c>
      <c r="CY137" s="282">
        <f t="shared" si="395"/>
        <v>9.4507042253521139</v>
      </c>
      <c r="CZ137" s="282">
        <f t="shared" si="395"/>
        <v>9.202846975088967</v>
      </c>
      <c r="DA137" s="282">
        <f t="shared" si="395"/>
        <v>7.7681159420289854</v>
      </c>
      <c r="DB137" s="282">
        <f t="shared" si="395"/>
        <v>9.0977443609022544</v>
      </c>
      <c r="DC137" s="282">
        <f t="shared" si="395"/>
        <v>8.4206642066420674</v>
      </c>
      <c r="DD137" s="590">
        <f t="shared" si="395"/>
        <v>8.8188405797101463</v>
      </c>
      <c r="DE137" s="282">
        <f t="shared" si="395"/>
        <v>9.9126984126984148</v>
      </c>
      <c r="DF137" s="282">
        <f t="shared" si="395"/>
        <v>12.742187499999998</v>
      </c>
      <c r="DG137" s="282">
        <f t="shared" si="395"/>
        <v>11.338582677165354</v>
      </c>
      <c r="DH137" s="282">
        <f t="shared" si="395"/>
        <v>12.166666666666666</v>
      </c>
      <c r="DI137" s="282">
        <f t="shared" si="395"/>
        <v>8.0138888888888911</v>
      </c>
      <c r="DJ137" s="282">
        <f t="shared" si="395"/>
        <v>9.6327683615819204</v>
      </c>
      <c r="DK137" s="590">
        <f t="shared" si="395"/>
        <v>10.345394736842108</v>
      </c>
      <c r="DL137" s="284">
        <f t="shared" si="395"/>
        <v>17.355769230769237</v>
      </c>
      <c r="DM137" s="282">
        <f t="shared" si="395"/>
        <v>20.366336633663366</v>
      </c>
      <c r="DN137" s="282">
        <f t="shared" si="395"/>
        <v>18.839024390243903</v>
      </c>
      <c r="DO137" s="282">
        <f t="shared" si="395"/>
        <v>19.254716981132074</v>
      </c>
      <c r="DP137" s="282">
        <f t="shared" si="395"/>
        <v>24.758241758241756</v>
      </c>
      <c r="DQ137" s="282">
        <f t="shared" si="395"/>
        <v>21.796954314720811</v>
      </c>
      <c r="DR137" s="590">
        <f t="shared" si="395"/>
        <v>20.288557213930346</v>
      </c>
      <c r="DS137" s="282">
        <f t="shared" si="395"/>
        <v>23.155555555555555</v>
      </c>
      <c r="DT137" s="282">
        <f t="shared" si="395"/>
        <v>24.55056179775281</v>
      </c>
      <c r="DU137" s="282">
        <f t="shared" si="395"/>
        <v>23.849162011173185</v>
      </c>
      <c r="DV137" s="282">
        <f t="shared" si="395"/>
        <v>23.628571428571426</v>
      </c>
      <c r="DW137" s="282">
        <f t="shared" si="395"/>
        <v>18.749999999999996</v>
      </c>
      <c r="DX137" s="282">
        <f t="shared" si="395"/>
        <v>20.75882352941176</v>
      </c>
      <c r="DY137" s="590">
        <f t="shared" ref="DY137:FD137" si="396">-DY48/DY65</f>
        <v>22.343839541547279</v>
      </c>
      <c r="DZ137" s="282">
        <f t="shared" si="396"/>
        <v>40.327586206896555</v>
      </c>
      <c r="EA137" s="282">
        <f t="shared" si="396"/>
        <v>53.333333333333329</v>
      </c>
      <c r="EB137" s="282">
        <f t="shared" si="396"/>
        <v>46.009708737864067</v>
      </c>
      <c r="EC137" s="282">
        <f t="shared" si="396"/>
        <v>75.516129032258036</v>
      </c>
      <c r="ED137" s="282">
        <f t="shared" si="396"/>
        <v>122.52631578947393</v>
      </c>
      <c r="EE137" s="282">
        <f t="shared" si="396"/>
        <v>93.380000000000067</v>
      </c>
      <c r="EF137" s="590">
        <f t="shared" si="396"/>
        <v>61.490196078431389</v>
      </c>
      <c r="EG137" s="282">
        <f t="shared" si="396"/>
        <v>138.47058823529417</v>
      </c>
      <c r="EH137" s="282">
        <f t="shared" ref="EH137:EN137" si="397">-EH48/EH65</f>
        <v>111.05263157894731</v>
      </c>
      <c r="EI137" s="282">
        <f t="shared" si="397"/>
        <v>123.99999999999997</v>
      </c>
      <c r="EJ137" s="282">
        <f t="shared" si="397"/>
        <v>54.473684210526329</v>
      </c>
      <c r="EK137" s="282">
        <f t="shared" si="397"/>
        <v>99.904761904761742</v>
      </c>
      <c r="EL137" s="282">
        <f t="shared" si="397"/>
        <v>70.64406779661013</v>
      </c>
      <c r="EM137" s="590">
        <f t="shared" si="397"/>
        <v>90.863157894736773</v>
      </c>
      <c r="EN137" s="282">
        <f t="shared" si="397"/>
        <v>30.727272727272727</v>
      </c>
      <c r="EO137" s="282">
        <f t="shared" ref="EO137:EQ137" si="398">-EO48/EO65</f>
        <v>3.8501529051987764</v>
      </c>
      <c r="EP137" s="282">
        <f t="shared" si="398"/>
        <v>5.782792665726376</v>
      </c>
      <c r="EQ137" s="284">
        <f t="shared" si="398"/>
        <v>3.6570121951219514</v>
      </c>
      <c r="ER137" s="282">
        <f t="shared" si="396"/>
        <v>4.2409495023769921</v>
      </c>
      <c r="ES137" s="282">
        <f t="shared" si="396"/>
        <v>4.0464351099230385</v>
      </c>
      <c r="ET137" s="590">
        <f t="shared" si="396"/>
        <v>4.5751807110318898</v>
      </c>
      <c r="EU137" s="282">
        <f t="shared" si="396"/>
        <v>4.8113380033360187</v>
      </c>
      <c r="EV137" s="282">
        <f t="shared" si="396"/>
        <v>5.0105077108894962</v>
      </c>
      <c r="EW137" s="282">
        <f t="shared" si="396"/>
        <v>4.9079270599447815</v>
      </c>
      <c r="EX137" s="282">
        <f t="shared" si="396"/>
        <v>5.3386352744479426</v>
      </c>
      <c r="EY137" s="282">
        <f t="shared" si="396"/>
        <v>6.3204527383113165</v>
      </c>
      <c r="EZ137" s="282">
        <f t="shared" si="396"/>
        <v>5.8186878471723062</v>
      </c>
      <c r="FA137" s="590">
        <f t="shared" si="396"/>
        <v>5.3464937150169778</v>
      </c>
      <c r="FB137" s="282">
        <f t="shared" si="396"/>
        <v>6.3203528281523509</v>
      </c>
      <c r="FC137" s="282">
        <f t="shared" si="396"/>
        <v>6.9023250511411609</v>
      </c>
      <c r="FD137" s="282">
        <f t="shared" si="396"/>
        <v>6.5990651277759476</v>
      </c>
      <c r="FE137" s="282">
        <f t="shared" ref="FE137:FP137" si="399">-FE48/FE65</f>
        <v>7.6404784048666583</v>
      </c>
      <c r="FF137" s="282">
        <f t="shared" si="399"/>
        <v>8.8739841911800479</v>
      </c>
      <c r="FG137" s="282">
        <f t="shared" si="399"/>
        <v>8.2347642395263385</v>
      </c>
      <c r="FH137" s="590">
        <f t="shared" si="399"/>
        <v>7.3695003640506123</v>
      </c>
      <c r="FI137" s="282">
        <f t="shared" si="399"/>
        <v>9.0305567398416144</v>
      </c>
      <c r="FJ137" s="282">
        <f t="shared" si="399"/>
        <v>10.107697052745856</v>
      </c>
      <c r="FK137" s="282">
        <f t="shared" si="399"/>
        <v>9.5334373735990603</v>
      </c>
      <c r="FL137" s="282">
        <f t="shared" si="399"/>
        <v>11.425637279590596</v>
      </c>
      <c r="FM137" s="282">
        <f t="shared" si="399"/>
        <v>13.76290161836825</v>
      </c>
      <c r="FN137" s="282">
        <f t="shared" si="399"/>
        <v>12.523768712492904</v>
      </c>
      <c r="FO137" s="590">
        <f t="shared" si="399"/>
        <v>10.885270523893459</v>
      </c>
      <c r="FP137" s="282">
        <f t="shared" si="399"/>
        <v>14.646855909714729</v>
      </c>
      <c r="FQ137" s="282">
        <f>IFERROR(-FQ48/FQ65,"n.m")</f>
        <v>18.488300318543697</v>
      </c>
      <c r="FR137" s="282">
        <f>-FR48/FR65</f>
        <v>16.345195646943406</v>
      </c>
      <c r="FS137" s="282">
        <f>IFERROR(-FS48/FS65,"n.m")</f>
        <v>22.307153035303639</v>
      </c>
      <c r="FT137" s="282">
        <f>IFERROR(-FT48/FT65,"n.m")</f>
        <v>30.811907679430426</v>
      </c>
      <c r="FU137" s="282">
        <f>IFERROR(-FU48/FU65,"n.m")</f>
        <v>25.994993359243885</v>
      </c>
      <c r="FV137" s="590">
        <f>-FV48/FV65</f>
        <v>20.253587143705747</v>
      </c>
    </row>
    <row r="138" spans="1:280" outlineLevel="1" x14ac:dyDescent="0.3">
      <c r="B138" s="253" t="s">
        <v>70</v>
      </c>
      <c r="C138" s="280"/>
      <c r="D138" s="281">
        <f t="shared" ref="D138:AI138" si="400">D134/D36</f>
        <v>-0.13990147783251219</v>
      </c>
      <c r="E138" s="281">
        <f t="shared" si="400"/>
        <v>-0.24946921443736733</v>
      </c>
      <c r="F138" s="281">
        <f t="shared" si="400"/>
        <v>-0.11850731215330307</v>
      </c>
      <c r="G138" s="281">
        <f t="shared" si="400"/>
        <v>-0.33913043478260879</v>
      </c>
      <c r="H138" s="281">
        <f t="shared" si="400"/>
        <v>-0.15384615384615427</v>
      </c>
      <c r="I138" s="281">
        <f t="shared" si="400"/>
        <v>-7.6970825574177726E-2</v>
      </c>
      <c r="J138" s="281">
        <f t="shared" si="400"/>
        <v>-3.803680981595102E-2</v>
      </c>
      <c r="K138" s="281">
        <f t="shared" si="400"/>
        <v>-0.35854341736694684</v>
      </c>
      <c r="L138" s="281">
        <f t="shared" si="400"/>
        <v>0.86489151873767256</v>
      </c>
      <c r="M138" s="281">
        <f t="shared" si="400"/>
        <v>0.42062350119904079</v>
      </c>
      <c r="N138" s="281">
        <f t="shared" si="400"/>
        <v>0.29518855656697018</v>
      </c>
      <c r="O138" s="281">
        <f t="shared" si="400"/>
        <v>1.8299643281807374</v>
      </c>
      <c r="P138" s="281">
        <f t="shared" si="400"/>
        <v>0.95590062111801244</v>
      </c>
      <c r="Q138" s="281">
        <f t="shared" si="400"/>
        <v>0.41639610389610399</v>
      </c>
      <c r="R138" s="281">
        <f t="shared" si="400"/>
        <v>0.36513157894736842</v>
      </c>
      <c r="S138" s="281">
        <f t="shared" si="400"/>
        <v>0.99778024417314093</v>
      </c>
      <c r="T138" s="281">
        <f t="shared" si="400"/>
        <v>0.42465753424657537</v>
      </c>
      <c r="U138" s="281">
        <f t="shared" si="400"/>
        <v>3.1732605729877217</v>
      </c>
      <c r="V138" s="281">
        <f t="shared" si="400"/>
        <v>3.9028960817717202</v>
      </c>
      <c r="W138" s="281">
        <f t="shared" si="400"/>
        <v>1.7356060606060602</v>
      </c>
      <c r="X138" s="281">
        <f t="shared" si="400"/>
        <v>0.66656968286296192</v>
      </c>
      <c r="Y138" s="281">
        <f t="shared" si="400"/>
        <v>1.9270440251572329</v>
      </c>
      <c r="Z138" s="281">
        <f t="shared" si="400"/>
        <v>2.4446002805049085</v>
      </c>
      <c r="AA138" s="281">
        <f t="shared" si="400"/>
        <v>1.1558355437665784</v>
      </c>
      <c r="AB138" s="281">
        <f t="shared" si="400"/>
        <v>5.376681614349776</v>
      </c>
      <c r="AC138" s="281">
        <f t="shared" si="400"/>
        <v>8.8275862068965534</v>
      </c>
      <c r="AD138" s="281">
        <f t="shared" si="400"/>
        <v>3.6810457516339881</v>
      </c>
      <c r="AE138" s="281">
        <f t="shared" si="400"/>
        <v>1.2388913330400353</v>
      </c>
      <c r="AF138" s="281">
        <f t="shared" si="400"/>
        <v>2.8972081218274108</v>
      </c>
      <c r="AG138" s="281">
        <f t="shared" si="400"/>
        <v>2.1417525773195871</v>
      </c>
      <c r="AH138" s="281">
        <f t="shared" si="400"/>
        <v>1.0626598465473147</v>
      </c>
      <c r="AI138" s="281">
        <f t="shared" si="400"/>
        <v>2.3624161073825505</v>
      </c>
      <c r="AJ138" s="281">
        <f t="shared" ref="AJ138:BK138" si="401">AJ134/AJ36</f>
        <v>2.4779411764705888</v>
      </c>
      <c r="AK138" s="281">
        <f t="shared" si="401"/>
        <v>1.1824561403508773</v>
      </c>
      <c r="AL138" s="281">
        <f t="shared" si="401"/>
        <v>0.4985207100591717</v>
      </c>
      <c r="AM138" s="281">
        <f t="shared" si="401"/>
        <v>2.1407222914072226</v>
      </c>
      <c r="AN138" s="281">
        <f t="shared" si="401"/>
        <v>2.4159445407279034</v>
      </c>
      <c r="AO138" s="281">
        <f t="shared" si="401"/>
        <v>1.010144927536232</v>
      </c>
      <c r="AP138" s="281">
        <f t="shared" si="401"/>
        <v>1.2537960954446856</v>
      </c>
      <c r="AQ138" s="281">
        <f t="shared" si="401"/>
        <v>0.64331210191082799</v>
      </c>
      <c r="AR138" s="281">
        <f t="shared" si="401"/>
        <v>0.37098255280073461</v>
      </c>
      <c r="AS138" s="281">
        <f t="shared" si="401"/>
        <v>0.1636289995949777</v>
      </c>
      <c r="AT138" s="281">
        <f t="shared" si="401"/>
        <v>0.36849315068493149</v>
      </c>
      <c r="AU138" s="281">
        <f t="shared" si="401"/>
        <v>0.50273972602739725</v>
      </c>
      <c r="AV138" s="281">
        <f t="shared" si="401"/>
        <v>0.25136986301369862</v>
      </c>
      <c r="AW138" s="281">
        <f t="shared" si="401"/>
        <v>-0.47080291970802918</v>
      </c>
      <c r="AX138" s="281">
        <f t="shared" si="401"/>
        <v>-3.9544688026981447</v>
      </c>
      <c r="AY138" s="281">
        <f t="shared" si="401"/>
        <v>-2.05521472392638</v>
      </c>
      <c r="AZ138" s="281">
        <f t="shared" si="401"/>
        <v>-0.90157631680123007</v>
      </c>
      <c r="BA138" s="281">
        <f t="shared" si="401"/>
        <v>-4.0711354309165531</v>
      </c>
      <c r="BB138" s="281">
        <f t="shared" si="401"/>
        <v>-1.155455904334828</v>
      </c>
      <c r="BC138" s="281">
        <f t="shared" si="401"/>
        <v>-0.55214285714285727</v>
      </c>
      <c r="BD138" s="281">
        <f t="shared" si="401"/>
        <v>-3.0673076923076925</v>
      </c>
      <c r="BE138" s="281">
        <f t="shared" si="401"/>
        <v>-3.0617529880478083</v>
      </c>
      <c r="BF138" s="281">
        <f t="shared" si="401"/>
        <v>-1.5039138943248533</v>
      </c>
      <c r="BG138" s="281">
        <f t="shared" si="401"/>
        <v>-0.63459950454170111</v>
      </c>
      <c r="BH138" s="281">
        <f t="shared" si="401"/>
        <v>-2.3896260554885398</v>
      </c>
      <c r="BI138" s="281">
        <f t="shared" si="401"/>
        <v>-1.440273037542662</v>
      </c>
      <c r="BJ138" s="281">
        <f t="shared" si="401"/>
        <v>-0.74121779859484771</v>
      </c>
      <c r="BK138" s="281">
        <f t="shared" si="401"/>
        <v>-2.2951977401129944</v>
      </c>
      <c r="BL138" s="281"/>
      <c r="BM138" s="281">
        <f t="shared" ref="BM138:CR138" si="402">BM134/BM36</f>
        <v>-0.84030683403068351</v>
      </c>
      <c r="BN138" s="320">
        <f t="shared" si="402"/>
        <v>-0.38351368555060467</v>
      </c>
      <c r="BO138" s="320">
        <f t="shared" si="402"/>
        <v>0.1879271070615034</v>
      </c>
      <c r="BP138" s="320">
        <f t="shared" si="402"/>
        <v>3.1140350877192979</v>
      </c>
      <c r="BQ138" s="320">
        <f t="shared" si="402"/>
        <v>1.678046218487395</v>
      </c>
      <c r="BR138" s="320">
        <f t="shared" si="402"/>
        <v>3.8643867924528297</v>
      </c>
      <c r="BS138" s="320">
        <f t="shared" si="402"/>
        <v>3.4513540621865602</v>
      </c>
      <c r="BT138" s="320">
        <f t="shared" si="402"/>
        <v>1.8650406504065042</v>
      </c>
      <c r="BU138" s="320">
        <f t="shared" si="402"/>
        <v>0.91784475860229409</v>
      </c>
      <c r="BV138" s="320">
        <f t="shared" si="402"/>
        <v>2.9507892293407614</v>
      </c>
      <c r="BW138" s="320">
        <f t="shared" si="402"/>
        <v>4.4867256637168138</v>
      </c>
      <c r="BX138" s="320">
        <f t="shared" si="402"/>
        <v>2.2972360670593561</v>
      </c>
      <c r="BY138" s="320">
        <f t="shared" si="402"/>
        <v>4.2191510365251723</v>
      </c>
      <c r="BZ138" s="320">
        <f t="shared" si="402"/>
        <v>4.1265822784810124</v>
      </c>
      <c r="CA138" s="320">
        <f t="shared" si="402"/>
        <v>2.1538461538461542</v>
      </c>
      <c r="CB138" s="251">
        <f t="shared" si="402"/>
        <v>1.0550161812297731</v>
      </c>
      <c r="CC138" s="320">
        <f t="shared" si="402"/>
        <v>3.1725021349274121</v>
      </c>
      <c r="CD138" s="320">
        <f t="shared" si="402"/>
        <v>4.3900316455696196</v>
      </c>
      <c r="CE138" s="320">
        <f t="shared" si="402"/>
        <v>2.2788501026694044</v>
      </c>
      <c r="CF138" s="320">
        <f t="shared" si="402"/>
        <v>4.5338189386056174</v>
      </c>
      <c r="CG138" s="320">
        <f t="shared" si="402"/>
        <v>5.5010224948875264</v>
      </c>
      <c r="CH138" s="320">
        <f t="shared" si="402"/>
        <v>2.7746260959257354</v>
      </c>
      <c r="CI138" s="251">
        <f t="shared" si="402"/>
        <v>1.2299954275262919</v>
      </c>
      <c r="CJ138" s="320">
        <f t="shared" si="402"/>
        <v>3.8785131459655484</v>
      </c>
      <c r="CK138" s="320">
        <f t="shared" si="402"/>
        <v>4.7319182389937104</v>
      </c>
      <c r="CL138" s="320">
        <f t="shared" si="402"/>
        <v>2.534315789473685</v>
      </c>
      <c r="CM138" s="320">
        <f t="shared" si="402"/>
        <v>4.5935162094763093</v>
      </c>
      <c r="CN138" s="320">
        <f t="shared" si="402"/>
        <v>4.7576953433307017</v>
      </c>
      <c r="CO138" s="320">
        <f t="shared" si="402"/>
        <v>2.4404858299595138</v>
      </c>
      <c r="CP138" s="282">
        <f t="shared" si="402"/>
        <v>1.2441692466460268</v>
      </c>
      <c r="CQ138" s="282">
        <f t="shared" si="402"/>
        <v>7.9382440476190466</v>
      </c>
      <c r="CR138" s="282">
        <f t="shared" si="402"/>
        <v>9.1604938271604919</v>
      </c>
      <c r="CS138" s="282">
        <f>CS134/(CS36*2)</f>
        <v>2.3178978316795291</v>
      </c>
      <c r="CT138" s="282">
        <f>CT134/(CT36*4)</f>
        <v>2.4684385382059801</v>
      </c>
      <c r="CU138" s="282">
        <f>CU134/(CU36*4)</f>
        <v>2.4896710022953328</v>
      </c>
      <c r="CV138" s="282">
        <f>CV134/(CV36*2)</f>
        <v>2.5917960971724416</v>
      </c>
      <c r="CW138" s="397">
        <f>CW134/CW36</f>
        <v>2.4877675840978597</v>
      </c>
      <c r="CX138" s="397">
        <f>CX134/(CX36*4)</f>
        <v>1.9392628205128204</v>
      </c>
      <c r="CY138" s="397">
        <f>CY134/(CY36*4)</f>
        <v>2.0070697954271965</v>
      </c>
      <c r="CZ138" s="397">
        <f>CZ134/(CZ36*2)</f>
        <v>2.0706083178150219</v>
      </c>
      <c r="DA138" s="282">
        <f>DA134/(DA36*4)</f>
        <v>2.2976710334788937</v>
      </c>
      <c r="DB138" s="282">
        <f>DB134/(DB36*4)</f>
        <v>1.9774509803921569</v>
      </c>
      <c r="DC138" s="282">
        <f>DC134/(DC36*2)</f>
        <v>2.0836776859504127</v>
      </c>
      <c r="DD138" s="579">
        <f>DD134/DD36</f>
        <v>1.9755142017629772</v>
      </c>
      <c r="DE138" s="453">
        <f>DE134/(DE36*4)</f>
        <v>1.6601537475976937</v>
      </c>
      <c r="DF138" s="453">
        <f>DF134/(DF36*4)</f>
        <v>1.107948717948718</v>
      </c>
      <c r="DG138" s="397">
        <f>DG134/(DG36*2)</f>
        <v>1.2307035032754199</v>
      </c>
      <c r="DH138" s="282">
        <f>DH134/(DH36*4)</f>
        <v>0.83717186726102044</v>
      </c>
      <c r="DI138" s="282">
        <f>DI134/(DI36*4)</f>
        <v>0.77026066350710898</v>
      </c>
      <c r="DJ138" s="282">
        <f>DJ134/(DJ36*2)</f>
        <v>0.78723661903608633</v>
      </c>
      <c r="DK138" s="579">
        <f>DK134/DK36</f>
        <v>0.850916230366492</v>
      </c>
      <c r="DL138" s="454">
        <f>DL134/(DL36*4)</f>
        <v>0.92016902695294633</v>
      </c>
      <c r="DM138" s="453">
        <f>DM134/(DM36*4)</f>
        <v>0.73585097719869719</v>
      </c>
      <c r="DN138" s="397">
        <f>DN134/(DN36*2)</f>
        <v>0.77814854682454249</v>
      </c>
      <c r="DO138" s="453">
        <f>DO134/(DO36*4)</f>
        <v>0.77588666938442719</v>
      </c>
      <c r="DP138" s="282">
        <f>DP134/(DP36*4)</f>
        <v>0.70282137518684595</v>
      </c>
      <c r="DQ138" s="282">
        <f>DQ134/(DQ36*2)</f>
        <v>0.73337882628192608</v>
      </c>
      <c r="DR138" s="579">
        <f>DR134/DR36</f>
        <v>0.7696951094741149</v>
      </c>
      <c r="DS138" s="453">
        <f>DS134/(DS36*4)</f>
        <v>0.72529128163921242</v>
      </c>
      <c r="DT138" s="453">
        <f>DT134/(DT36*4)</f>
        <v>0.80725775564917646</v>
      </c>
      <c r="DU138" s="453">
        <f>DU134/(DU36*2)</f>
        <v>0.82656862745098025</v>
      </c>
      <c r="DV138" s="453">
        <f>DV134/(DV36*4)</f>
        <v>1.050861656294878</v>
      </c>
      <c r="DW138" s="282">
        <f>DW134/(DW36*4)</f>
        <v>1.0128479657387581</v>
      </c>
      <c r="DX138" s="282">
        <f>DX134/(DX36*2)</f>
        <v>1.0691681735985534</v>
      </c>
      <c r="DY138" s="579">
        <f>DY134/DY36</f>
        <v>0.99328013439731211</v>
      </c>
      <c r="DZ138" s="453">
        <f>DZ134/(DZ36*4)</f>
        <v>0.75403515064562388</v>
      </c>
      <c r="EA138" s="453">
        <f>EA134/(EA36*4)</f>
        <v>0.70271453590192656</v>
      </c>
      <c r="EB138" s="453">
        <f>EB134/(EB36*2)</f>
        <v>0.71105794790005317</v>
      </c>
      <c r="EC138" s="453">
        <f>EC134/(EC36*4)</f>
        <v>0.62571326676176875</v>
      </c>
      <c r="ED138" s="282">
        <f>ED134/(ED36*4)</f>
        <v>0.67546362339514954</v>
      </c>
      <c r="EE138" s="282">
        <f>EE134/(EE36*2)</f>
        <v>0.67546362339514965</v>
      </c>
      <c r="EF138" s="579">
        <f>EF134/EF36</f>
        <v>0.67336236778952963</v>
      </c>
      <c r="EG138" s="453">
        <f>EG134/(EG36*4)</f>
        <v>0.66409537166900423</v>
      </c>
      <c r="EH138" s="453">
        <f>EH134/(EH36*4)</f>
        <v>0.72955496386458729</v>
      </c>
      <c r="EI138" s="453">
        <f>EI134/(EI36*2)</f>
        <v>0.69987228607918239</v>
      </c>
      <c r="EJ138" s="453">
        <f>EJ134/(EJ36*4)</f>
        <v>0.53853491033956502</v>
      </c>
      <c r="EK138" s="282">
        <f>EK134/(EK36*4)</f>
        <v>0.51708766716196131</v>
      </c>
      <c r="EL138" s="282">
        <f>EL134/(EL36*2)</f>
        <v>0.52399774138904576</v>
      </c>
      <c r="EM138" s="579">
        <f>EM134/EM36</f>
        <v>0.51584213451917726</v>
      </c>
      <c r="EN138" s="453">
        <f>EN134/(EN36*4)</f>
        <v>2.3650776053215079</v>
      </c>
      <c r="EO138" s="453">
        <f>EO134/(EO36*4)</f>
        <v>3.375796661608498</v>
      </c>
      <c r="EP138" s="453">
        <f>EP134/(EP36*2)</f>
        <v>4.0083783783783788</v>
      </c>
      <c r="EQ138" s="454">
        <f>EQ134/(EQ36*4)</f>
        <v>3.2318126705062147</v>
      </c>
      <c r="ER138" s="540">
        <f>ER134/(ER36*4)</f>
        <v>2.7631299719539761</v>
      </c>
      <c r="ES138" s="540">
        <f>ES134/(ES36*2)</f>
        <v>2.8832818928619863</v>
      </c>
      <c r="ET138" s="608">
        <f>ET134/ET36</f>
        <v>3.3290816502731571</v>
      </c>
      <c r="EU138" s="540">
        <f>EU134/(EU36*4)</f>
        <v>2.624738253704006</v>
      </c>
      <c r="EV138" s="540">
        <f>EV134/(EV36*4)</f>
        <v>2.4970968961297921</v>
      </c>
      <c r="EW138" s="540">
        <f>EW134/(EW36*2)</f>
        <v>2.5320205280450629</v>
      </c>
      <c r="EX138" s="540">
        <f>EX134/(EX36*4)</f>
        <v>2.3567642109306397</v>
      </c>
      <c r="EY138" s="540">
        <f>EY134/(EY36*4)</f>
        <v>2.1123486722755724</v>
      </c>
      <c r="EZ138" s="540">
        <f>EZ134/(EZ36*2)</f>
        <v>2.2085360517548298</v>
      </c>
      <c r="FA138" s="608">
        <f>FA134/FA36</f>
        <v>2.2894418950909414</v>
      </c>
      <c r="FB138" s="540">
        <f>FB134/(FB36*4)</f>
        <v>1.9897323397636633</v>
      </c>
      <c r="FC138" s="540">
        <f>FC134/(FC36*4)</f>
        <v>1.8371705937161804</v>
      </c>
      <c r="FD138" s="540">
        <f>FD134/(FD36*2)</f>
        <v>1.8755252598085124</v>
      </c>
      <c r="FE138" s="540">
        <f>FE134/(FE36*4)</f>
        <v>1.6475122775620528</v>
      </c>
      <c r="FF138" s="540">
        <f>FF134/(FF36*4)</f>
        <v>1.5007547004528332</v>
      </c>
      <c r="FG138" s="540">
        <f>FG134/(FG36*2)</f>
        <v>1.5429323754378212</v>
      </c>
      <c r="FH138" s="608">
        <f>FH134/FH36</f>
        <v>1.6074415375069424</v>
      </c>
      <c r="FI138" s="540">
        <f>FI134/(FI36*4)</f>
        <v>1.3459812706726451</v>
      </c>
      <c r="FJ138" s="540">
        <f>FJ134/(FJ36*4)</f>
        <v>1.2337649133881079</v>
      </c>
      <c r="FK138" s="540">
        <f>FK134/(FK36*2)</f>
        <v>1.2461231995297033</v>
      </c>
      <c r="FL138" s="540">
        <f>FL134/(FL36*4)</f>
        <v>1.0551743049986333</v>
      </c>
      <c r="FM138" s="540">
        <f>FM134/(FM36*4)</f>
        <v>0.93601359472772927</v>
      </c>
      <c r="FN138" s="540">
        <f>FN134/(FN36*2)</f>
        <v>0.95848425294168971</v>
      </c>
      <c r="FO138" s="608">
        <f>FO134/FO36</f>
        <v>0.99019527746419933</v>
      </c>
      <c r="FP138" s="540">
        <f>FP134/(FP36*4)</f>
        <v>0.74864147312159446</v>
      </c>
      <c r="FQ138" s="540">
        <f>FQ134/(FQ36*4)</f>
        <v>0.62714023990815138</v>
      </c>
      <c r="FR138" s="540">
        <f>FR134/(FR36*2)</f>
        <v>0.63770633633807372</v>
      </c>
      <c r="FS138" s="540">
        <f>FS134/(FS36*4)</f>
        <v>0.45894261623865229</v>
      </c>
      <c r="FT138" s="540">
        <f>FT134/(FT36*4)</f>
        <v>0.35895506231836305</v>
      </c>
      <c r="FU138" s="540">
        <f>FU134/(FU36*2)</f>
        <v>0.36638530330191599</v>
      </c>
      <c r="FV138" s="608">
        <f>FV134/FV36</f>
        <v>0.37869707605970832</v>
      </c>
    </row>
    <row r="139" spans="1:280" outlineLevel="1" x14ac:dyDescent="0.3">
      <c r="C139" s="280"/>
      <c r="BN139" s="320"/>
      <c r="BO139" s="320"/>
      <c r="BP139" s="320"/>
      <c r="BQ139" s="320"/>
      <c r="BR139" s="320"/>
      <c r="BS139" s="320"/>
      <c r="BT139" s="320"/>
      <c r="BU139" s="320"/>
      <c r="BV139" s="320"/>
      <c r="BW139" s="320"/>
      <c r="BX139" s="320"/>
      <c r="BY139" s="320"/>
      <c r="BZ139" s="320"/>
      <c r="CA139" s="320"/>
      <c r="CB139" s="320"/>
      <c r="CC139" s="320"/>
      <c r="CD139" s="320"/>
      <c r="CE139" s="320"/>
      <c r="CF139" s="320"/>
      <c r="CG139" s="320"/>
      <c r="CH139" s="320"/>
      <c r="CI139" s="320"/>
      <c r="CJ139" s="320"/>
      <c r="CK139" s="320"/>
      <c r="CL139" s="320"/>
      <c r="CM139" s="320"/>
      <c r="CN139" s="320"/>
      <c r="CO139" s="320"/>
      <c r="CP139" s="282"/>
      <c r="CQ139" s="282"/>
      <c r="CR139" s="282"/>
      <c r="CS139" s="282"/>
      <c r="CT139" s="282"/>
      <c r="CU139" s="282"/>
      <c r="CV139" s="282"/>
      <c r="CW139" s="397"/>
      <c r="CX139" s="397"/>
      <c r="CY139" s="397"/>
      <c r="CZ139" s="397"/>
      <c r="DA139" s="282"/>
      <c r="DB139" s="282"/>
      <c r="DC139" s="282"/>
      <c r="DD139" s="579"/>
      <c r="DE139" s="453"/>
      <c r="DF139" s="453"/>
      <c r="DG139" s="397"/>
      <c r="DH139" s="282"/>
      <c r="DI139" s="282"/>
      <c r="DJ139" s="282"/>
      <c r="DK139" s="579"/>
      <c r="DL139" s="454"/>
      <c r="DM139" s="453"/>
      <c r="DN139" s="397"/>
      <c r="DO139" s="453"/>
      <c r="DP139" s="282"/>
      <c r="DQ139" s="282"/>
      <c r="DR139" s="579"/>
      <c r="DS139" s="453"/>
      <c r="DT139" s="453"/>
      <c r="DU139" s="453"/>
      <c r="DV139" s="453"/>
      <c r="DW139" s="282"/>
      <c r="DX139" s="282"/>
      <c r="DY139" s="579"/>
      <c r="DZ139" s="453"/>
      <c r="EA139" s="453"/>
      <c r="EB139" s="453"/>
      <c r="EC139" s="453"/>
      <c r="ED139" s="282"/>
      <c r="EE139" s="282"/>
      <c r="EF139" s="579"/>
      <c r="EG139" s="453"/>
      <c r="EH139" s="453"/>
      <c r="EI139" s="453"/>
      <c r="EJ139" s="453"/>
      <c r="EK139" s="282"/>
      <c r="EL139" s="282"/>
      <c r="EM139" s="579"/>
      <c r="EN139" s="453"/>
      <c r="EO139" s="453"/>
      <c r="EP139" s="453"/>
      <c r="EQ139" s="454"/>
      <c r="ER139" s="282"/>
      <c r="ES139" s="282"/>
      <c r="ET139" s="590"/>
      <c r="EU139" s="282"/>
      <c r="EV139" s="282"/>
      <c r="EW139" s="282"/>
      <c r="EX139" s="282"/>
      <c r="EY139" s="282"/>
      <c r="EZ139" s="282"/>
      <c r="FA139" s="590"/>
      <c r="FB139" s="282"/>
      <c r="FC139" s="282"/>
      <c r="FD139" s="282"/>
      <c r="FE139" s="282"/>
      <c r="FF139" s="282"/>
      <c r="FG139" s="282"/>
      <c r="FH139" s="590"/>
      <c r="FI139" s="282"/>
      <c r="FJ139" s="282"/>
      <c r="FK139" s="282"/>
      <c r="FL139" s="282"/>
      <c r="FM139" s="282"/>
      <c r="FN139" s="282"/>
      <c r="FO139" s="590"/>
      <c r="FP139" s="282"/>
      <c r="FQ139" s="282"/>
      <c r="FR139" s="282"/>
      <c r="FS139" s="282"/>
      <c r="FT139" s="282"/>
      <c r="FU139" s="282"/>
      <c r="FV139" s="590"/>
    </row>
    <row r="140" spans="1:280" outlineLevel="1" x14ac:dyDescent="0.3">
      <c r="B140" s="396" t="s">
        <v>492</v>
      </c>
      <c r="C140" s="280"/>
      <c r="BN140" s="320"/>
      <c r="BO140" s="320"/>
      <c r="BP140" s="320"/>
      <c r="BQ140" s="320"/>
      <c r="BR140" s="320"/>
      <c r="BS140" s="320"/>
      <c r="BT140" s="320"/>
      <c r="BU140" s="320"/>
      <c r="BV140" s="320"/>
      <c r="BW140" s="320"/>
      <c r="BX140" s="320"/>
      <c r="BY140" s="320"/>
      <c r="BZ140" s="320"/>
      <c r="CA140" s="320"/>
      <c r="CB140" s="320"/>
      <c r="CC140" s="320"/>
      <c r="CD140" s="320"/>
      <c r="CE140" s="320"/>
      <c r="CF140" s="320"/>
      <c r="CG140" s="320"/>
      <c r="CH140" s="320"/>
      <c r="CI140" s="320"/>
      <c r="CJ140" s="320"/>
      <c r="CK140" s="320"/>
      <c r="CL140" s="320"/>
      <c r="CM140" s="320"/>
      <c r="CN140" s="320"/>
      <c r="CO140" s="320"/>
      <c r="CP140" s="282"/>
      <c r="CQ140" s="282"/>
      <c r="CR140" s="282"/>
      <c r="CS140" s="282"/>
      <c r="CT140" s="282"/>
      <c r="CU140" s="282"/>
      <c r="CV140" s="282"/>
      <c r="CW140" s="282"/>
      <c r="CX140" s="282"/>
      <c r="CY140" s="282"/>
      <c r="CZ140" s="282"/>
      <c r="DA140" s="282"/>
      <c r="DB140" s="282"/>
      <c r="DC140" s="282"/>
      <c r="DD140" s="590"/>
      <c r="DE140" s="282"/>
      <c r="DF140" s="282"/>
      <c r="DG140" s="282"/>
      <c r="DH140" s="282"/>
      <c r="DI140" s="282"/>
      <c r="DJ140" s="282"/>
      <c r="DK140" s="590"/>
      <c r="DL140" s="284"/>
      <c r="DM140" s="282"/>
      <c r="DN140" s="282"/>
      <c r="DO140" s="282"/>
      <c r="DP140" s="282"/>
      <c r="DQ140" s="282"/>
      <c r="DR140" s="590"/>
      <c r="DS140" s="282"/>
      <c r="DT140" s="282"/>
      <c r="DU140" s="282"/>
      <c r="DV140" s="282"/>
      <c r="DW140" s="282"/>
      <c r="DX140" s="282"/>
      <c r="DY140" s="590"/>
      <c r="DZ140" s="282"/>
      <c r="EA140" s="282"/>
      <c r="EB140" s="282"/>
      <c r="EC140" s="282"/>
      <c r="ED140" s="282"/>
      <c r="EE140" s="282"/>
      <c r="EF140" s="590"/>
      <c r="EG140" s="282"/>
      <c r="EH140" s="282"/>
      <c r="EI140" s="282"/>
      <c r="EJ140" s="282"/>
      <c r="EK140" s="282"/>
      <c r="EL140" s="282"/>
      <c r="EM140" s="590"/>
      <c r="EN140" s="282"/>
      <c r="EO140" s="282"/>
      <c r="EP140" s="282"/>
      <c r="EQ140" s="284"/>
      <c r="ER140" s="282"/>
      <c r="ES140" s="282"/>
      <c r="ET140" s="590"/>
      <c r="EU140" s="282"/>
      <c r="EV140" s="282"/>
      <c r="EW140" s="282"/>
      <c r="EX140" s="282"/>
      <c r="EY140" s="282"/>
      <c r="EZ140" s="282"/>
      <c r="FA140" s="590"/>
      <c r="FB140" s="282"/>
      <c r="FC140" s="282"/>
      <c r="FD140" s="282"/>
      <c r="FE140" s="282"/>
      <c r="FF140" s="282"/>
      <c r="FG140" s="282"/>
      <c r="FH140" s="590"/>
      <c r="FI140" s="282"/>
      <c r="FJ140" s="282"/>
      <c r="FK140" s="282"/>
      <c r="FL140" s="282"/>
      <c r="FM140" s="282"/>
      <c r="FN140" s="282"/>
      <c r="FO140" s="590"/>
      <c r="FP140" s="282"/>
      <c r="FQ140" s="282"/>
      <c r="FR140" s="282"/>
      <c r="FS140" s="282"/>
      <c r="FT140" s="282"/>
      <c r="FU140" s="282"/>
      <c r="FV140" s="590"/>
    </row>
    <row r="141" spans="1:280" outlineLevel="1" x14ac:dyDescent="0.3">
      <c r="B141" s="253" t="s">
        <v>493</v>
      </c>
      <c r="C141" s="280" t="s">
        <v>226</v>
      </c>
      <c r="E141" s="281"/>
      <c r="F141" s="281"/>
      <c r="G141" s="281"/>
      <c r="H141" s="281"/>
      <c r="K141" s="281">
        <f>J141</f>
        <v>0</v>
      </c>
      <c r="L141" s="281">
        <f>K142</f>
        <v>137</v>
      </c>
      <c r="M141" s="250">
        <f>J141</f>
        <v>0</v>
      </c>
      <c r="N141" s="281">
        <f>M142</f>
        <v>135</v>
      </c>
      <c r="O141" s="281">
        <f>N142</f>
        <v>88</v>
      </c>
      <c r="P141" s="281">
        <f>M142</f>
        <v>135</v>
      </c>
      <c r="Q141" s="281">
        <f>J142</f>
        <v>302.7</v>
      </c>
      <c r="R141" s="281">
        <f>Q141</f>
        <v>302.7</v>
      </c>
      <c r="S141" s="281">
        <f>R142</f>
        <v>125</v>
      </c>
      <c r="T141" s="250">
        <f>Q141</f>
        <v>302.7</v>
      </c>
      <c r="U141" s="281">
        <f>T142</f>
        <v>123</v>
      </c>
      <c r="V141" s="281">
        <f>U142</f>
        <v>302.5</v>
      </c>
      <c r="W141" s="281">
        <f>T142</f>
        <v>123</v>
      </c>
      <c r="X141" s="281">
        <f>Q142</f>
        <v>188</v>
      </c>
      <c r="Y141" s="281">
        <f>X141</f>
        <v>188</v>
      </c>
      <c r="Z141" s="281">
        <f>Y142</f>
        <v>324.5</v>
      </c>
      <c r="AA141" s="250">
        <f>X141</f>
        <v>188</v>
      </c>
      <c r="AB141" s="281">
        <f>AA142</f>
        <v>266.2</v>
      </c>
      <c r="AC141" s="281">
        <f>AB142</f>
        <v>298.2</v>
      </c>
      <c r="AD141" s="281">
        <f>AA142</f>
        <v>266.2</v>
      </c>
      <c r="AE141" s="281">
        <f>X142</f>
        <v>264.5</v>
      </c>
      <c r="AF141" s="281">
        <f>AE141</f>
        <v>264.5</v>
      </c>
      <c r="AG141" s="281">
        <f>AF142</f>
        <v>271</v>
      </c>
      <c r="AH141" s="250">
        <f>AE141</f>
        <v>264.5</v>
      </c>
      <c r="AI141" s="281">
        <f>AH142</f>
        <v>212</v>
      </c>
      <c r="AJ141" s="281">
        <f>AI142</f>
        <v>192</v>
      </c>
      <c r="AK141" s="281">
        <f>AH142</f>
        <v>212</v>
      </c>
      <c r="AL141" s="281">
        <f>AE142</f>
        <v>324</v>
      </c>
      <c r="AM141" s="281">
        <f>AL141</f>
        <v>324</v>
      </c>
      <c r="AN141" s="281">
        <f>AM142</f>
        <v>215</v>
      </c>
      <c r="AO141" s="250">
        <f>AL141</f>
        <v>324</v>
      </c>
      <c r="AP141" s="281">
        <f>AO142</f>
        <v>157</v>
      </c>
      <c r="AQ141" s="281">
        <f>AP142</f>
        <v>82</v>
      </c>
      <c r="AR141" s="281">
        <f>AO142</f>
        <v>157</v>
      </c>
      <c r="AS141" s="281">
        <f>AL142</f>
        <v>154</v>
      </c>
      <c r="AT141" s="281">
        <f>AS141</f>
        <v>154</v>
      </c>
      <c r="AU141" s="281">
        <f>AT142</f>
        <v>103</v>
      </c>
      <c r="AV141" s="250">
        <f>AS141</f>
        <v>154</v>
      </c>
      <c r="AW141" s="281">
        <f>AV142</f>
        <v>60</v>
      </c>
      <c r="AX141" s="281">
        <f>AW142</f>
        <v>13</v>
      </c>
      <c r="AY141" s="281">
        <f>AV142</f>
        <v>60</v>
      </c>
      <c r="AZ141" s="281">
        <f>AS142</f>
        <v>59</v>
      </c>
      <c r="BA141" s="281">
        <f>AZ141</f>
        <v>59</v>
      </c>
      <c r="BB141" s="281">
        <f>BA142</f>
        <v>0</v>
      </c>
      <c r="BC141" s="281">
        <f>AZ141</f>
        <v>59</v>
      </c>
      <c r="BD141" s="281">
        <f>BC142</f>
        <v>0</v>
      </c>
      <c r="BE141" s="281">
        <f>BD142</f>
        <v>0</v>
      </c>
      <c r="BF141" s="281">
        <f>BC142</f>
        <v>0</v>
      </c>
      <c r="BG141" s="281">
        <f>AZ142</f>
        <v>30.9</v>
      </c>
      <c r="BH141" s="281">
        <f>BG141</f>
        <v>30.9</v>
      </c>
      <c r="BI141" s="281">
        <f>BH142</f>
        <v>0</v>
      </c>
      <c r="BJ141" s="250">
        <f>BG141</f>
        <v>30.9</v>
      </c>
      <c r="BK141" s="281">
        <f>BJ142</f>
        <v>0</v>
      </c>
      <c r="BL141" s="281">
        <f>BK142</f>
        <v>22.7</v>
      </c>
      <c r="BM141" s="281">
        <f>BJ142</f>
        <v>0</v>
      </c>
      <c r="BN141" s="320">
        <f>BG142</f>
        <v>0</v>
      </c>
      <c r="BO141" s="320">
        <f>BN141</f>
        <v>0</v>
      </c>
      <c r="BP141" s="320">
        <f>BO142</f>
        <v>48.6</v>
      </c>
      <c r="BQ141" s="320">
        <f>BN141</f>
        <v>0</v>
      </c>
      <c r="BR141" s="320">
        <f>BQ142</f>
        <v>380</v>
      </c>
      <c r="BS141" s="320">
        <f>BR142</f>
        <v>390</v>
      </c>
      <c r="BT141" s="320">
        <f>BQ142</f>
        <v>380</v>
      </c>
      <c r="BU141" s="320">
        <f>BN142</f>
        <v>47</v>
      </c>
      <c r="BV141" s="320">
        <f>BU141</f>
        <v>47</v>
      </c>
      <c r="BW141" s="320">
        <f>BV142</f>
        <v>410.1</v>
      </c>
      <c r="BX141" s="320">
        <f>BU141</f>
        <v>47</v>
      </c>
      <c r="BY141" s="320">
        <f>BX142</f>
        <v>590.6</v>
      </c>
      <c r="BZ141" s="320">
        <f>BY142</f>
        <v>521.9</v>
      </c>
      <c r="CA141" s="320">
        <f>BX142</f>
        <v>590.6</v>
      </c>
      <c r="CB141" s="320">
        <f>BU142</f>
        <v>411.1</v>
      </c>
      <c r="CC141" s="320">
        <f>CB141</f>
        <v>411.1</v>
      </c>
      <c r="CD141" s="320">
        <f>CC142</f>
        <v>466.29999999999995</v>
      </c>
      <c r="CE141" s="320">
        <f>CB141</f>
        <v>411.1</v>
      </c>
      <c r="CF141" s="320">
        <f>CE142</f>
        <v>639.6</v>
      </c>
      <c r="CG141" s="320">
        <f>CF142</f>
        <v>523.79999999999995</v>
      </c>
      <c r="CH141" s="320">
        <f>CE142</f>
        <v>639.6</v>
      </c>
      <c r="CI141" s="320">
        <f>CB142</f>
        <v>563.5</v>
      </c>
      <c r="CJ141" s="320">
        <f>CI141</f>
        <v>563.5</v>
      </c>
      <c r="CK141" s="320">
        <f>CJ142</f>
        <v>540.1</v>
      </c>
      <c r="CL141" s="320">
        <f>CI141</f>
        <v>563.5</v>
      </c>
      <c r="CM141" s="320">
        <f>CL142</f>
        <v>680.7</v>
      </c>
      <c r="CN141" s="320">
        <f>CM142</f>
        <v>783.9</v>
      </c>
      <c r="CO141" s="320">
        <f>CL142</f>
        <v>680.7</v>
      </c>
      <c r="CP141" s="282">
        <f>CI142</f>
        <v>616.9</v>
      </c>
      <c r="CQ141" s="282">
        <f>CP141</f>
        <v>616.9</v>
      </c>
      <c r="CR141" s="282">
        <f>CQ142</f>
        <v>1249.5999999999999</v>
      </c>
      <c r="CS141" s="282">
        <f>CP141</f>
        <v>616.9</v>
      </c>
      <c r="CT141" s="282">
        <f>CS142</f>
        <v>1370.3</v>
      </c>
      <c r="CU141" s="282">
        <f>CT142</f>
        <v>1307.3</v>
      </c>
      <c r="CV141" s="282">
        <f>CS142</f>
        <v>1370.3</v>
      </c>
      <c r="CW141" s="282">
        <f>CP142</f>
        <v>884.4</v>
      </c>
      <c r="CX141" s="282">
        <f>CW141</f>
        <v>884.4</v>
      </c>
      <c r="CY141" s="282">
        <f>CX142</f>
        <v>1306.2</v>
      </c>
      <c r="CZ141" s="282">
        <f>CW141</f>
        <v>884.4</v>
      </c>
      <c r="DA141" s="282">
        <f>CZ141</f>
        <v>884.4</v>
      </c>
      <c r="DB141" s="282">
        <f>DA142</f>
        <v>1411.7</v>
      </c>
      <c r="DC141" s="282">
        <f>CZ142</f>
        <v>1429.9</v>
      </c>
      <c r="DD141" s="590">
        <f>CW142</f>
        <v>1380.3</v>
      </c>
      <c r="DE141" s="282">
        <f>DD141</f>
        <v>1380.3</v>
      </c>
      <c r="DF141" s="282">
        <f>DE141</f>
        <v>1380.3</v>
      </c>
      <c r="DG141" s="282">
        <f>DD141</f>
        <v>1380.3</v>
      </c>
      <c r="DH141" s="282">
        <f>DG141</f>
        <v>1380.3</v>
      </c>
      <c r="DI141" s="282">
        <f>DH142</f>
        <v>1277.9000000000001</v>
      </c>
      <c r="DJ141" s="282">
        <f>DG142</f>
        <v>1254.8</v>
      </c>
      <c r="DK141" s="590">
        <f>DD142</f>
        <v>1354.6</v>
      </c>
      <c r="DL141" s="284">
        <f>DK141</f>
        <v>1354.6</v>
      </c>
      <c r="DM141" s="282">
        <f>DL141</f>
        <v>1354.6</v>
      </c>
      <c r="DN141" s="282">
        <f>DK141</f>
        <v>1354.6</v>
      </c>
      <c r="DO141" s="282">
        <f>DN141</f>
        <v>1354.6</v>
      </c>
      <c r="DP141" s="282">
        <f>DO142</f>
        <v>892.8</v>
      </c>
      <c r="DQ141" s="282">
        <f>DN142</f>
        <v>855.7</v>
      </c>
      <c r="DR141" s="590">
        <f>DK142</f>
        <v>858.6</v>
      </c>
      <c r="DS141" s="282">
        <f>DR141</f>
        <v>858.6</v>
      </c>
      <c r="DT141" s="282">
        <f>DS141</f>
        <v>858.6</v>
      </c>
      <c r="DU141" s="282">
        <f>DR141</f>
        <v>858.6</v>
      </c>
      <c r="DV141" s="282">
        <f>DU141</f>
        <v>858.6</v>
      </c>
      <c r="DW141" s="282">
        <f>DV142</f>
        <v>988.1</v>
      </c>
      <c r="DX141" s="282">
        <f>DU142</f>
        <v>933.8</v>
      </c>
      <c r="DY141" s="590">
        <f>DR142</f>
        <v>877.3</v>
      </c>
      <c r="DZ141" s="282">
        <f>DY141</f>
        <v>877.3</v>
      </c>
      <c r="EA141" s="282">
        <f>DZ141</f>
        <v>877.3</v>
      </c>
      <c r="EB141" s="282">
        <f>DY141</f>
        <v>877.3</v>
      </c>
      <c r="EC141" s="282">
        <f>EB141</f>
        <v>877.3</v>
      </c>
      <c r="ED141" s="282">
        <f>EC142</f>
        <v>1135.5999999999999</v>
      </c>
      <c r="EE141" s="282">
        <f>EB142</f>
        <v>956.8</v>
      </c>
      <c r="EF141" s="590">
        <f>DY142</f>
        <v>1059</v>
      </c>
      <c r="EG141" s="282">
        <f>EF141</f>
        <v>1059</v>
      </c>
      <c r="EH141" s="282">
        <f>EG141</f>
        <v>1059</v>
      </c>
      <c r="EI141" s="282">
        <f>EF141</f>
        <v>1059</v>
      </c>
      <c r="EJ141" s="282">
        <f>EI141</f>
        <v>1059</v>
      </c>
      <c r="EK141" s="282">
        <f>EJ142</f>
        <v>1103.7</v>
      </c>
      <c r="EL141" s="282">
        <f>EI142</f>
        <v>1135.3</v>
      </c>
      <c r="EM141" s="590">
        <f>EF142</f>
        <v>1122.5999999999999</v>
      </c>
      <c r="EN141" s="282">
        <f>EM141</f>
        <v>1122.5999999999999</v>
      </c>
      <c r="EO141" s="282">
        <f>EN141</f>
        <v>1122.5999999999999</v>
      </c>
      <c r="EP141" s="282">
        <f>EM141</f>
        <v>1122.5999999999999</v>
      </c>
      <c r="EQ141" s="284">
        <f>EP141</f>
        <v>1122.5999999999999</v>
      </c>
      <c r="ER141" s="282">
        <f>EQ142</f>
        <v>4608.9000000000005</v>
      </c>
      <c r="ES141" s="282">
        <f>EP142</f>
        <v>5016</v>
      </c>
      <c r="ET141" s="590">
        <f>EM142</f>
        <v>1119.5</v>
      </c>
      <c r="EU141" s="282">
        <f>ET141</f>
        <v>1119.5</v>
      </c>
      <c r="EV141" s="282">
        <f>EU142</f>
        <v>4261.440435304833</v>
      </c>
      <c r="EW141" s="282">
        <f>ET141</f>
        <v>1119.5</v>
      </c>
      <c r="EX141" s="282">
        <f>EW142</f>
        <v>4176.6653234241521</v>
      </c>
      <c r="EY141" s="282">
        <f>EX142</f>
        <v>4007.9032581994438</v>
      </c>
      <c r="EZ141" s="282">
        <f>EW142</f>
        <v>4176.6653234241521</v>
      </c>
      <c r="FA141" s="590">
        <f>ET142</f>
        <v>4508.444245647097</v>
      </c>
      <c r="FB141" s="282">
        <f>FA141</f>
        <v>4508.444245647097</v>
      </c>
      <c r="FC141" s="282">
        <f>FB142</f>
        <v>3644.8748080240566</v>
      </c>
      <c r="FD141" s="282">
        <f>FA141</f>
        <v>4508.444245647097</v>
      </c>
      <c r="FE141" s="282">
        <f>FD142</f>
        <v>3521.7599895838953</v>
      </c>
      <c r="FF141" s="282">
        <f>FE142</f>
        <v>3293.7486947313905</v>
      </c>
      <c r="FG141" s="282">
        <f>FD142</f>
        <v>3521.7599895838953</v>
      </c>
      <c r="FH141" s="590">
        <f>FA142</f>
        <v>3941.2707719910559</v>
      </c>
      <c r="FI141" s="282">
        <f>FH141</f>
        <v>3941.2707719910559</v>
      </c>
      <c r="FJ141" s="282">
        <f>FI142</f>
        <v>2825.0962812249813</v>
      </c>
      <c r="FK141" s="282">
        <f>FH141</f>
        <v>3941.2707719910559</v>
      </c>
      <c r="FL141" s="282">
        <f>FK142</f>
        <v>2664.2786955525039</v>
      </c>
      <c r="FM141" s="282">
        <f>FL142</f>
        <v>2392.8139226758576</v>
      </c>
      <c r="FN141" s="282">
        <f>FK142</f>
        <v>2664.2786955525039</v>
      </c>
      <c r="FO141" s="590">
        <f>FH142</f>
        <v>3186.3968014750021</v>
      </c>
      <c r="FP141" s="282">
        <f>FO141</f>
        <v>3186.3968014750021</v>
      </c>
      <c r="FQ141" s="282">
        <f>FP142</f>
        <v>1841.7115683811567</v>
      </c>
      <c r="FR141" s="282">
        <f>FO141</f>
        <v>3186.3968014750021</v>
      </c>
      <c r="FS141" s="282">
        <f>FR142</f>
        <v>1641.6672228452776</v>
      </c>
      <c r="FT141" s="282">
        <f>FS142</f>
        <v>1322.2216176024606</v>
      </c>
      <c r="FU141" s="282">
        <f>FR142</f>
        <v>1641.6672228452776</v>
      </c>
      <c r="FV141" s="590">
        <f>FO142</f>
        <v>2250.8636530367039</v>
      </c>
    </row>
    <row r="142" spans="1:280" outlineLevel="1" x14ac:dyDescent="0.3">
      <c r="B142" s="253" t="s">
        <v>494</v>
      </c>
      <c r="C142" s="280" t="s">
        <v>226</v>
      </c>
      <c r="D142" s="281"/>
      <c r="E142" s="281"/>
      <c r="F142" s="281"/>
      <c r="G142" s="281"/>
      <c r="J142" s="281">
        <f t="shared" ref="J142:AP142" si="403">J132</f>
        <v>302.7</v>
      </c>
      <c r="K142" s="281">
        <f t="shared" si="403"/>
        <v>137</v>
      </c>
      <c r="L142" s="281">
        <f t="shared" si="403"/>
        <v>135</v>
      </c>
      <c r="M142" s="281">
        <f t="shared" si="403"/>
        <v>135</v>
      </c>
      <c r="N142" s="281">
        <f t="shared" si="403"/>
        <v>88</v>
      </c>
      <c r="O142" s="281">
        <f t="shared" si="403"/>
        <v>188</v>
      </c>
      <c r="P142" s="281">
        <f t="shared" si="403"/>
        <v>188</v>
      </c>
      <c r="Q142" s="281">
        <f t="shared" si="403"/>
        <v>188</v>
      </c>
      <c r="R142" s="281">
        <f t="shared" si="403"/>
        <v>125</v>
      </c>
      <c r="S142" s="281">
        <f t="shared" si="403"/>
        <v>123</v>
      </c>
      <c r="T142" s="281">
        <f t="shared" si="403"/>
        <v>123</v>
      </c>
      <c r="U142" s="281">
        <f t="shared" si="403"/>
        <v>302.5</v>
      </c>
      <c r="V142" s="281">
        <f t="shared" si="403"/>
        <v>264.5</v>
      </c>
      <c r="W142" s="281">
        <f t="shared" si="403"/>
        <v>264.5</v>
      </c>
      <c r="X142" s="281">
        <f t="shared" si="403"/>
        <v>264.5</v>
      </c>
      <c r="Y142" s="281">
        <f t="shared" si="403"/>
        <v>324.5</v>
      </c>
      <c r="Z142" s="281">
        <f t="shared" si="403"/>
        <v>266.2</v>
      </c>
      <c r="AA142" s="281">
        <f t="shared" si="403"/>
        <v>266.2</v>
      </c>
      <c r="AB142" s="281">
        <f t="shared" si="403"/>
        <v>298.2</v>
      </c>
      <c r="AC142" s="281">
        <f t="shared" si="403"/>
        <v>324</v>
      </c>
      <c r="AD142" s="281">
        <f t="shared" si="403"/>
        <v>324</v>
      </c>
      <c r="AE142" s="281">
        <f t="shared" si="403"/>
        <v>324</v>
      </c>
      <c r="AF142" s="281">
        <f t="shared" si="403"/>
        <v>271</v>
      </c>
      <c r="AG142" s="281">
        <f t="shared" si="403"/>
        <v>212</v>
      </c>
      <c r="AH142" s="281">
        <f t="shared" si="403"/>
        <v>212</v>
      </c>
      <c r="AI142" s="281">
        <f t="shared" si="403"/>
        <v>192</v>
      </c>
      <c r="AJ142" s="281">
        <f t="shared" si="403"/>
        <v>154</v>
      </c>
      <c r="AK142" s="281">
        <f t="shared" si="403"/>
        <v>154</v>
      </c>
      <c r="AL142" s="281">
        <f t="shared" si="403"/>
        <v>154</v>
      </c>
      <c r="AM142" s="281">
        <f t="shared" si="403"/>
        <v>215</v>
      </c>
      <c r="AN142" s="281">
        <f t="shared" si="403"/>
        <v>157</v>
      </c>
      <c r="AO142" s="281">
        <f t="shared" si="403"/>
        <v>157</v>
      </c>
      <c r="AP142" s="281">
        <f t="shared" si="403"/>
        <v>82</v>
      </c>
      <c r="AQ142" s="281">
        <f>AQ132</f>
        <v>59</v>
      </c>
      <c r="AR142" s="281">
        <f>AR132</f>
        <v>59</v>
      </c>
      <c r="AS142" s="281">
        <f>AS132</f>
        <v>59</v>
      </c>
      <c r="AT142" s="281">
        <f t="shared" ref="AT142:DE142" si="404">AT132</f>
        <v>103</v>
      </c>
      <c r="AU142" s="281">
        <f t="shared" si="404"/>
        <v>60</v>
      </c>
      <c r="AV142" s="281">
        <f t="shared" si="404"/>
        <v>60</v>
      </c>
      <c r="AW142" s="281">
        <f t="shared" si="404"/>
        <v>13</v>
      </c>
      <c r="AX142" s="281">
        <f>AX132</f>
        <v>30.9</v>
      </c>
      <c r="AY142" s="281">
        <f t="shared" si="404"/>
        <v>30.9</v>
      </c>
      <c r="AZ142" s="281">
        <f t="shared" si="404"/>
        <v>30.9</v>
      </c>
      <c r="BA142" s="281">
        <f t="shared" si="404"/>
        <v>0</v>
      </c>
      <c r="BB142" s="281">
        <f t="shared" si="404"/>
        <v>0</v>
      </c>
      <c r="BC142" s="281">
        <f t="shared" si="404"/>
        <v>0</v>
      </c>
      <c r="BD142" s="281">
        <f t="shared" si="404"/>
        <v>0</v>
      </c>
      <c r="BE142" s="281">
        <f t="shared" si="404"/>
        <v>0</v>
      </c>
      <c r="BF142" s="281">
        <f t="shared" si="404"/>
        <v>0</v>
      </c>
      <c r="BG142" s="281">
        <f t="shared" si="404"/>
        <v>0</v>
      </c>
      <c r="BH142" s="281">
        <f t="shared" si="404"/>
        <v>0</v>
      </c>
      <c r="BI142" s="281">
        <f t="shared" si="404"/>
        <v>0</v>
      </c>
      <c r="BJ142" s="281">
        <f t="shared" si="404"/>
        <v>0</v>
      </c>
      <c r="BK142" s="281">
        <f t="shared" si="404"/>
        <v>22.7</v>
      </c>
      <c r="BL142" s="281">
        <f>BL132</f>
        <v>0</v>
      </c>
      <c r="BM142" s="281">
        <f t="shared" si="404"/>
        <v>47</v>
      </c>
      <c r="BN142" s="320">
        <f t="shared" si="404"/>
        <v>47</v>
      </c>
      <c r="BO142" s="320">
        <f t="shared" si="404"/>
        <v>48.6</v>
      </c>
      <c r="BP142" s="320">
        <f t="shared" si="404"/>
        <v>380</v>
      </c>
      <c r="BQ142" s="320">
        <f t="shared" si="404"/>
        <v>380</v>
      </c>
      <c r="BR142" s="320">
        <f t="shared" si="404"/>
        <v>390</v>
      </c>
      <c r="BS142" s="320">
        <f t="shared" si="404"/>
        <v>411.1</v>
      </c>
      <c r="BT142" s="320">
        <f t="shared" si="404"/>
        <v>411.1</v>
      </c>
      <c r="BU142" s="320">
        <f t="shared" si="404"/>
        <v>411.1</v>
      </c>
      <c r="BV142" s="320">
        <f t="shared" si="404"/>
        <v>410.1</v>
      </c>
      <c r="BW142" s="320">
        <f t="shared" si="404"/>
        <v>590.6</v>
      </c>
      <c r="BX142" s="320">
        <f t="shared" si="404"/>
        <v>590.6</v>
      </c>
      <c r="BY142" s="320">
        <f t="shared" si="404"/>
        <v>521.9</v>
      </c>
      <c r="BZ142" s="320">
        <f t="shared" si="404"/>
        <v>563.5</v>
      </c>
      <c r="CA142" s="320">
        <f t="shared" si="404"/>
        <v>563.5</v>
      </c>
      <c r="CB142" s="320">
        <f t="shared" si="404"/>
        <v>563.5</v>
      </c>
      <c r="CC142" s="320">
        <f>CC132</f>
        <v>466.29999999999995</v>
      </c>
      <c r="CD142" s="320">
        <f t="shared" si="404"/>
        <v>639.6</v>
      </c>
      <c r="CE142" s="320">
        <f t="shared" si="404"/>
        <v>639.6</v>
      </c>
      <c r="CF142" s="320">
        <f t="shared" si="404"/>
        <v>523.79999999999995</v>
      </c>
      <c r="CG142" s="320">
        <f>CG132</f>
        <v>616.9</v>
      </c>
      <c r="CH142" s="320">
        <f>CH132</f>
        <v>616.9</v>
      </c>
      <c r="CI142" s="320">
        <f>CI132</f>
        <v>616.9</v>
      </c>
      <c r="CJ142" s="320">
        <f t="shared" si="404"/>
        <v>540.1</v>
      </c>
      <c r="CK142" s="320">
        <f t="shared" si="404"/>
        <v>680.7</v>
      </c>
      <c r="CL142" s="320">
        <f t="shared" si="404"/>
        <v>680.7</v>
      </c>
      <c r="CM142" s="320">
        <f t="shared" si="404"/>
        <v>783.9</v>
      </c>
      <c r="CN142" s="320">
        <f t="shared" si="404"/>
        <v>884.4</v>
      </c>
      <c r="CO142" s="320">
        <f t="shared" si="404"/>
        <v>884.4</v>
      </c>
      <c r="CP142" s="282">
        <f t="shared" si="404"/>
        <v>884.4</v>
      </c>
      <c r="CQ142" s="282">
        <f t="shared" si="404"/>
        <v>1249.5999999999999</v>
      </c>
      <c r="CR142" s="282">
        <f t="shared" si="404"/>
        <v>1370.3</v>
      </c>
      <c r="CS142" s="282">
        <f t="shared" si="404"/>
        <v>1370.3</v>
      </c>
      <c r="CT142" s="282">
        <f t="shared" si="404"/>
        <v>1307.3</v>
      </c>
      <c r="CU142" s="282">
        <f t="shared" si="404"/>
        <v>1380.3</v>
      </c>
      <c r="CV142" s="282">
        <f t="shared" si="404"/>
        <v>1380.3</v>
      </c>
      <c r="CW142" s="282">
        <f t="shared" si="404"/>
        <v>1380.3</v>
      </c>
      <c r="CX142" s="282">
        <f t="shared" si="404"/>
        <v>1306.2</v>
      </c>
      <c r="CY142" s="282">
        <f t="shared" si="404"/>
        <v>1429.9</v>
      </c>
      <c r="CZ142" s="282">
        <f t="shared" si="404"/>
        <v>1429.9</v>
      </c>
      <c r="DA142" s="282">
        <f t="shared" si="404"/>
        <v>1411.7</v>
      </c>
      <c r="DB142" s="282">
        <f t="shared" si="404"/>
        <v>1354.6</v>
      </c>
      <c r="DC142" s="282">
        <f t="shared" si="404"/>
        <v>1354.6</v>
      </c>
      <c r="DD142" s="590">
        <f t="shared" si="404"/>
        <v>1354.6</v>
      </c>
      <c r="DE142" s="282">
        <f t="shared" si="404"/>
        <v>1234.4000000000001</v>
      </c>
      <c r="DF142" s="282">
        <f t="shared" ref="DF142:ET142" si="405">DF132</f>
        <v>1254.8</v>
      </c>
      <c r="DG142" s="282">
        <f t="shared" si="405"/>
        <v>1254.8</v>
      </c>
      <c r="DH142" s="282">
        <f t="shared" si="405"/>
        <v>1277.9000000000001</v>
      </c>
      <c r="DI142" s="282">
        <f t="shared" si="405"/>
        <v>858.6</v>
      </c>
      <c r="DJ142" s="282">
        <f t="shared" si="405"/>
        <v>858.6</v>
      </c>
      <c r="DK142" s="590">
        <f t="shared" si="405"/>
        <v>858.6</v>
      </c>
      <c r="DL142" s="284">
        <f t="shared" si="405"/>
        <v>936.8</v>
      </c>
      <c r="DM142" s="282">
        <f>DM132</f>
        <v>855.7</v>
      </c>
      <c r="DN142" s="282">
        <f t="shared" si="405"/>
        <v>855.7</v>
      </c>
      <c r="DO142" s="282">
        <f t="shared" si="405"/>
        <v>892.8</v>
      </c>
      <c r="DP142" s="282">
        <f t="shared" si="405"/>
        <v>877.3</v>
      </c>
      <c r="DQ142" s="282">
        <f t="shared" si="405"/>
        <v>877.3</v>
      </c>
      <c r="DR142" s="590">
        <f t="shared" si="405"/>
        <v>877.3</v>
      </c>
      <c r="DS142" s="282">
        <f t="shared" si="405"/>
        <v>859.4</v>
      </c>
      <c r="DT142" s="282">
        <f t="shared" si="405"/>
        <v>933.8</v>
      </c>
      <c r="DU142" s="282">
        <f t="shared" si="405"/>
        <v>933.8</v>
      </c>
      <c r="DV142" s="282">
        <f t="shared" ref="DV142:EB142" si="406">DV132</f>
        <v>988.1</v>
      </c>
      <c r="DW142" s="282">
        <f t="shared" si="406"/>
        <v>1059</v>
      </c>
      <c r="DX142" s="282">
        <f t="shared" si="406"/>
        <v>1059</v>
      </c>
      <c r="DY142" s="590">
        <f t="shared" si="406"/>
        <v>1059</v>
      </c>
      <c r="DZ142" s="282">
        <f t="shared" si="406"/>
        <v>977.9</v>
      </c>
      <c r="EA142" s="282">
        <f t="shared" si="406"/>
        <v>956.8</v>
      </c>
      <c r="EB142" s="282">
        <f t="shared" si="406"/>
        <v>956.8</v>
      </c>
      <c r="EC142" s="282">
        <f t="shared" ref="EC142:EI142" si="407">EC132</f>
        <v>1135.5999999999999</v>
      </c>
      <c r="ED142" s="282">
        <f t="shared" si="407"/>
        <v>1122.5999999999999</v>
      </c>
      <c r="EE142" s="282">
        <f t="shared" si="407"/>
        <v>1122.5999999999999</v>
      </c>
      <c r="EF142" s="590">
        <f t="shared" si="407"/>
        <v>1122.5999999999999</v>
      </c>
      <c r="EG142" s="282">
        <f t="shared" si="407"/>
        <v>1117.7</v>
      </c>
      <c r="EH142" s="282">
        <f t="shared" si="407"/>
        <v>1135.3</v>
      </c>
      <c r="EI142" s="282">
        <f t="shared" si="407"/>
        <v>1135.3</v>
      </c>
      <c r="EJ142" s="282">
        <f>EJ132</f>
        <v>1103.7</v>
      </c>
      <c r="EK142" s="282">
        <f>EK132</f>
        <v>1119.5</v>
      </c>
      <c r="EL142" s="282">
        <f>EL132</f>
        <v>1119.5</v>
      </c>
      <c r="EM142" s="590">
        <f>EM132</f>
        <v>1119.5</v>
      </c>
      <c r="EN142" s="282">
        <f t="shared" ref="EN142:EP142" si="408">EN132</f>
        <v>2524.9</v>
      </c>
      <c r="EO142" s="282">
        <f t="shared" si="408"/>
        <v>5016</v>
      </c>
      <c r="EP142" s="282">
        <f t="shared" si="408"/>
        <v>5016</v>
      </c>
      <c r="EQ142" s="284">
        <f t="shared" ref="EQ142" si="409">EQ132</f>
        <v>4608.9000000000005</v>
      </c>
      <c r="ER142" s="282">
        <f t="shared" si="405"/>
        <v>4508.444245647097</v>
      </c>
      <c r="ES142" s="282">
        <f t="shared" si="405"/>
        <v>4508.444245647097</v>
      </c>
      <c r="ET142" s="590">
        <f t="shared" si="405"/>
        <v>4508.444245647097</v>
      </c>
      <c r="EU142" s="282">
        <f>EU132</f>
        <v>4261.440435304833</v>
      </c>
      <c r="EV142" s="282">
        <f t="shared" ref="EV142:FV142" si="410">EV132</f>
        <v>4176.6653234241521</v>
      </c>
      <c r="EW142" s="282">
        <f t="shared" si="410"/>
        <v>4176.6653234241521</v>
      </c>
      <c r="EX142" s="282">
        <f t="shared" si="410"/>
        <v>4007.9032581994438</v>
      </c>
      <c r="EY142" s="282">
        <f t="shared" si="410"/>
        <v>3941.2707719910559</v>
      </c>
      <c r="EZ142" s="282">
        <f t="shared" si="410"/>
        <v>3941.2707719910559</v>
      </c>
      <c r="FA142" s="590">
        <f t="shared" si="410"/>
        <v>3941.2707719910559</v>
      </c>
      <c r="FB142" s="282">
        <f t="shared" si="410"/>
        <v>3644.8748080240566</v>
      </c>
      <c r="FC142" s="282">
        <f t="shared" si="410"/>
        <v>3521.7599895838953</v>
      </c>
      <c r="FD142" s="282">
        <f t="shared" si="410"/>
        <v>3521.7599895838953</v>
      </c>
      <c r="FE142" s="282">
        <f t="shared" si="410"/>
        <v>3293.7486947313905</v>
      </c>
      <c r="FF142" s="282">
        <f t="shared" si="410"/>
        <v>3186.3968014750021</v>
      </c>
      <c r="FG142" s="282">
        <f t="shared" si="410"/>
        <v>3186.3968014750021</v>
      </c>
      <c r="FH142" s="590">
        <f t="shared" si="410"/>
        <v>3186.3968014750021</v>
      </c>
      <c r="FI142" s="282">
        <f t="shared" si="410"/>
        <v>2825.0962812249813</v>
      </c>
      <c r="FJ142" s="282">
        <f t="shared" si="410"/>
        <v>2664.2786955525039</v>
      </c>
      <c r="FK142" s="282">
        <f t="shared" si="410"/>
        <v>2664.2786955525039</v>
      </c>
      <c r="FL142" s="282">
        <f t="shared" si="410"/>
        <v>2392.8139226758576</v>
      </c>
      <c r="FM142" s="282">
        <f t="shared" si="410"/>
        <v>2250.8636530367039</v>
      </c>
      <c r="FN142" s="282">
        <f t="shared" si="410"/>
        <v>2250.8636530367039</v>
      </c>
      <c r="FO142" s="590">
        <f t="shared" si="410"/>
        <v>2250.8636530367039</v>
      </c>
      <c r="FP142" s="282">
        <f t="shared" si="410"/>
        <v>1841.7115683811567</v>
      </c>
      <c r="FQ142" s="282">
        <f t="shared" si="410"/>
        <v>1641.6672228452776</v>
      </c>
      <c r="FR142" s="282">
        <f t="shared" si="410"/>
        <v>1641.6672228452776</v>
      </c>
      <c r="FS142" s="282">
        <f t="shared" si="410"/>
        <v>1322.2216176024606</v>
      </c>
      <c r="FT142" s="282">
        <f t="shared" si="410"/>
        <v>1141.4824386772095</v>
      </c>
      <c r="FU142" s="282">
        <f t="shared" si="410"/>
        <v>1141.4824386772095</v>
      </c>
      <c r="FV142" s="590">
        <f t="shared" si="410"/>
        <v>1141.4824386772095</v>
      </c>
    </row>
    <row r="143" spans="1:280" s="461" customFormat="1" outlineLevel="1" x14ac:dyDescent="0.3">
      <c r="A143" s="455"/>
      <c r="B143" s="455" t="s">
        <v>495</v>
      </c>
      <c r="C143" s="456" t="s">
        <v>413</v>
      </c>
      <c r="D143" s="337"/>
      <c r="E143" s="337"/>
      <c r="F143" s="337"/>
      <c r="G143" s="337"/>
      <c r="H143" s="337"/>
      <c r="I143" s="337"/>
      <c r="J143" s="457">
        <v>0.5</v>
      </c>
      <c r="K143" s="457">
        <v>0.5</v>
      </c>
      <c r="L143" s="457">
        <v>0.5</v>
      </c>
      <c r="M143" s="457">
        <v>0.5</v>
      </c>
      <c r="N143" s="457">
        <v>0.5</v>
      </c>
      <c r="O143" s="457">
        <v>0.5</v>
      </c>
      <c r="P143" s="457">
        <v>0.5</v>
      </c>
      <c r="Q143" s="457">
        <v>0.5</v>
      </c>
      <c r="R143" s="457">
        <v>0.5</v>
      </c>
      <c r="S143" s="457">
        <v>0.5</v>
      </c>
      <c r="T143" s="457">
        <v>0.5</v>
      </c>
      <c r="U143" s="457">
        <v>0.5</v>
      </c>
      <c r="V143" s="457">
        <v>0.5</v>
      </c>
      <c r="W143" s="457">
        <v>0.5</v>
      </c>
      <c r="X143" s="457">
        <v>0.5</v>
      </c>
      <c r="Y143" s="457">
        <v>0.5</v>
      </c>
      <c r="Z143" s="457">
        <v>0.5</v>
      </c>
      <c r="AA143" s="457">
        <v>0.5</v>
      </c>
      <c r="AB143" s="457">
        <v>0.5</v>
      </c>
      <c r="AC143" s="457">
        <v>0.5</v>
      </c>
      <c r="AD143" s="457">
        <v>0.5</v>
      </c>
      <c r="AE143" s="457">
        <v>0.5</v>
      </c>
      <c r="AF143" s="457">
        <v>0.5</v>
      </c>
      <c r="AG143" s="457">
        <v>0.5</v>
      </c>
      <c r="AH143" s="457">
        <v>0.5</v>
      </c>
      <c r="AI143" s="457">
        <v>0.5</v>
      </c>
      <c r="AJ143" s="457">
        <v>0.5</v>
      </c>
      <c r="AK143" s="457">
        <v>0.5</v>
      </c>
      <c r="AL143" s="457">
        <v>0.5</v>
      </c>
      <c r="AM143" s="457">
        <v>0.5</v>
      </c>
      <c r="AN143" s="457">
        <v>0.5</v>
      </c>
      <c r="AO143" s="457">
        <v>0.5</v>
      </c>
      <c r="AP143" s="457">
        <v>0.5</v>
      </c>
      <c r="AQ143" s="457">
        <v>0.5</v>
      </c>
      <c r="AR143" s="457">
        <v>0.5</v>
      </c>
      <c r="AS143" s="457">
        <v>0.5</v>
      </c>
      <c r="AT143" s="457">
        <v>0.5</v>
      </c>
      <c r="AU143" s="457">
        <v>0.5</v>
      </c>
      <c r="AV143" s="457">
        <v>0.5</v>
      </c>
      <c r="AW143" s="457">
        <v>0.5</v>
      </c>
      <c r="AX143" s="457">
        <v>0.35</v>
      </c>
      <c r="AY143" s="457">
        <v>0.5</v>
      </c>
      <c r="AZ143" s="457">
        <v>0.5</v>
      </c>
      <c r="BA143" s="457">
        <v>0.5</v>
      </c>
      <c r="BB143" s="457">
        <v>0.5</v>
      </c>
      <c r="BC143" s="457">
        <v>0.5</v>
      </c>
      <c r="BD143" s="457">
        <v>0.5</v>
      </c>
      <c r="BE143" s="457">
        <v>0.5</v>
      </c>
      <c r="BF143" s="457">
        <v>0.5</v>
      </c>
      <c r="BG143" s="457">
        <v>0.5</v>
      </c>
      <c r="BH143" s="457">
        <v>0.5</v>
      </c>
      <c r="BI143" s="457">
        <v>0.5</v>
      </c>
      <c r="BJ143" s="457">
        <v>0.5</v>
      </c>
      <c r="BK143" s="457">
        <v>0.5</v>
      </c>
      <c r="BL143" s="457">
        <v>0.5</v>
      </c>
      <c r="BM143" s="457">
        <v>0.5</v>
      </c>
      <c r="BN143" s="457">
        <v>0.5</v>
      </c>
      <c r="BO143" s="457">
        <v>0.5</v>
      </c>
      <c r="BP143" s="457">
        <v>0.5</v>
      </c>
      <c r="BQ143" s="457">
        <v>0.5</v>
      </c>
      <c r="BR143" s="457">
        <v>0.5</v>
      </c>
      <c r="BS143" s="457">
        <v>0.5</v>
      </c>
      <c r="BT143" s="457">
        <v>0.5</v>
      </c>
      <c r="BU143" s="457">
        <v>0.5</v>
      </c>
      <c r="BV143" s="457">
        <v>0.5</v>
      </c>
      <c r="BW143" s="457">
        <v>0.5</v>
      </c>
      <c r="BX143" s="457">
        <v>0.5</v>
      </c>
      <c r="BY143" s="457">
        <v>0.5</v>
      </c>
      <c r="BZ143" s="457">
        <v>0.5</v>
      </c>
      <c r="CA143" s="457">
        <v>0.5</v>
      </c>
      <c r="CB143" s="457">
        <v>0.5</v>
      </c>
      <c r="CC143" s="457">
        <v>0.5</v>
      </c>
      <c r="CD143" s="457">
        <v>0.5</v>
      </c>
      <c r="CE143" s="457">
        <v>0.5</v>
      </c>
      <c r="CF143" s="457">
        <v>0.5</v>
      </c>
      <c r="CG143" s="457">
        <v>0.5</v>
      </c>
      <c r="CH143" s="457">
        <v>0.5</v>
      </c>
      <c r="CI143" s="457">
        <v>0.5</v>
      </c>
      <c r="CJ143" s="457">
        <v>0.5</v>
      </c>
      <c r="CK143" s="457">
        <v>0.5</v>
      </c>
      <c r="CL143" s="457">
        <v>0.5</v>
      </c>
      <c r="CM143" s="457">
        <v>0.5</v>
      </c>
      <c r="CN143" s="457">
        <v>0.5</v>
      </c>
      <c r="CO143" s="457">
        <v>0.5</v>
      </c>
      <c r="CP143" s="457">
        <v>0.5</v>
      </c>
      <c r="CQ143" s="457">
        <v>0.5</v>
      </c>
      <c r="CR143" s="457">
        <v>0.5</v>
      </c>
      <c r="CS143" s="457">
        <v>0.5</v>
      </c>
      <c r="CT143" s="457">
        <v>0.5</v>
      </c>
      <c r="CU143" s="457">
        <v>0.5</v>
      </c>
      <c r="CV143" s="457">
        <v>0.5</v>
      </c>
      <c r="CW143" s="457">
        <v>0.5</v>
      </c>
      <c r="CX143" s="457">
        <v>0.5</v>
      </c>
      <c r="CY143" s="457">
        <v>0.5</v>
      </c>
      <c r="CZ143" s="457">
        <v>0.5</v>
      </c>
      <c r="DA143" s="457">
        <v>0.5</v>
      </c>
      <c r="DB143" s="457">
        <v>0.5</v>
      </c>
      <c r="DC143" s="457">
        <v>0.5</v>
      </c>
      <c r="DD143" s="674">
        <v>0.5</v>
      </c>
      <c r="DE143" s="458">
        <v>0.5</v>
      </c>
      <c r="DF143" s="458">
        <v>0.5</v>
      </c>
      <c r="DG143" s="457">
        <v>0.5</v>
      </c>
      <c r="DH143" s="457">
        <v>0.5</v>
      </c>
      <c r="DI143" s="457">
        <v>0.5</v>
      </c>
      <c r="DJ143" s="457">
        <v>0.5</v>
      </c>
      <c r="DK143" s="674">
        <v>0.5</v>
      </c>
      <c r="DL143" s="459">
        <v>0.5</v>
      </c>
      <c r="DM143" s="458">
        <v>0.5</v>
      </c>
      <c r="DN143" s="457">
        <v>0.5</v>
      </c>
      <c r="DO143" s="458">
        <v>0.5</v>
      </c>
      <c r="DP143" s="457">
        <v>0.5</v>
      </c>
      <c r="DQ143" s="457">
        <v>0.5</v>
      </c>
      <c r="DR143" s="674">
        <v>0.5</v>
      </c>
      <c r="DS143" s="458">
        <v>0.5</v>
      </c>
      <c r="DT143" s="458">
        <v>0.5</v>
      </c>
      <c r="DU143" s="458">
        <v>0.5</v>
      </c>
      <c r="DV143" s="458">
        <v>0.5</v>
      </c>
      <c r="DW143" s="457">
        <v>0.5</v>
      </c>
      <c r="DX143" s="457">
        <v>0.5</v>
      </c>
      <c r="DY143" s="674">
        <v>0.5</v>
      </c>
      <c r="DZ143" s="458">
        <v>0.5</v>
      </c>
      <c r="EA143" s="458">
        <v>0.5</v>
      </c>
      <c r="EB143" s="458">
        <v>0.5</v>
      </c>
      <c r="EC143" s="458">
        <v>0.5</v>
      </c>
      <c r="ED143" s="457">
        <v>0.5</v>
      </c>
      <c r="EE143" s="457">
        <v>0.5</v>
      </c>
      <c r="EF143" s="674">
        <v>0.5</v>
      </c>
      <c r="EG143" s="458">
        <v>0.5</v>
      </c>
      <c r="EH143" s="458">
        <v>0.5</v>
      </c>
      <c r="EI143" s="458">
        <v>0.5</v>
      </c>
      <c r="EJ143" s="458">
        <v>0.5</v>
      </c>
      <c r="EK143" s="458">
        <v>0.5</v>
      </c>
      <c r="EL143" s="457">
        <v>0.5</v>
      </c>
      <c r="EM143" s="674">
        <v>0.5</v>
      </c>
      <c r="EN143" s="458">
        <v>0.5</v>
      </c>
      <c r="EO143" s="458">
        <v>0.5</v>
      </c>
      <c r="EP143" s="458">
        <v>0.5</v>
      </c>
      <c r="EQ143" s="459">
        <v>0.5</v>
      </c>
      <c r="ER143" s="460">
        <v>0.5</v>
      </c>
      <c r="ES143" s="460">
        <v>0.5</v>
      </c>
      <c r="ET143" s="609">
        <v>0.5</v>
      </c>
      <c r="EU143" s="460">
        <v>0.5</v>
      </c>
      <c r="EV143" s="460">
        <v>0.5</v>
      </c>
      <c r="EW143" s="460">
        <v>0.5</v>
      </c>
      <c r="EX143" s="460">
        <v>0.5</v>
      </c>
      <c r="EY143" s="460">
        <v>0.5</v>
      </c>
      <c r="EZ143" s="460">
        <v>0.5</v>
      </c>
      <c r="FA143" s="609">
        <v>0.5</v>
      </c>
      <c r="FB143" s="460">
        <v>0.5</v>
      </c>
      <c r="FC143" s="460">
        <v>0.5</v>
      </c>
      <c r="FD143" s="460">
        <v>0.5</v>
      </c>
      <c r="FE143" s="460">
        <v>0.5</v>
      </c>
      <c r="FF143" s="460">
        <v>0.5</v>
      </c>
      <c r="FG143" s="460">
        <v>0.5</v>
      </c>
      <c r="FH143" s="609">
        <v>0.5</v>
      </c>
      <c r="FI143" s="460">
        <v>0.5</v>
      </c>
      <c r="FJ143" s="460">
        <v>0.5</v>
      </c>
      <c r="FK143" s="460">
        <v>0.5</v>
      </c>
      <c r="FL143" s="460">
        <v>0.5</v>
      </c>
      <c r="FM143" s="460">
        <v>0.5</v>
      </c>
      <c r="FN143" s="460">
        <v>0.5</v>
      </c>
      <c r="FO143" s="609">
        <v>0.5</v>
      </c>
      <c r="FP143" s="460">
        <v>0.5</v>
      </c>
      <c r="FQ143" s="460">
        <v>0.5</v>
      </c>
      <c r="FR143" s="460">
        <v>0.5</v>
      </c>
      <c r="FS143" s="460">
        <v>0.5</v>
      </c>
      <c r="FT143" s="460">
        <v>0.5</v>
      </c>
      <c r="FU143" s="460">
        <v>0.5</v>
      </c>
      <c r="FV143" s="609">
        <v>0.5</v>
      </c>
      <c r="FW143" s="644"/>
      <c r="FX143" s="644"/>
      <c r="FY143" s="644"/>
      <c r="FZ143" s="644"/>
      <c r="GA143" s="644"/>
      <c r="GB143"/>
      <c r="GC143"/>
      <c r="GD143"/>
      <c r="GE143"/>
      <c r="GF143"/>
      <c r="GG143"/>
      <c r="GH143" s="533"/>
      <c r="GI143" s="533"/>
      <c r="GJ143" s="533"/>
      <c r="GK143" s="533"/>
      <c r="GL143" s="533"/>
      <c r="GM143" s="533"/>
      <c r="GN143" s="533"/>
      <c r="GO143" s="533"/>
      <c r="GP143" s="533"/>
      <c r="GQ143" s="533"/>
      <c r="GR143" s="533"/>
      <c r="GS143" s="533"/>
      <c r="GT143" s="533"/>
      <c r="GU143" s="533"/>
      <c r="GV143" s="533"/>
      <c r="GW143" s="533"/>
      <c r="GX143" s="533"/>
      <c r="GY143" s="533"/>
      <c r="GZ143" s="533"/>
      <c r="HA143" s="533"/>
      <c r="HB143" s="533"/>
      <c r="HC143" s="533"/>
      <c r="HD143" s="533"/>
      <c r="HE143" s="533"/>
      <c r="HF143" s="533"/>
      <c r="HG143" s="533"/>
      <c r="HH143" s="533"/>
      <c r="HI143" s="533"/>
      <c r="HJ143" s="533"/>
      <c r="HK143" s="533"/>
      <c r="HL143" s="533"/>
      <c r="HM143" s="533"/>
      <c r="HN143" s="533"/>
      <c r="HO143" s="533"/>
      <c r="HP143" s="533"/>
      <c r="HQ143" s="533"/>
      <c r="HR143" s="533"/>
      <c r="HS143" s="533"/>
      <c r="HT143" s="533"/>
      <c r="HU143" s="533"/>
      <c r="HV143" s="533"/>
      <c r="HW143" s="533"/>
      <c r="HX143" s="533"/>
      <c r="HY143" s="533"/>
      <c r="HZ143" s="533"/>
      <c r="IA143" s="533"/>
      <c r="IB143" s="533"/>
      <c r="IC143" s="533"/>
      <c r="ID143" s="533"/>
      <c r="IE143" s="533"/>
      <c r="IF143" s="533"/>
      <c r="IG143" s="533"/>
      <c r="IH143" s="533"/>
      <c r="II143" s="533"/>
      <c r="IJ143" s="533"/>
      <c r="IK143" s="533"/>
      <c r="IL143" s="533"/>
      <c r="IM143" s="533"/>
      <c r="IN143" s="533"/>
      <c r="IO143" s="533"/>
      <c r="IP143" s="533"/>
      <c r="IQ143" s="533"/>
      <c r="IR143" s="533"/>
      <c r="IS143" s="533"/>
      <c r="IT143" s="533"/>
      <c r="IU143" s="533"/>
      <c r="IV143" s="533"/>
      <c r="IW143" s="533"/>
      <c r="IX143" s="533"/>
      <c r="IY143" s="533"/>
      <c r="IZ143" s="533"/>
      <c r="JA143" s="533"/>
      <c r="JB143" s="533"/>
      <c r="JC143" s="533"/>
      <c r="JD143" s="533"/>
      <c r="JE143" s="533"/>
      <c r="JF143" s="533"/>
      <c r="JG143" s="533"/>
      <c r="JH143" s="533"/>
      <c r="JI143" s="533"/>
      <c r="JJ143" s="533"/>
      <c r="JK143" s="533"/>
      <c r="JL143" s="533"/>
      <c r="JM143" s="533"/>
      <c r="JN143" s="533"/>
      <c r="JO143" s="533"/>
      <c r="JP143" s="533"/>
      <c r="JQ143" s="533"/>
      <c r="JR143" s="533"/>
      <c r="JS143" s="533"/>
      <c r="JT143" s="533"/>
    </row>
    <row r="144" spans="1:280" outlineLevel="1" x14ac:dyDescent="0.3">
      <c r="B144" s="253" t="s">
        <v>496</v>
      </c>
      <c r="C144" s="280" t="s">
        <v>226</v>
      </c>
      <c r="J144" s="281">
        <f t="shared" ref="J144:AO144" si="411">J143*J142+(1-J143)*J141</f>
        <v>151.35</v>
      </c>
      <c r="K144" s="281">
        <f t="shared" si="411"/>
        <v>68.5</v>
      </c>
      <c r="L144" s="281">
        <f t="shared" si="411"/>
        <v>136</v>
      </c>
      <c r="M144" s="281">
        <f t="shared" si="411"/>
        <v>67.5</v>
      </c>
      <c r="N144" s="281">
        <f t="shared" si="411"/>
        <v>111.5</v>
      </c>
      <c r="O144" s="281">
        <f t="shared" si="411"/>
        <v>138</v>
      </c>
      <c r="P144" s="281">
        <f t="shared" si="411"/>
        <v>161.5</v>
      </c>
      <c r="Q144" s="281">
        <f t="shared" si="411"/>
        <v>245.35</v>
      </c>
      <c r="R144" s="281">
        <f t="shared" si="411"/>
        <v>213.85</v>
      </c>
      <c r="S144" s="281">
        <f t="shared" si="411"/>
        <v>124</v>
      </c>
      <c r="T144" s="281">
        <f t="shared" si="411"/>
        <v>212.85</v>
      </c>
      <c r="U144" s="281">
        <f t="shared" si="411"/>
        <v>212.75</v>
      </c>
      <c r="V144" s="281">
        <f t="shared" si="411"/>
        <v>283.5</v>
      </c>
      <c r="W144" s="281">
        <f t="shared" si="411"/>
        <v>193.75</v>
      </c>
      <c r="X144" s="281">
        <f t="shared" si="411"/>
        <v>226.25</v>
      </c>
      <c r="Y144" s="281">
        <f t="shared" si="411"/>
        <v>256.25</v>
      </c>
      <c r="Z144" s="281">
        <f t="shared" si="411"/>
        <v>295.35000000000002</v>
      </c>
      <c r="AA144" s="281">
        <f t="shared" si="411"/>
        <v>227.1</v>
      </c>
      <c r="AB144" s="281">
        <f t="shared" si="411"/>
        <v>282.2</v>
      </c>
      <c r="AC144" s="281">
        <f t="shared" si="411"/>
        <v>311.10000000000002</v>
      </c>
      <c r="AD144" s="281">
        <f t="shared" si="411"/>
        <v>295.10000000000002</v>
      </c>
      <c r="AE144" s="281">
        <f t="shared" si="411"/>
        <v>294.25</v>
      </c>
      <c r="AF144" s="281">
        <f t="shared" si="411"/>
        <v>267.75</v>
      </c>
      <c r="AG144" s="281">
        <f t="shared" si="411"/>
        <v>241.5</v>
      </c>
      <c r="AH144" s="281">
        <f t="shared" si="411"/>
        <v>238.25</v>
      </c>
      <c r="AI144" s="281">
        <f t="shared" si="411"/>
        <v>202</v>
      </c>
      <c r="AJ144" s="281">
        <f t="shared" si="411"/>
        <v>173</v>
      </c>
      <c r="AK144" s="281">
        <f t="shared" si="411"/>
        <v>183</v>
      </c>
      <c r="AL144" s="281">
        <f t="shared" si="411"/>
        <v>239</v>
      </c>
      <c r="AM144" s="281">
        <f t="shared" si="411"/>
        <v>269.5</v>
      </c>
      <c r="AN144" s="281">
        <f t="shared" si="411"/>
        <v>186</v>
      </c>
      <c r="AO144" s="281">
        <f t="shared" si="411"/>
        <v>240.5</v>
      </c>
      <c r="AP144" s="281">
        <f>AP143*AP142+(1-AP143)*AP141</f>
        <v>119.5</v>
      </c>
      <c r="AQ144" s="281">
        <f>AQ143*AQ142+(1-AQ143)*AQ141</f>
        <v>70.5</v>
      </c>
      <c r="AR144" s="281">
        <f>AR143*AR142+(1-AR143)*AR141</f>
        <v>108</v>
      </c>
      <c r="AS144" s="281">
        <f>AS143*AS142+(1-AS143)*AS141</f>
        <v>106.5</v>
      </c>
      <c r="AT144" s="281">
        <f t="shared" ref="AT144:DE144" si="412">AT143*AT142+(1-AT143)*AT141</f>
        <v>128.5</v>
      </c>
      <c r="AU144" s="281">
        <f t="shared" si="412"/>
        <v>81.5</v>
      </c>
      <c r="AV144" s="281">
        <f t="shared" si="412"/>
        <v>107</v>
      </c>
      <c r="AW144" s="281">
        <f t="shared" si="412"/>
        <v>36.5</v>
      </c>
      <c r="AX144" s="281">
        <f t="shared" si="412"/>
        <v>19.265000000000001</v>
      </c>
      <c r="AY144" s="281">
        <f t="shared" si="412"/>
        <v>45.45</v>
      </c>
      <c r="AZ144" s="281">
        <f t="shared" si="412"/>
        <v>44.95</v>
      </c>
      <c r="BA144" s="281">
        <f t="shared" si="412"/>
        <v>29.5</v>
      </c>
      <c r="BB144" s="281">
        <f t="shared" si="412"/>
        <v>0</v>
      </c>
      <c r="BC144" s="281">
        <f t="shared" si="412"/>
        <v>29.5</v>
      </c>
      <c r="BD144" s="281">
        <f t="shared" si="412"/>
        <v>0</v>
      </c>
      <c r="BE144" s="281">
        <f t="shared" si="412"/>
        <v>0</v>
      </c>
      <c r="BF144" s="281">
        <f t="shared" si="412"/>
        <v>0</v>
      </c>
      <c r="BG144" s="281">
        <f t="shared" si="412"/>
        <v>15.45</v>
      </c>
      <c r="BH144" s="281">
        <f t="shared" si="412"/>
        <v>15.45</v>
      </c>
      <c r="BI144" s="281">
        <f t="shared" si="412"/>
        <v>0</v>
      </c>
      <c r="BJ144" s="281">
        <f t="shared" si="412"/>
        <v>15.45</v>
      </c>
      <c r="BK144" s="281">
        <f t="shared" si="412"/>
        <v>11.35</v>
      </c>
      <c r="BL144" s="281">
        <f>BL143*BL142+(1-BL143)*BL141</f>
        <v>11.35</v>
      </c>
      <c r="BM144" s="281">
        <f t="shared" si="412"/>
        <v>23.5</v>
      </c>
      <c r="BN144" s="320">
        <f t="shared" si="412"/>
        <v>23.5</v>
      </c>
      <c r="BO144" s="320">
        <f t="shared" si="412"/>
        <v>24.3</v>
      </c>
      <c r="BP144" s="320">
        <f t="shared" si="412"/>
        <v>214.3</v>
      </c>
      <c r="BQ144" s="320">
        <f t="shared" si="412"/>
        <v>190</v>
      </c>
      <c r="BR144" s="320">
        <f t="shared" si="412"/>
        <v>385</v>
      </c>
      <c r="BS144" s="320">
        <f t="shared" si="412"/>
        <v>400.55</v>
      </c>
      <c r="BT144" s="320">
        <f t="shared" si="412"/>
        <v>395.55</v>
      </c>
      <c r="BU144" s="320">
        <f t="shared" si="412"/>
        <v>229.05</v>
      </c>
      <c r="BV144" s="320">
        <f t="shared" si="412"/>
        <v>228.55</v>
      </c>
      <c r="BW144" s="320">
        <f t="shared" si="412"/>
        <v>500.35</v>
      </c>
      <c r="BX144" s="320">
        <f t="shared" si="412"/>
        <v>318.8</v>
      </c>
      <c r="BY144" s="320">
        <f t="shared" si="412"/>
        <v>556.25</v>
      </c>
      <c r="BZ144" s="320">
        <f t="shared" si="412"/>
        <v>542.70000000000005</v>
      </c>
      <c r="CA144" s="320">
        <f t="shared" si="412"/>
        <v>577.04999999999995</v>
      </c>
      <c r="CB144" s="320">
        <f t="shared" si="412"/>
        <v>487.3</v>
      </c>
      <c r="CC144" s="320">
        <f>CC143*CC142+(1-CC143)*CC141</f>
        <v>438.7</v>
      </c>
      <c r="CD144" s="320">
        <f t="shared" si="412"/>
        <v>552.95000000000005</v>
      </c>
      <c r="CE144" s="320">
        <f t="shared" si="412"/>
        <v>525.35</v>
      </c>
      <c r="CF144" s="320">
        <f t="shared" si="412"/>
        <v>581.70000000000005</v>
      </c>
      <c r="CG144" s="320">
        <f>CG143*CG142+(1-CG143)*CG141</f>
        <v>570.34999999999991</v>
      </c>
      <c r="CH144" s="320">
        <f>CH143*CH142+(1-CH143)*CH141</f>
        <v>628.25</v>
      </c>
      <c r="CI144" s="320">
        <f>CI143*CI142+(1-CI143)*CI141</f>
        <v>590.20000000000005</v>
      </c>
      <c r="CJ144" s="320">
        <f t="shared" si="412"/>
        <v>551.79999999999995</v>
      </c>
      <c r="CK144" s="320">
        <f t="shared" si="412"/>
        <v>610.40000000000009</v>
      </c>
      <c r="CL144" s="320">
        <f t="shared" si="412"/>
        <v>622.1</v>
      </c>
      <c r="CM144" s="320">
        <f t="shared" si="412"/>
        <v>732.3</v>
      </c>
      <c r="CN144" s="320">
        <f t="shared" si="412"/>
        <v>834.15</v>
      </c>
      <c r="CO144" s="320">
        <f t="shared" si="412"/>
        <v>782.55</v>
      </c>
      <c r="CP144" s="282">
        <f t="shared" si="412"/>
        <v>750.65</v>
      </c>
      <c r="CQ144" s="282">
        <f t="shared" si="412"/>
        <v>933.25</v>
      </c>
      <c r="CR144" s="282">
        <f t="shared" si="412"/>
        <v>1309.9499999999998</v>
      </c>
      <c r="CS144" s="282">
        <f t="shared" si="412"/>
        <v>993.59999999999991</v>
      </c>
      <c r="CT144" s="282">
        <f t="shared" si="412"/>
        <v>1338.8</v>
      </c>
      <c r="CU144" s="282">
        <f t="shared" si="412"/>
        <v>1343.8</v>
      </c>
      <c r="CV144" s="282">
        <f t="shared" si="412"/>
        <v>1375.3</v>
      </c>
      <c r="CW144" s="282">
        <f t="shared" si="412"/>
        <v>1132.3499999999999</v>
      </c>
      <c r="CX144" s="282">
        <f t="shared" si="412"/>
        <v>1095.3</v>
      </c>
      <c r="CY144" s="282">
        <f t="shared" si="412"/>
        <v>1368.0500000000002</v>
      </c>
      <c r="CZ144" s="282">
        <f t="shared" si="412"/>
        <v>1157.1500000000001</v>
      </c>
      <c r="DA144" s="282">
        <f t="shared" si="412"/>
        <v>1148.05</v>
      </c>
      <c r="DB144" s="282">
        <f t="shared" si="412"/>
        <v>1383.15</v>
      </c>
      <c r="DC144" s="282">
        <f t="shared" si="412"/>
        <v>1392.25</v>
      </c>
      <c r="DD144" s="590">
        <f t="shared" si="412"/>
        <v>1367.4499999999998</v>
      </c>
      <c r="DE144" s="282">
        <f t="shared" si="412"/>
        <v>1307.3499999999999</v>
      </c>
      <c r="DF144" s="282">
        <f t="shared" ref="DF144:ET144" si="413">DF143*DF142+(1-DF143)*DF141</f>
        <v>1317.55</v>
      </c>
      <c r="DG144" s="282">
        <f t="shared" si="413"/>
        <v>1317.55</v>
      </c>
      <c r="DH144" s="282">
        <f t="shared" si="413"/>
        <v>1329.1</v>
      </c>
      <c r="DI144" s="282">
        <f t="shared" si="413"/>
        <v>1068.25</v>
      </c>
      <c r="DJ144" s="282">
        <f t="shared" si="413"/>
        <v>1056.7</v>
      </c>
      <c r="DK144" s="590">
        <f t="shared" si="413"/>
        <v>1106.5999999999999</v>
      </c>
      <c r="DL144" s="284">
        <f t="shared" si="413"/>
        <v>1145.6999999999998</v>
      </c>
      <c r="DM144" s="282">
        <f t="shared" si="413"/>
        <v>1105.1500000000001</v>
      </c>
      <c r="DN144" s="282">
        <f t="shared" si="413"/>
        <v>1105.1500000000001</v>
      </c>
      <c r="DO144" s="282">
        <f t="shared" si="413"/>
        <v>1123.6999999999998</v>
      </c>
      <c r="DP144" s="282">
        <f t="shared" si="413"/>
        <v>885.05</v>
      </c>
      <c r="DQ144" s="282">
        <f t="shared" si="413"/>
        <v>866.5</v>
      </c>
      <c r="DR144" s="590">
        <f t="shared" si="413"/>
        <v>867.95</v>
      </c>
      <c r="DS144" s="282">
        <f t="shared" si="413"/>
        <v>859</v>
      </c>
      <c r="DT144" s="282">
        <f t="shared" si="413"/>
        <v>896.2</v>
      </c>
      <c r="DU144" s="282">
        <f t="shared" si="413"/>
        <v>896.2</v>
      </c>
      <c r="DV144" s="282">
        <f t="shared" ref="DV144:EB144" si="414">DV143*DV142+(1-DV143)*DV141</f>
        <v>923.35</v>
      </c>
      <c r="DW144" s="282">
        <f t="shared" si="414"/>
        <v>1023.55</v>
      </c>
      <c r="DX144" s="282">
        <f t="shared" si="414"/>
        <v>996.4</v>
      </c>
      <c r="DY144" s="590">
        <f t="shared" si="414"/>
        <v>968.15</v>
      </c>
      <c r="DZ144" s="282">
        <f t="shared" si="414"/>
        <v>927.59999999999991</v>
      </c>
      <c r="EA144" s="282">
        <f t="shared" si="414"/>
        <v>917.05</v>
      </c>
      <c r="EB144" s="282">
        <f t="shared" si="414"/>
        <v>917.05</v>
      </c>
      <c r="EC144" s="282">
        <f t="shared" ref="EC144:EI144" si="415">EC143*EC142+(1-EC143)*EC141</f>
        <v>1006.4499999999999</v>
      </c>
      <c r="ED144" s="282">
        <f t="shared" si="415"/>
        <v>1129.0999999999999</v>
      </c>
      <c r="EE144" s="282">
        <f t="shared" si="415"/>
        <v>1039.6999999999998</v>
      </c>
      <c r="EF144" s="590">
        <f t="shared" si="415"/>
        <v>1090.8</v>
      </c>
      <c r="EG144" s="282">
        <f t="shared" si="415"/>
        <v>1088.3499999999999</v>
      </c>
      <c r="EH144" s="282">
        <f t="shared" si="415"/>
        <v>1097.1500000000001</v>
      </c>
      <c r="EI144" s="282">
        <f t="shared" si="415"/>
        <v>1097.1500000000001</v>
      </c>
      <c r="EJ144" s="282">
        <f>EJ143*EJ142+(1-EJ143)*EJ141</f>
        <v>1081.3499999999999</v>
      </c>
      <c r="EK144" s="282">
        <f>EK143*EK142+(1-EK143)*EK141</f>
        <v>1111.5999999999999</v>
      </c>
      <c r="EL144" s="282">
        <f>EL143*EL142+(1-EL143)*EL141</f>
        <v>1127.4000000000001</v>
      </c>
      <c r="EM144" s="590">
        <f>EM143*EM142+(1-EM143)*EM141</f>
        <v>1121.05</v>
      </c>
      <c r="EN144" s="282">
        <f t="shared" ref="EN144:EP144" si="416">EN143*EN142+(1-EN143)*EN141</f>
        <v>1823.75</v>
      </c>
      <c r="EO144" s="282">
        <f t="shared" si="416"/>
        <v>3069.3</v>
      </c>
      <c r="EP144" s="282">
        <f t="shared" si="416"/>
        <v>3069.3</v>
      </c>
      <c r="EQ144" s="284">
        <f t="shared" ref="EQ144" si="417">EQ143*EQ142+(1-EQ143)*EQ141</f>
        <v>2865.75</v>
      </c>
      <c r="ER144" s="282">
        <f t="shared" si="413"/>
        <v>4558.6721228235492</v>
      </c>
      <c r="ES144" s="282">
        <f t="shared" si="413"/>
        <v>4762.2221228235485</v>
      </c>
      <c r="ET144" s="590">
        <f t="shared" si="413"/>
        <v>2813.9721228235485</v>
      </c>
      <c r="EU144" s="282">
        <f>EU143*EU142+(1-EU143)*EU141</f>
        <v>2690.4702176524165</v>
      </c>
      <c r="EV144" s="282">
        <f t="shared" ref="EV144:FV144" si="418">EV143*EV142+(1-EV143)*EV141</f>
        <v>4219.0528793644926</v>
      </c>
      <c r="EW144" s="282">
        <f t="shared" si="418"/>
        <v>2648.0826617120761</v>
      </c>
      <c r="EX144" s="282">
        <f t="shared" si="418"/>
        <v>4092.2842908117982</v>
      </c>
      <c r="EY144" s="282">
        <f t="shared" si="418"/>
        <v>3974.5870150952496</v>
      </c>
      <c r="EZ144" s="282">
        <f t="shared" si="418"/>
        <v>4058.968047707604</v>
      </c>
      <c r="FA144" s="590">
        <f t="shared" si="418"/>
        <v>4224.8575088190764</v>
      </c>
      <c r="FB144" s="282">
        <f t="shared" si="418"/>
        <v>4076.6595268355768</v>
      </c>
      <c r="FC144" s="282">
        <f t="shared" si="418"/>
        <v>3583.3173988039762</v>
      </c>
      <c r="FD144" s="282">
        <f t="shared" si="418"/>
        <v>4015.1021176154964</v>
      </c>
      <c r="FE144" s="282">
        <f t="shared" si="418"/>
        <v>3407.7543421576429</v>
      </c>
      <c r="FF144" s="282">
        <f t="shared" si="418"/>
        <v>3240.0727481031963</v>
      </c>
      <c r="FG144" s="282">
        <f t="shared" si="418"/>
        <v>3354.0783955294487</v>
      </c>
      <c r="FH144" s="590">
        <f t="shared" si="418"/>
        <v>3563.8337867330292</v>
      </c>
      <c r="FI144" s="282">
        <f t="shared" si="418"/>
        <v>3383.1835266080188</v>
      </c>
      <c r="FJ144" s="282">
        <f t="shared" si="418"/>
        <v>2744.6874883887426</v>
      </c>
      <c r="FK144" s="282">
        <f t="shared" si="418"/>
        <v>3302.7747337717801</v>
      </c>
      <c r="FL144" s="282">
        <f t="shared" si="418"/>
        <v>2528.546309114181</v>
      </c>
      <c r="FM144" s="282">
        <f t="shared" si="418"/>
        <v>2321.8387878562808</v>
      </c>
      <c r="FN144" s="282">
        <f t="shared" si="418"/>
        <v>2457.5711742946041</v>
      </c>
      <c r="FO144" s="590">
        <f t="shared" si="418"/>
        <v>2718.6302272558532</v>
      </c>
      <c r="FP144" s="282">
        <f t="shared" si="418"/>
        <v>2514.0541849280794</v>
      </c>
      <c r="FQ144" s="282">
        <f t="shared" si="418"/>
        <v>1741.6893956132171</v>
      </c>
      <c r="FR144" s="282">
        <f t="shared" si="418"/>
        <v>2414.0320121601399</v>
      </c>
      <c r="FS144" s="282">
        <f t="shared" si="418"/>
        <v>1481.9444202238692</v>
      </c>
      <c r="FT144" s="282">
        <f t="shared" si="418"/>
        <v>1231.8520281398351</v>
      </c>
      <c r="FU144" s="282">
        <f t="shared" si="418"/>
        <v>1391.5748307612434</v>
      </c>
      <c r="FV144" s="590">
        <f t="shared" si="418"/>
        <v>1696.1730458569568</v>
      </c>
    </row>
    <row r="145" spans="2:178" outlineLevel="1" x14ac:dyDescent="0.3">
      <c r="B145" s="253" t="s">
        <v>497</v>
      </c>
      <c r="C145" s="280" t="s">
        <v>413</v>
      </c>
      <c r="J145" s="349">
        <f>-J146/J144</f>
        <v>4.7571853320118936E-2</v>
      </c>
      <c r="K145" s="349">
        <f>-(K146/K144*4)</f>
        <v>0.32700729927007299</v>
      </c>
      <c r="L145" s="349">
        <f>-(L146/L144*4)</f>
        <v>5.8823529411764705E-3</v>
      </c>
      <c r="M145" s="349">
        <f>-(M146/M144*2)</f>
        <v>0.17185185185185184</v>
      </c>
      <c r="N145" s="349">
        <f>-(N146/N144*4)</f>
        <v>5.3811659192825115E-2</v>
      </c>
      <c r="O145" s="349">
        <f>-(O146/O144*4)</f>
        <v>0.13623188405797101</v>
      </c>
      <c r="P145" s="349">
        <f>-(P146/P144*2)</f>
        <v>7.6780185758513933E-2</v>
      </c>
      <c r="Q145" s="349">
        <f>-(Q146/Q144)</f>
        <v>4.8909720807010393E-2</v>
      </c>
      <c r="R145" s="349">
        <f>-(R146/R144*4)</f>
        <v>2.4316109422492401E-2</v>
      </c>
      <c r="S145" s="349">
        <f>-(S146/S144*4)</f>
        <v>8.0645161290322578E-2</v>
      </c>
      <c r="T145" s="349">
        <f>-(T146/T144*2)</f>
        <v>3.5705896171012448E-2</v>
      </c>
      <c r="U145" s="349">
        <f>-(U146/U144*4)</f>
        <v>5.4524089306697998E-2</v>
      </c>
      <c r="V145" s="349">
        <f>-(V146/V144*4)</f>
        <v>6.2081128747795422E-2</v>
      </c>
      <c r="W145" s="349">
        <f>-(W146/W144*2)</f>
        <v>7.5354838709677421E-2</v>
      </c>
      <c r="X145" s="349">
        <f>-(X146/X144)</f>
        <v>4.9060773480662984E-2</v>
      </c>
      <c r="Y145" s="349">
        <f>-(Y146/Y144*4)</f>
        <v>4.0585365853658538E-2</v>
      </c>
      <c r="Z145" s="349">
        <f>-(Z146/Z144*4)</f>
        <v>3.1149483663450141E-2</v>
      </c>
      <c r="AA145" s="349">
        <f>-(AA146/AA144*2)</f>
        <v>4.3152796125055043E-2</v>
      </c>
      <c r="AB145" s="349">
        <f>-(AB146/AB144*4)</f>
        <v>3.543586109142452E-2</v>
      </c>
      <c r="AC145" s="349">
        <f>-(AC146/AC144*4)</f>
        <v>4.8858887817422036E-2</v>
      </c>
      <c r="AD145" s="349">
        <f>-(AD146/AD144*2)</f>
        <v>4.269739071501185E-2</v>
      </c>
      <c r="AE145" s="349">
        <f>-(AE146/AE144)</f>
        <v>3.8062871707731517E-2</v>
      </c>
      <c r="AF145" s="349">
        <f>-(AF146/AF144*4)</f>
        <v>2.2408963585434174E-2</v>
      </c>
      <c r="AG145" s="349">
        <f>-(AG146/AG144*4)</f>
        <v>2.4844720496894408E-2</v>
      </c>
      <c r="AH145" s="349">
        <f>-(AH146/AH144*2)</f>
        <v>2.5183630640083946E-2</v>
      </c>
      <c r="AI145" s="349">
        <f>-(AI146/AI144*4)</f>
        <v>3.5643564356435647E-2</v>
      </c>
      <c r="AJ145" s="349">
        <f>-(AJ146/AJ144*4)</f>
        <v>6.7052023121387291E-2</v>
      </c>
      <c r="AK145" s="349">
        <f>-(AK146/AK144*2)</f>
        <v>5.1366120218579239E-2</v>
      </c>
      <c r="AL145" s="349">
        <f>-(AL146/AL144)</f>
        <v>3.221757322175732E-2</v>
      </c>
      <c r="AM145" s="349">
        <f>-(AM146/AM144*4)</f>
        <v>2.6716141001855289E-2</v>
      </c>
      <c r="AN145" s="349">
        <f>-(AN146/AN144*4)</f>
        <v>4.7311827956989252E-2</v>
      </c>
      <c r="AO145" s="350">
        <f>-(AO146/AO144*2)</f>
        <v>3.3264033264033266E-2</v>
      </c>
      <c r="AP145" s="350">
        <f>-(AP146/AP144*2)</f>
        <v>3.3472803347280332E-2</v>
      </c>
      <c r="AQ145" s="349">
        <f>-(AQ146/AQ144*4)</f>
        <v>0.1702127659574468</v>
      </c>
      <c r="AR145" s="349">
        <f>-(AR146/AR144*2)</f>
        <v>9.2592592592592587E-2</v>
      </c>
      <c r="AS145" s="349">
        <f>-(AS146/AS144)</f>
        <v>8.4507042253521125E-2</v>
      </c>
      <c r="AT145" s="349">
        <f>-(AT146/AT144*4)</f>
        <v>5.291828793774319E-2</v>
      </c>
      <c r="AU145" s="349">
        <f>-(AU146/AU144*4)</f>
        <v>0.10306748466257669</v>
      </c>
      <c r="AV145" s="349">
        <f>-(AV146/AV144*2)</f>
        <v>7.1028037383177561E-2</v>
      </c>
      <c r="AW145" s="349">
        <f>-(AW146/AW144*4)</f>
        <v>0.25205479452054791</v>
      </c>
      <c r="AX145" s="349">
        <f>-(AX146/AX144*4)</f>
        <v>1.0589151310667009</v>
      </c>
      <c r="AY145" s="349">
        <f>-(AY146/AY144*2)</f>
        <v>0.32563256325632556</v>
      </c>
      <c r="AZ145" s="349">
        <f>-(AZ146/AZ144)</f>
        <v>0.24916573971078973</v>
      </c>
      <c r="BA145" s="462">
        <v>0.17</v>
      </c>
      <c r="BB145" s="463">
        <v>0.05</v>
      </c>
      <c r="BC145" s="350">
        <f>-(BC146/BC144*2)</f>
        <v>8.5000000000000006E-2</v>
      </c>
      <c r="BD145" s="463">
        <v>0.06</v>
      </c>
      <c r="BE145" s="350">
        <f>BD145</f>
        <v>0.06</v>
      </c>
      <c r="BF145" s="350">
        <f>BE145</f>
        <v>0.06</v>
      </c>
      <c r="BG145" s="350">
        <f>-BG146/BG144</f>
        <v>8.1148867313915865E-2</v>
      </c>
      <c r="BH145" s="349">
        <f>-(BH146/BH144*4)</f>
        <v>0.28478964401294504</v>
      </c>
      <c r="BI145" s="350">
        <f>BH145</f>
        <v>0.28478964401294504</v>
      </c>
      <c r="BJ145" s="349">
        <f>-(BJ146/BJ144*2)</f>
        <v>0.29773462783171523</v>
      </c>
      <c r="BK145" s="349">
        <f>-(BK146/BK144*4)</f>
        <v>0.38766519823788553</v>
      </c>
      <c r="BL145" s="349">
        <f>-(BL146/BL144)</f>
        <v>9.6916299559471383E-2</v>
      </c>
      <c r="BM145" s="349">
        <f>-(BM146/BM144*2)</f>
        <v>0.18723404255319151</v>
      </c>
      <c r="BN145" s="349">
        <f t="shared" ref="BN145:BU145" si="419">-(BN146/BN144)</f>
        <v>0.19148936170212766</v>
      </c>
      <c r="BO145" s="349">
        <f t="shared" si="419"/>
        <v>6.9958847736625515E-2</v>
      </c>
      <c r="BP145" s="349">
        <f t="shared" si="419"/>
        <v>7.9328044797013532E-3</v>
      </c>
      <c r="BQ145" s="349">
        <f t="shared" si="419"/>
        <v>1.7894736842105265E-2</v>
      </c>
      <c r="BR145" s="349">
        <f t="shared" si="419"/>
        <v>5.454545454545455E-3</v>
      </c>
      <c r="BS145" s="349">
        <f t="shared" si="419"/>
        <v>1.0984895768318563E-2</v>
      </c>
      <c r="BT145" s="349">
        <f t="shared" si="419"/>
        <v>1.6432815067627355E-2</v>
      </c>
      <c r="BU145" s="349">
        <f t="shared" si="419"/>
        <v>4.3222003929273084E-2</v>
      </c>
      <c r="BV145" s="349">
        <f>-(BV146/BV144*4)</f>
        <v>0.10676000875082038</v>
      </c>
      <c r="BW145" s="349">
        <f>-(BW146/BW144*4)</f>
        <v>5.5161387029079648E-2</v>
      </c>
      <c r="BX145" s="350">
        <f>-(BX146/BX144*2)</f>
        <v>8.1555834378920944E-2</v>
      </c>
      <c r="BY145" s="349">
        <f>-(BY146/BY144*4)</f>
        <v>4.9617977528089892E-2</v>
      </c>
      <c r="BZ145" s="349">
        <f>-(BZ146/BZ144*4)</f>
        <v>4.5697438732264603E-2</v>
      </c>
      <c r="CA145" s="350">
        <f>-(CA146/CA144*2)</f>
        <v>4.5403344597521884E-2</v>
      </c>
      <c r="CB145" s="350">
        <f>-CB146/CB144</f>
        <v>5.3560435050277036E-2</v>
      </c>
      <c r="CC145" s="349">
        <f>-(CC146/CC144*4)</f>
        <v>5.7442443583314337E-2</v>
      </c>
      <c r="CD145" s="349">
        <f>-(CD146/CD144*4)</f>
        <v>5.2807667962745268E-2</v>
      </c>
      <c r="CE145" s="350">
        <f>-(CE146/CE144*2)</f>
        <v>5.1775007138098406E-2</v>
      </c>
      <c r="CF145" s="349">
        <f>-(CF146/CF144*4)</f>
        <v>5.0885336083892042E-2</v>
      </c>
      <c r="CG145" s="349">
        <f>-(CG146/CG144*4)</f>
        <v>5.259928114315772E-2</v>
      </c>
      <c r="CH145" s="350">
        <f>-(CH146/CH144*2)</f>
        <v>4.7433346597692001E-2</v>
      </c>
      <c r="CI145" s="350">
        <f>-CI146/CI144</f>
        <v>4.8288715689596744E-2</v>
      </c>
      <c r="CJ145" s="349">
        <f>-(CJ146/CJ144*4)</f>
        <v>4.8568321855744841E-2</v>
      </c>
      <c r="CK145" s="349">
        <f>-(CK146/CK144*4)</f>
        <v>5.0458715596330271E-2</v>
      </c>
      <c r="CL145" s="350">
        <f>-(CL146/CL144*2)</f>
        <v>4.6294807908696348E-2</v>
      </c>
      <c r="CM145" s="349">
        <f>-(CM146/CM144*4)</f>
        <v>4.9160180253994268E-2</v>
      </c>
      <c r="CN145" s="349">
        <f>-(CN146/CN144*4)</f>
        <v>5.3707366780555058E-2</v>
      </c>
      <c r="CO145" s="350">
        <f>-(CO146/CO144*2)</f>
        <v>5.1626094179285667E-2</v>
      </c>
      <c r="CP145" s="464">
        <f>-CP146/CP144</f>
        <v>4.6093385732365287E-2</v>
      </c>
      <c r="CQ145" s="337">
        <f>-(CQ146/CQ144*4)</f>
        <v>4.8861505491561742E-2</v>
      </c>
      <c r="CR145" s="337">
        <f>-(CR146/CR144*4)</f>
        <v>4.0917592274514303E-2</v>
      </c>
      <c r="CS145" s="464">
        <f>-(CS146/CS144*2)</f>
        <v>4.9919484702093397E-2</v>
      </c>
      <c r="CT145" s="337">
        <f>-(CT146/CT144*4)</f>
        <v>4.4517478338810881E-2</v>
      </c>
      <c r="CU145" s="337">
        <f>-(CU146/CU144*4)</f>
        <v>4.8221461527012947E-2</v>
      </c>
      <c r="CV145" s="464">
        <f>-(CV146/CV144*2)</f>
        <v>4.5226496037228246E-2</v>
      </c>
      <c r="CW145" s="464">
        <f>-CW146/CW144</f>
        <v>4.9366361990550625E-2</v>
      </c>
      <c r="CX145" s="337">
        <f>-(CX146/CX144*4)</f>
        <v>5.2953528713594454E-2</v>
      </c>
      <c r="CY145" s="337">
        <f>-(CY146/CY144*4)</f>
        <v>4.3858046124045161E-2</v>
      </c>
      <c r="CZ145" s="464">
        <f>-(CZ146/CZ144*2)</f>
        <v>5.0987339584323547E-2</v>
      </c>
      <c r="DA145" s="337">
        <f>-(DA146/DA144*4)</f>
        <v>4.8778363311702454E-2</v>
      </c>
      <c r="DB145" s="337">
        <f>-(DB146/DB144*4)</f>
        <v>4.7717167335429994E-2</v>
      </c>
      <c r="DC145" s="464">
        <f>-(DC146/DC144*2)</f>
        <v>4.3813970192135031E-2</v>
      </c>
      <c r="DD145" s="577">
        <f>-DD146/DD144</f>
        <v>4.3877289846063844E-2</v>
      </c>
      <c r="DE145" s="464">
        <f>-(DE146/DE144*4)</f>
        <v>3.8857230274983744E-2</v>
      </c>
      <c r="DF145" s="464">
        <f>-(DF146/DF144*4)</f>
        <v>3.9163599104398317E-2</v>
      </c>
      <c r="DG145" s="464">
        <f>-(DG146/DG144*2)</f>
        <v>3.8860005312891355E-2</v>
      </c>
      <c r="DH145" s="337">
        <f>-(DH146/DH144*4)</f>
        <v>4.8453840945000382E-2</v>
      </c>
      <c r="DI145" s="337">
        <f>-(DI146/DI144*4)</f>
        <v>2.2841095249239388E-2</v>
      </c>
      <c r="DJ145" s="464">
        <f>-(DJ146/DJ144*2)</f>
        <v>4.2017601968392153E-2</v>
      </c>
      <c r="DK145" s="577">
        <f>-DK146/DK144</f>
        <v>4.3195373215253935E-2</v>
      </c>
      <c r="DL145" s="465">
        <f>-(DL146/DL144*4)</f>
        <v>3.561141660120451E-2</v>
      </c>
      <c r="DM145" s="464">
        <f>-(DM146/DM144*4)</f>
        <v>3.7280007238836357E-2</v>
      </c>
      <c r="DN145" s="464">
        <f>-(DN146/DN144*2)</f>
        <v>3.7099036329909962E-2</v>
      </c>
      <c r="DO145" s="464">
        <f>-(DO146/DO144*4)</f>
        <v>4.0224259143899627E-2</v>
      </c>
      <c r="DP145" s="337">
        <f>-(DP146/DP144*4)</f>
        <v>4.7002994181119723E-2</v>
      </c>
      <c r="DQ145" s="464">
        <f>-(DQ146/DQ144*2)</f>
        <v>5.0086555106751307E-2</v>
      </c>
      <c r="DR145" s="577">
        <f>-DR146/DR144</f>
        <v>4.8620312229967162E-2</v>
      </c>
      <c r="DS145" s="464">
        <f>-(DS146/DS144*4)</f>
        <v>4.0977881257275903E-2</v>
      </c>
      <c r="DT145" s="464">
        <f>-(DT146/DT144*4)</f>
        <v>4.0169604998884174E-2</v>
      </c>
      <c r="DU145" s="464">
        <f>-(DU146/DU144*2)</f>
        <v>3.9723276054452132E-2</v>
      </c>
      <c r="DV145" s="464">
        <f>-(DV146/DV144*4)</f>
        <v>4.8085774625006766E-2</v>
      </c>
      <c r="DW145" s="337">
        <f>-(DW146/DW144*4)</f>
        <v>6.4872258316643061E-2</v>
      </c>
      <c r="DX145" s="464">
        <f>-(DX146/DX144*2)</f>
        <v>5.56001605780811E-2</v>
      </c>
      <c r="DY145" s="577">
        <f>-DY146/DY144</f>
        <v>4.6996849661725973E-2</v>
      </c>
      <c r="DZ145" s="464">
        <f>-(DZ146/DZ144*4)</f>
        <v>5.7783527382492463E-2</v>
      </c>
      <c r="EA145" s="464">
        <f>-(EA146/EA144*4)</f>
        <v>5.27779292295949E-2</v>
      </c>
      <c r="EB145" s="464">
        <f>-(EB146/EB144*2)</f>
        <v>5.5613107246060743E-2</v>
      </c>
      <c r="EC145" s="464">
        <f>-(EC146/EC144*4)</f>
        <v>5.8423170549952809E-2</v>
      </c>
      <c r="ED145" s="337">
        <f>-(ED146/ED144*4)</f>
        <v>5.5619519971658843E-2</v>
      </c>
      <c r="EE145" s="464">
        <f>-(EE146/EE144*2)</f>
        <v>5.8478407232855641E-2</v>
      </c>
      <c r="EF145" s="577">
        <f>-EF146/EF144</f>
        <v>5.1246791345801249E-2</v>
      </c>
      <c r="EG145" s="464">
        <f>-(EG146/EG144*4)</f>
        <v>5.7702026002664587E-2</v>
      </c>
      <c r="EH145" s="464">
        <f>-(EH146/EH144*4)</f>
        <v>5.7239210682222111E-2</v>
      </c>
      <c r="EI145" s="464">
        <f>-(EI146/EI144*2)</f>
        <v>5.7239210682222111E-2</v>
      </c>
      <c r="EJ145" s="464">
        <f>-(EJ146/EJ144*4)</f>
        <v>5.5856105793683823E-2</v>
      </c>
      <c r="EK145" s="464">
        <f>-(EK146/EK144*4)</f>
        <v>5.2896725440806064E-2</v>
      </c>
      <c r="EL145" s="464">
        <f>-(EL146/EL144*2)</f>
        <v>5.2864999113003373E-2</v>
      </c>
      <c r="EM145" s="577">
        <f>-EM146/EM144</f>
        <v>5.4591677445252222E-2</v>
      </c>
      <c r="EN145" s="464">
        <f>-(EN146/EN144*4)</f>
        <v>2.5880740233036329E-2</v>
      </c>
      <c r="EO145" s="464">
        <f>-(EO146/EO144*4)</f>
        <v>8.5231160199394002E-2</v>
      </c>
      <c r="EP145" s="464">
        <f>-(EP146/EP144*2)</f>
        <v>5.0304629720131624E-2</v>
      </c>
      <c r="EQ145" s="465">
        <f>-(EQ146/EQ144*4)</f>
        <v>9.1564162959085746E-2</v>
      </c>
      <c r="ER145" s="464">
        <v>5.7000000000000002E-2</v>
      </c>
      <c r="ES145" s="464">
        <f>-(ES146/ES144*2)</f>
        <v>5.5132592144679395E-2</v>
      </c>
      <c r="ET145" s="577">
        <f>-ET146/ET144</f>
        <v>7.4086314967048678E-2</v>
      </c>
      <c r="EU145" s="466">
        <v>5.7000000000000002E-2</v>
      </c>
      <c r="EV145" s="464">
        <f>EU145</f>
        <v>5.7000000000000002E-2</v>
      </c>
      <c r="EW145" s="464">
        <f>-(EW146/EW144*2)</f>
        <v>9.4385918166744132E-2</v>
      </c>
      <c r="EX145" s="466">
        <f>+EU145</f>
        <v>5.7000000000000002E-2</v>
      </c>
      <c r="EY145" s="464">
        <f>EX145</f>
        <v>5.7000000000000002E-2</v>
      </c>
      <c r="EZ145" s="464">
        <f>-(EZ146/EZ144*2)</f>
        <v>5.7467859277190315E-2</v>
      </c>
      <c r="FA145" s="577">
        <f>-FA146/FA144</f>
        <v>5.7185587558249519E-2</v>
      </c>
      <c r="FB145" s="466">
        <f>+EX145</f>
        <v>5.7000000000000002E-2</v>
      </c>
      <c r="FC145" s="464">
        <f>FB145</f>
        <v>5.7000000000000002E-2</v>
      </c>
      <c r="FD145" s="464">
        <f>-(FD146/FD144*2)</f>
        <v>5.384798261590204E-2</v>
      </c>
      <c r="FE145" s="466">
        <f>+FB145</f>
        <v>5.7000000000000002E-2</v>
      </c>
      <c r="FF145" s="464">
        <f>FE145</f>
        <v>5.7000000000000002E-2</v>
      </c>
      <c r="FG145" s="464">
        <f>-(FG146/FG144*2)</f>
        <v>5.7912181707465461E-2</v>
      </c>
      <c r="FH145" s="577">
        <f>-FH146/FH144</f>
        <v>5.758505742627152E-2</v>
      </c>
      <c r="FI145" s="466">
        <f>+FE145</f>
        <v>5.7000000000000002E-2</v>
      </c>
      <c r="FJ145" s="464">
        <f>FI145</f>
        <v>5.7000000000000002E-2</v>
      </c>
      <c r="FK145" s="464">
        <f>-(FK146/FK144*2)</f>
        <v>5.1873823275041489E-2</v>
      </c>
      <c r="FL145" s="466">
        <f>+FI145</f>
        <v>5.7000000000000002E-2</v>
      </c>
      <c r="FM145" s="464">
        <f>FL145</f>
        <v>5.7000000000000002E-2</v>
      </c>
      <c r="FN145" s="464">
        <f>-(FN146/FN144*2)</f>
        <v>5.8646171116845495E-2</v>
      </c>
      <c r="FO145" s="577">
        <f>-FO146/FO144</f>
        <v>5.8017211997762802E-2</v>
      </c>
      <c r="FP145" s="466">
        <f>+FL145</f>
        <v>5.7000000000000002E-2</v>
      </c>
      <c r="FQ145" s="464">
        <f>FP145</f>
        <v>5.7000000000000002E-2</v>
      </c>
      <c r="FR145" s="464">
        <f>-(FR146/FR144*2)</f>
        <v>4.8316838062987366E-2</v>
      </c>
      <c r="FS145" s="466">
        <f>+FP145</f>
        <v>5.7000000000000002E-2</v>
      </c>
      <c r="FT145" s="464">
        <f>FS145</f>
        <v>5.7000000000000002E-2</v>
      </c>
      <c r="FU145" s="464">
        <f>IFERROR(-(FU146/FU144*2),"n.m")</f>
        <v>6.070160948984097E-2</v>
      </c>
      <c r="FV145" s="577">
        <f>-FV146/FV144</f>
        <v>5.9283227691418479E-2</v>
      </c>
    </row>
    <row r="146" spans="2:178" outlineLevel="1" x14ac:dyDescent="0.3">
      <c r="B146" s="247" t="s">
        <v>498</v>
      </c>
      <c r="C146" s="304" t="s">
        <v>226</v>
      </c>
      <c r="D146" s="250">
        <f t="shared" ref="D146:AN146" si="420">D60</f>
        <v>-1.7</v>
      </c>
      <c r="E146" s="250">
        <f t="shared" si="420"/>
        <v>-2.2999999999999998</v>
      </c>
      <c r="F146" s="250">
        <f t="shared" si="420"/>
        <v>-4</v>
      </c>
      <c r="G146" s="250">
        <f t="shared" si="420"/>
        <v>-1.1000000000000001</v>
      </c>
      <c r="H146" s="250">
        <f t="shared" si="420"/>
        <v>-2.1</v>
      </c>
      <c r="I146" s="250">
        <f t="shared" si="420"/>
        <v>-3.2</v>
      </c>
      <c r="J146" s="250">
        <f t="shared" si="420"/>
        <v>-7.2</v>
      </c>
      <c r="K146" s="250">
        <f t="shared" si="420"/>
        <v>-5.6</v>
      </c>
      <c r="L146" s="250">
        <f t="shared" si="420"/>
        <v>-0.2</v>
      </c>
      <c r="M146" s="250">
        <f t="shared" si="420"/>
        <v>-5.8</v>
      </c>
      <c r="N146" s="250">
        <f t="shared" si="420"/>
        <v>-1.5</v>
      </c>
      <c r="O146" s="250">
        <f t="shared" si="420"/>
        <v>-4.7</v>
      </c>
      <c r="P146" s="250">
        <f t="shared" si="420"/>
        <v>-6.2</v>
      </c>
      <c r="Q146" s="250">
        <f t="shared" si="420"/>
        <v>-12</v>
      </c>
      <c r="R146" s="250">
        <f t="shared" si="420"/>
        <v>-1.3</v>
      </c>
      <c r="S146" s="250">
        <f t="shared" si="420"/>
        <v>-2.5</v>
      </c>
      <c r="T146" s="250">
        <f t="shared" si="420"/>
        <v>-3.8</v>
      </c>
      <c r="U146" s="250">
        <f t="shared" si="420"/>
        <v>-2.9</v>
      </c>
      <c r="V146" s="250">
        <f t="shared" si="420"/>
        <v>-4.4000000000000004</v>
      </c>
      <c r="W146" s="250">
        <f t="shared" si="420"/>
        <v>-7.3</v>
      </c>
      <c r="X146" s="250">
        <f t="shared" si="420"/>
        <v>-11.1</v>
      </c>
      <c r="Y146" s="250">
        <f t="shared" si="420"/>
        <v>-2.6</v>
      </c>
      <c r="Z146" s="250">
        <f t="shared" si="420"/>
        <v>-2.2999999999999998</v>
      </c>
      <c r="AA146" s="250">
        <f t="shared" si="420"/>
        <v>-4.9000000000000004</v>
      </c>
      <c r="AB146" s="250">
        <f t="shared" si="420"/>
        <v>-2.5</v>
      </c>
      <c r="AC146" s="250">
        <f t="shared" si="420"/>
        <v>-3.7999999999999989</v>
      </c>
      <c r="AD146" s="250">
        <f t="shared" si="420"/>
        <v>-6.2999999999999989</v>
      </c>
      <c r="AE146" s="250">
        <f t="shared" si="420"/>
        <v>-11.2</v>
      </c>
      <c r="AF146" s="250">
        <f t="shared" si="420"/>
        <v>-1.5</v>
      </c>
      <c r="AG146" s="250">
        <f t="shared" si="420"/>
        <v>-1.5</v>
      </c>
      <c r="AH146" s="250">
        <f t="shared" si="420"/>
        <v>-3</v>
      </c>
      <c r="AI146" s="250">
        <f t="shared" si="420"/>
        <v>-1.8</v>
      </c>
      <c r="AJ146" s="250">
        <f t="shared" si="420"/>
        <v>-2.9000000000000004</v>
      </c>
      <c r="AK146" s="250">
        <f t="shared" si="420"/>
        <v>-4.7</v>
      </c>
      <c r="AL146" s="250">
        <f t="shared" si="420"/>
        <v>-7.7</v>
      </c>
      <c r="AM146" s="250">
        <f t="shared" si="420"/>
        <v>-1.8</v>
      </c>
      <c r="AN146" s="250">
        <f t="shared" si="420"/>
        <v>-2.2000000000000002</v>
      </c>
      <c r="AO146" s="281">
        <f>SUM(AM146:AN146)</f>
        <v>-4</v>
      </c>
      <c r="AP146" s="289">
        <v>-2</v>
      </c>
      <c r="AQ146" s="250">
        <f t="shared" ref="AQ146:AZ146" si="421">AQ60</f>
        <v>-3</v>
      </c>
      <c r="AR146" s="250">
        <f t="shared" si="421"/>
        <v>-5</v>
      </c>
      <c r="AS146" s="250">
        <f t="shared" si="421"/>
        <v>-9</v>
      </c>
      <c r="AT146" s="250">
        <f t="shared" si="421"/>
        <v>-1.7</v>
      </c>
      <c r="AU146" s="250">
        <f t="shared" si="421"/>
        <v>-2.1</v>
      </c>
      <c r="AV146" s="250">
        <f t="shared" si="421"/>
        <v>-3.8</v>
      </c>
      <c r="AW146" s="250">
        <f t="shared" si="421"/>
        <v>-2.2999999999999998</v>
      </c>
      <c r="AX146" s="250">
        <f t="shared" si="421"/>
        <v>-5.0999999999999988</v>
      </c>
      <c r="AY146" s="250">
        <f t="shared" si="421"/>
        <v>-7.3999999999999986</v>
      </c>
      <c r="AZ146" s="250">
        <f t="shared" si="421"/>
        <v>-11.2</v>
      </c>
      <c r="BA146" s="281">
        <f>-(BA145*BA144/4)</f>
        <v>-1.2537500000000001</v>
      </c>
      <c r="BB146" s="281">
        <f>-(BB145*BB144/4)</f>
        <v>0</v>
      </c>
      <c r="BC146" s="281">
        <f>SUM(BA146:BB146)</f>
        <v>-1.2537500000000001</v>
      </c>
      <c r="BD146" s="281">
        <f>-(BD145*BD144/4)</f>
        <v>0</v>
      </c>
      <c r="BE146" s="281">
        <f>-(BE145*BE144/4)</f>
        <v>0</v>
      </c>
      <c r="BF146" s="281">
        <f>SUM(BD146:BE146)</f>
        <v>0</v>
      </c>
      <c r="BG146" s="281">
        <f>BF146+BC146</f>
        <v>-1.2537500000000001</v>
      </c>
      <c r="BH146" s="250">
        <f t="shared" ref="BH146:BW146" si="422">BH60</f>
        <v>-1.1000000000000001</v>
      </c>
      <c r="BI146" s="250">
        <f t="shared" si="422"/>
        <v>-1.2</v>
      </c>
      <c r="BJ146" s="250">
        <f t="shared" si="422"/>
        <v>-2.2999999999999998</v>
      </c>
      <c r="BK146" s="250">
        <f t="shared" si="422"/>
        <v>-1.1000000000000001</v>
      </c>
      <c r="BL146" s="281">
        <f t="shared" si="422"/>
        <v>-1.1000000000000001</v>
      </c>
      <c r="BM146" s="250">
        <f t="shared" si="422"/>
        <v>-2.2000000000000002</v>
      </c>
      <c r="BN146" s="320">
        <f t="shared" si="422"/>
        <v>-4.5</v>
      </c>
      <c r="BO146" s="320">
        <f t="shared" si="422"/>
        <v>-1.7</v>
      </c>
      <c r="BP146" s="320">
        <f t="shared" si="422"/>
        <v>-1.7000000000000002</v>
      </c>
      <c r="BQ146" s="320">
        <f t="shared" si="422"/>
        <v>-3.4000000000000004</v>
      </c>
      <c r="BR146" s="320">
        <f t="shared" si="422"/>
        <v>-2.1</v>
      </c>
      <c r="BS146" s="320">
        <f t="shared" si="422"/>
        <v>-4.4000000000000004</v>
      </c>
      <c r="BT146" s="320">
        <f t="shared" si="422"/>
        <v>-6.5</v>
      </c>
      <c r="BU146" s="320">
        <f t="shared" si="422"/>
        <v>-9.9</v>
      </c>
      <c r="BV146" s="320">
        <f t="shared" si="422"/>
        <v>-6.1</v>
      </c>
      <c r="BW146" s="320">
        <f t="shared" si="422"/>
        <v>-6.9</v>
      </c>
      <c r="BX146" s="320">
        <f>SUM(BV146:BW146)</f>
        <v>-13</v>
      </c>
      <c r="BY146" s="320">
        <f>BY60</f>
        <v>-6.9</v>
      </c>
      <c r="BZ146" s="320">
        <f>BZ60</f>
        <v>-6.2</v>
      </c>
      <c r="CA146" s="320">
        <f>SUM(BY146:BZ146)</f>
        <v>-13.100000000000001</v>
      </c>
      <c r="CB146" s="320">
        <f>CA146+BX146</f>
        <v>-26.1</v>
      </c>
      <c r="CC146" s="320">
        <f>CC60</f>
        <v>-6.3</v>
      </c>
      <c r="CD146" s="320">
        <f>CD60</f>
        <v>-7.3</v>
      </c>
      <c r="CE146" s="320">
        <f>SUM(CC146:CD146)</f>
        <v>-13.6</v>
      </c>
      <c r="CF146" s="320">
        <f>CF60</f>
        <v>-7.4</v>
      </c>
      <c r="CG146" s="320">
        <f>CG60</f>
        <v>-7.5</v>
      </c>
      <c r="CH146" s="320">
        <f>SUM(CF146:CG146)</f>
        <v>-14.9</v>
      </c>
      <c r="CI146" s="320">
        <f>CH146+CE146</f>
        <v>-28.5</v>
      </c>
      <c r="CJ146" s="320">
        <f>CJ60</f>
        <v>-6.7</v>
      </c>
      <c r="CK146" s="320">
        <f>CK60</f>
        <v>-7.7</v>
      </c>
      <c r="CL146" s="320">
        <f>SUM(CJ146:CK146)</f>
        <v>-14.4</v>
      </c>
      <c r="CM146" s="320">
        <f>CM60</f>
        <v>-9</v>
      </c>
      <c r="CN146" s="320">
        <f>CN60</f>
        <v>-11.2</v>
      </c>
      <c r="CO146" s="320">
        <f>SUM(CM146:CN146)</f>
        <v>-20.2</v>
      </c>
      <c r="CP146" s="282">
        <f>CO146+CL146</f>
        <v>-34.6</v>
      </c>
      <c r="CQ146" s="282">
        <f>CQ60</f>
        <v>-11.399999999999999</v>
      </c>
      <c r="CR146" s="282">
        <f>CR60</f>
        <v>-13.4</v>
      </c>
      <c r="CS146" s="282">
        <f>SUM(CQ146:CR146)</f>
        <v>-24.799999999999997</v>
      </c>
      <c r="CT146" s="282">
        <f>CT60</f>
        <v>-14.900000000000002</v>
      </c>
      <c r="CU146" s="282">
        <f>CU60</f>
        <v>-16.2</v>
      </c>
      <c r="CV146" s="282">
        <f>SUM(CT146:CU146)</f>
        <v>-31.1</v>
      </c>
      <c r="CW146" s="282">
        <f>CV146+CS146</f>
        <v>-55.9</v>
      </c>
      <c r="CX146" s="282">
        <f>CX60</f>
        <v>-14.5</v>
      </c>
      <c r="CY146" s="282">
        <f>CY60</f>
        <v>-14.999999999999998</v>
      </c>
      <c r="CZ146" s="282">
        <f>SUM(CX146:CY146)</f>
        <v>-29.5</v>
      </c>
      <c r="DA146" s="282">
        <f>DA60</f>
        <v>-14</v>
      </c>
      <c r="DB146" s="282">
        <f>DB60</f>
        <v>-16.5</v>
      </c>
      <c r="DC146" s="282">
        <f>SUM(DA146:DB146)</f>
        <v>-30.5</v>
      </c>
      <c r="DD146" s="590">
        <f>DC146+CZ146</f>
        <v>-60</v>
      </c>
      <c r="DE146" s="282">
        <f>DE60</f>
        <v>-12.7</v>
      </c>
      <c r="DF146" s="282">
        <f>DF60</f>
        <v>-12.9</v>
      </c>
      <c r="DG146" s="282">
        <f>SUM(DE146:DF146)</f>
        <v>-25.6</v>
      </c>
      <c r="DH146" s="282">
        <f>DH60</f>
        <v>-16.100000000000001</v>
      </c>
      <c r="DI146" s="282">
        <f>DI60</f>
        <v>-6.0999999999999943</v>
      </c>
      <c r="DJ146" s="282">
        <f>SUM(DH146:DI146)</f>
        <v>-22.199999999999996</v>
      </c>
      <c r="DK146" s="590">
        <f>DJ146+DG146</f>
        <v>-47.8</v>
      </c>
      <c r="DL146" s="284">
        <f>DL60</f>
        <v>-10.199999999999999</v>
      </c>
      <c r="DM146" s="282">
        <f>DM60</f>
        <v>-10.3</v>
      </c>
      <c r="DN146" s="282">
        <f>SUM(DL146:DM146)</f>
        <v>-20.5</v>
      </c>
      <c r="DO146" s="282">
        <f>DO60</f>
        <v>-11.3</v>
      </c>
      <c r="DP146" s="282">
        <f>DP60</f>
        <v>-10.400000000000002</v>
      </c>
      <c r="DQ146" s="282">
        <f>SUM(DO146:DP146)</f>
        <v>-21.700000000000003</v>
      </c>
      <c r="DR146" s="590">
        <f>DQ146+DN146</f>
        <v>-42.2</v>
      </c>
      <c r="DS146" s="282">
        <f>DS60</f>
        <v>-8.8000000000000007</v>
      </c>
      <c r="DT146" s="282">
        <f>DT60</f>
        <v>-9</v>
      </c>
      <c r="DU146" s="282">
        <f>SUM(DS146:DT146)</f>
        <v>-17.8</v>
      </c>
      <c r="DV146" s="282">
        <f>DV60</f>
        <v>-11.1</v>
      </c>
      <c r="DW146" s="282">
        <f>DW60</f>
        <v>-16.600000000000001</v>
      </c>
      <c r="DX146" s="282">
        <f>SUM(DV146:DW146)</f>
        <v>-27.700000000000003</v>
      </c>
      <c r="DY146" s="590">
        <f>DX146+DU146</f>
        <v>-45.5</v>
      </c>
      <c r="DZ146" s="282">
        <f>DZ60</f>
        <v>-13.4</v>
      </c>
      <c r="EA146" s="282">
        <f>EA60</f>
        <v>-12.1</v>
      </c>
      <c r="EB146" s="282">
        <f>SUM(DZ146:EA146)</f>
        <v>-25.5</v>
      </c>
      <c r="EC146" s="282">
        <f>EC60</f>
        <v>-14.7</v>
      </c>
      <c r="ED146" s="282">
        <f>ED60</f>
        <v>-15.7</v>
      </c>
      <c r="EE146" s="282">
        <f>SUM(EC146:ED146)</f>
        <v>-30.4</v>
      </c>
      <c r="EF146" s="590">
        <f>EE146+EB146</f>
        <v>-55.9</v>
      </c>
      <c r="EG146" s="282">
        <f>EG60</f>
        <v>-15.7</v>
      </c>
      <c r="EH146" s="282">
        <f>EH60</f>
        <v>-15.7</v>
      </c>
      <c r="EI146" s="282">
        <f>SUM(EG146:EH146)</f>
        <v>-31.4</v>
      </c>
      <c r="EJ146" s="282">
        <f>EJ60</f>
        <v>-15.1</v>
      </c>
      <c r="EK146" s="282">
        <f>EK60</f>
        <v>-14.700000000000005</v>
      </c>
      <c r="EL146" s="282">
        <f>SUM(EJ146:EK146)</f>
        <v>-29.800000000000004</v>
      </c>
      <c r="EM146" s="590">
        <f>EL146+EI146</f>
        <v>-61.2</v>
      </c>
      <c r="EN146" s="282">
        <f>EN60</f>
        <v>-11.8</v>
      </c>
      <c r="EO146" s="282">
        <f>EO60</f>
        <v>-65.400000000000006</v>
      </c>
      <c r="EP146" s="282">
        <f>SUM(EN146:EO146)</f>
        <v>-77.2</v>
      </c>
      <c r="EQ146" s="284">
        <f>EQ60</f>
        <v>-65.599999999999994</v>
      </c>
      <c r="ER146" s="282">
        <f>-(ER145*EQ142/4)</f>
        <v>-65.676825000000008</v>
      </c>
      <c r="ES146" s="282">
        <f>SUM(EQ146:ER146)</f>
        <v>-131.276825</v>
      </c>
      <c r="ET146" s="590">
        <f>ES146+EP146</f>
        <v>-208.47682500000002</v>
      </c>
      <c r="EU146" s="282">
        <f>-(EU145*ET142/4)</f>
        <v>-64.245330500471141</v>
      </c>
      <c r="EV146" s="282">
        <f>-(EV145*EU142/4)</f>
        <v>-60.725526203093871</v>
      </c>
      <c r="EW146" s="282">
        <f>SUM(EU146:EV146)</f>
        <v>-124.970856703565</v>
      </c>
      <c r="EX146" s="282">
        <f>-(EX145*EW142/4)</f>
        <v>-59.517480858794173</v>
      </c>
      <c r="EY146" s="282">
        <f>-(EY145*EX142/4)</f>
        <v>-57.112621429342077</v>
      </c>
      <c r="EZ146" s="282">
        <f>SUM(EX146:EY146)</f>
        <v>-116.63010228813624</v>
      </c>
      <c r="FA146" s="590">
        <f>EZ146+EW146</f>
        <v>-241.60095899170125</v>
      </c>
      <c r="FB146" s="282">
        <f>-(FB145*FA142/4)</f>
        <v>-56.163108500872546</v>
      </c>
      <c r="FC146" s="282">
        <f>-(FC145*FB142/4)</f>
        <v>-51.939466014342806</v>
      </c>
      <c r="FD146" s="282">
        <f>SUM(FB146:FC146)</f>
        <v>-108.10257451521535</v>
      </c>
      <c r="FE146" s="282">
        <f>-(FE145*FD142/4)</f>
        <v>-50.185079851570507</v>
      </c>
      <c r="FF146" s="282">
        <f>-(FF145*FE142/4)</f>
        <v>-46.935918899922314</v>
      </c>
      <c r="FG146" s="282">
        <f>SUM(FE146:FF146)</f>
        <v>-97.12099875149282</v>
      </c>
      <c r="FH146" s="590">
        <f>FG146+FD146</f>
        <v>-205.22357326670817</v>
      </c>
      <c r="FI146" s="282">
        <f>-(FI145*FH142/4)</f>
        <v>-45.406154421018783</v>
      </c>
      <c r="FJ146" s="282">
        <f>-(FJ145*FI142/4)</f>
        <v>-40.257622007455986</v>
      </c>
      <c r="FK146" s="282">
        <f>SUM(FI146:FJ146)</f>
        <v>-85.663776428474762</v>
      </c>
      <c r="FL146" s="282">
        <f>-(FL145*FK142/4)</f>
        <v>-37.96597141162318</v>
      </c>
      <c r="FM146" s="282">
        <f>-(FM145*FL142/4)</f>
        <v>-34.09759839813097</v>
      </c>
      <c r="FN146" s="282">
        <f>SUM(FL146:FM146)</f>
        <v>-72.063569809754142</v>
      </c>
      <c r="FO146" s="590">
        <f>FN146+FK146</f>
        <v>-157.7273462382289</v>
      </c>
      <c r="FP146" s="282">
        <f>-(FP145*FO142/4)</f>
        <v>-32.074807055773029</v>
      </c>
      <c r="FQ146" s="282">
        <f>-(FQ145*FP142/4)</f>
        <v>-26.244389849431485</v>
      </c>
      <c r="FR146" s="282">
        <f>SUM(FP146:FQ146)</f>
        <v>-58.319196905204514</v>
      </c>
      <c r="FS146" s="282">
        <f>-(FS145*FR142/4)</f>
        <v>-23.393757925545206</v>
      </c>
      <c r="FT146" s="282">
        <f>-(FT145*FS142/4)</f>
        <v>-18.841658050835065</v>
      </c>
      <c r="FU146" s="282">
        <f>SUM(FS146:FT146)</f>
        <v>-42.235415976380267</v>
      </c>
      <c r="FV146" s="590">
        <f>FU146+FR146</f>
        <v>-100.55461288158477</v>
      </c>
    </row>
    <row r="147" spans="2:178" outlineLevel="1" x14ac:dyDescent="0.3">
      <c r="B147" s="253" t="s">
        <v>498</v>
      </c>
      <c r="C147" s="304" t="s">
        <v>226</v>
      </c>
      <c r="D147" s="250">
        <v>-1.7</v>
      </c>
      <c r="E147" s="250">
        <v>-2.2999999999999998</v>
      </c>
      <c r="F147" s="250">
        <v>-4</v>
      </c>
      <c r="G147" s="250">
        <v>-1.1000000000000001</v>
      </c>
      <c r="H147" s="250">
        <v>-2.1</v>
      </c>
      <c r="I147" s="250">
        <v>-3.2</v>
      </c>
      <c r="J147" s="250">
        <v>-7.2</v>
      </c>
      <c r="K147" s="250">
        <v>-5.6</v>
      </c>
      <c r="L147" s="250">
        <v>-0.2</v>
      </c>
      <c r="M147" s="250">
        <v>-5.8</v>
      </c>
      <c r="N147" s="250">
        <v>-1.5</v>
      </c>
      <c r="O147" s="250">
        <v>-4.7</v>
      </c>
      <c r="P147" s="250">
        <v>-6.2</v>
      </c>
      <c r="Q147" s="250">
        <v>-12</v>
      </c>
      <c r="R147" s="250">
        <v>-1.3</v>
      </c>
      <c r="S147" s="250">
        <v>-2.5</v>
      </c>
      <c r="T147" s="250">
        <v>-3.8</v>
      </c>
      <c r="U147" s="250">
        <v>-2.9</v>
      </c>
      <c r="V147" s="250">
        <v>-4.4000000000000004</v>
      </c>
      <c r="W147" s="250">
        <v>-7.3</v>
      </c>
      <c r="X147" s="250">
        <v>-11.1</v>
      </c>
      <c r="Y147" s="250">
        <v>-2.6</v>
      </c>
      <c r="Z147" s="250">
        <v>-2.2999999999999998</v>
      </c>
      <c r="AA147" s="250">
        <v>-4.9000000000000004</v>
      </c>
      <c r="AB147" s="250">
        <v>-2.5</v>
      </c>
      <c r="AC147" s="250">
        <v>-3.7999999999999989</v>
      </c>
      <c r="AD147" s="250">
        <v>-6.2999999999999989</v>
      </c>
      <c r="AE147" s="250">
        <v>-11.2</v>
      </c>
      <c r="AF147" s="250">
        <v>-1.5</v>
      </c>
      <c r="AG147" s="250">
        <v>-1.5</v>
      </c>
      <c r="AH147" s="250">
        <v>-3</v>
      </c>
      <c r="AI147" s="250">
        <v>-1.8</v>
      </c>
      <c r="AJ147" s="250">
        <v>-2.9000000000000004</v>
      </c>
      <c r="AK147" s="250">
        <v>-4.7</v>
      </c>
      <c r="AL147" s="250">
        <v>-7.7</v>
      </c>
      <c r="AM147" s="250">
        <v>-1.8</v>
      </c>
      <c r="AN147" s="250">
        <v>-2.2000000000000002</v>
      </c>
      <c r="AO147" s="281">
        <v>-4</v>
      </c>
      <c r="AP147" s="289">
        <v>-2</v>
      </c>
      <c r="AQ147" s="250">
        <v>-3</v>
      </c>
      <c r="AR147" s="250">
        <v>-5</v>
      </c>
      <c r="AS147" s="250">
        <v>-9</v>
      </c>
      <c r="AT147" s="250">
        <v>-1.7</v>
      </c>
      <c r="AU147" s="250">
        <v>-2.1</v>
      </c>
      <c r="AV147" s="250">
        <v>-3.8</v>
      </c>
      <c r="AW147" s="250">
        <v>-2.2999999999999998</v>
      </c>
      <c r="AX147" s="250">
        <v>-5.0999999999999988</v>
      </c>
      <c r="AY147" s="250">
        <v>-7.3999999999999986</v>
      </c>
      <c r="AZ147" s="250">
        <v>-11.2</v>
      </c>
      <c r="BA147" s="281">
        <v>-1.2537500000000001</v>
      </c>
      <c r="BB147" s="281">
        <v>0</v>
      </c>
      <c r="BC147" s="281">
        <v>-1.2537500000000001</v>
      </c>
      <c r="BD147" s="281">
        <v>0</v>
      </c>
      <c r="BE147" s="281">
        <v>0</v>
      </c>
      <c r="BF147" s="281">
        <v>0</v>
      </c>
      <c r="BG147" s="281">
        <v>-1.2537500000000001</v>
      </c>
      <c r="BH147" s="250">
        <v>-1.1000000000000001</v>
      </c>
      <c r="BI147" s="250">
        <v>-1.2</v>
      </c>
      <c r="BJ147" s="250">
        <v>-2.2999999999999998</v>
      </c>
      <c r="BK147" s="250">
        <v>-1.1000000000000001</v>
      </c>
      <c r="BL147" s="281">
        <v>-1.1000000000000001</v>
      </c>
      <c r="BM147" s="250">
        <v>-2.2000000000000002</v>
      </c>
      <c r="BN147" s="320">
        <v>-4.5</v>
      </c>
      <c r="BO147" s="320">
        <v>-1.7</v>
      </c>
      <c r="BP147" s="320">
        <v>-1.7000000000000002</v>
      </c>
      <c r="BQ147" s="320">
        <v>-3.4000000000000004</v>
      </c>
      <c r="BR147" s="320">
        <v>-2.1</v>
      </c>
      <c r="BS147" s="320">
        <v>-4.4000000000000004</v>
      </c>
      <c r="BT147" s="320">
        <v>-6.5</v>
      </c>
      <c r="BU147" s="320">
        <v>-9.9</v>
      </c>
      <c r="BV147" s="320">
        <v>-6.1</v>
      </c>
      <c r="BW147" s="320">
        <v>-6.9</v>
      </c>
      <c r="BX147" s="320">
        <v>-13</v>
      </c>
      <c r="BY147" s="320">
        <v>-6.9</v>
      </c>
      <c r="BZ147" s="320">
        <v>-6.2</v>
      </c>
      <c r="CA147" s="320">
        <v>-13.100000000000001</v>
      </c>
      <c r="CB147" s="320">
        <v>-26.1</v>
      </c>
      <c r="CC147" s="320">
        <v>-6.3</v>
      </c>
      <c r="CD147" s="320">
        <v>-7.3</v>
      </c>
      <c r="CE147" s="320">
        <v>-13.6</v>
      </c>
      <c r="CF147" s="320">
        <v>-7.4</v>
      </c>
      <c r="CG147" s="320">
        <v>-7.5</v>
      </c>
      <c r="CH147" s="320">
        <v>-14.9</v>
      </c>
      <c r="CI147" s="320">
        <v>-28.5</v>
      </c>
      <c r="CJ147" s="320">
        <v>-6.7</v>
      </c>
      <c r="CK147" s="320">
        <v>-7.7</v>
      </c>
      <c r="CL147" s="320">
        <v>-14.4</v>
      </c>
      <c r="CM147" s="320">
        <v>-9</v>
      </c>
      <c r="CN147" s="320">
        <v>-11.2</v>
      </c>
      <c r="CO147" s="320">
        <v>-20.2</v>
      </c>
      <c r="CP147" s="282">
        <v>-34.6</v>
      </c>
      <c r="CQ147" s="282">
        <v>-11.399999999999999</v>
      </c>
      <c r="CR147" s="282">
        <v>-13.4</v>
      </c>
      <c r="CS147" s="282">
        <v>-24.799999999999997</v>
      </c>
      <c r="CT147" s="282">
        <v>-14.900000000000002</v>
      </c>
      <c r="CU147" s="282">
        <v>-16.2</v>
      </c>
      <c r="CV147" s="282">
        <v>-31.1</v>
      </c>
      <c r="CW147" s="282">
        <v>-55.9</v>
      </c>
      <c r="CX147" s="282">
        <v>-14.5</v>
      </c>
      <c r="CY147" s="282">
        <v>-14.999999999999998</v>
      </c>
      <c r="CZ147" s="282">
        <v>-29.5</v>
      </c>
      <c r="DA147" s="282">
        <v>-14</v>
      </c>
      <c r="DB147" s="282">
        <v>-16.5</v>
      </c>
      <c r="DC147" s="282">
        <v>-30.5</v>
      </c>
      <c r="DD147" s="590">
        <v>-60</v>
      </c>
      <c r="DE147" s="282">
        <v>-12.7</v>
      </c>
      <c r="DF147" s="282">
        <v>-12.9</v>
      </c>
      <c r="DG147" s="282">
        <v>-25.6</v>
      </c>
      <c r="DH147" s="282">
        <v>-16.100000000000001</v>
      </c>
      <c r="DI147" s="282">
        <v>-6.0999999999999943</v>
      </c>
      <c r="DJ147" s="282">
        <v>-22.199999999999996</v>
      </c>
      <c r="DK147" s="590">
        <v>-47.8</v>
      </c>
      <c r="DL147" s="284">
        <v>-10.199999999999999</v>
      </c>
      <c r="DM147" s="282">
        <v>-10.3</v>
      </c>
      <c r="DN147" s="282">
        <v>-20.5</v>
      </c>
      <c r="DO147" s="282">
        <v>-11.3</v>
      </c>
      <c r="DP147" s="282">
        <v>-10.400000000000002</v>
      </c>
      <c r="DQ147" s="282">
        <v>-21.700000000000003</v>
      </c>
      <c r="DR147" s="590">
        <v>-42.2</v>
      </c>
      <c r="DS147" s="282">
        <v>-8.8000000000000007</v>
      </c>
      <c r="DT147" s="282">
        <v>-9</v>
      </c>
      <c r="DU147" s="282">
        <v>-17.8</v>
      </c>
      <c r="DV147" s="282">
        <v>-11.1</v>
      </c>
      <c r="DW147" s="282">
        <v>-16.600000000000001</v>
      </c>
      <c r="DX147" s="282">
        <v>-27.700000000000003</v>
      </c>
      <c r="DY147" s="590">
        <v>-45.5</v>
      </c>
      <c r="DZ147" s="282">
        <v>-13.4</v>
      </c>
      <c r="EA147" s="282">
        <v>-12.1</v>
      </c>
      <c r="EB147" s="282">
        <v>-25.5</v>
      </c>
      <c r="EC147" s="282">
        <v>-14.7</v>
      </c>
      <c r="ED147" s="282">
        <v>-15.7</v>
      </c>
      <c r="EE147" s="282">
        <v>-30.4</v>
      </c>
      <c r="EF147" s="590">
        <v>-55.9</v>
      </c>
      <c r="EG147" s="282">
        <v>-15.7</v>
      </c>
      <c r="EH147" s="282">
        <v>-15.7</v>
      </c>
      <c r="EI147" s="282">
        <v>-31.4</v>
      </c>
      <c r="EJ147" s="282">
        <v>-15.1</v>
      </c>
      <c r="EK147" s="282">
        <v>-14.700000000000005</v>
      </c>
      <c r="EL147" s="282">
        <v>-29.800000000000004</v>
      </c>
      <c r="EM147" s="590">
        <v>-61.2</v>
      </c>
      <c r="EN147" s="282">
        <v>-11.8</v>
      </c>
      <c r="EO147" s="282">
        <v>-65.400000000000006</v>
      </c>
      <c r="EP147" s="282">
        <v>-77.2</v>
      </c>
      <c r="EQ147" s="284">
        <v>-65.599999999999994</v>
      </c>
      <c r="ER147" s="282">
        <v>-65.676825000000008</v>
      </c>
      <c r="ES147" s="282">
        <v>-131.276825</v>
      </c>
      <c r="ET147" s="590">
        <v>-208.47682500000002</v>
      </c>
      <c r="EU147" s="282">
        <v>-64.306716687969811</v>
      </c>
      <c r="EV147" s="282">
        <v>-60.791895664519103</v>
      </c>
      <c r="EW147" s="282">
        <v>-125.09861235248891</v>
      </c>
      <c r="EX147" s="282">
        <v>-59.588874630304673</v>
      </c>
      <c r="EY147" s="282">
        <v>-57.189077284071153</v>
      </c>
      <c r="EZ147" s="282">
        <v>-116.77795191437582</v>
      </c>
      <c r="FA147" s="590">
        <v>-241.87656426686473</v>
      </c>
      <c r="FB147" s="282">
        <v>-56.24465964523214</v>
      </c>
      <c r="FC147" s="282">
        <v>-52.026220631633429</v>
      </c>
      <c r="FD147" s="282">
        <v>-108.27088027686557</v>
      </c>
      <c r="FE147" s="282">
        <v>-50.277073995868378</v>
      </c>
      <c r="FF147" s="282">
        <v>-47.033176226497154</v>
      </c>
      <c r="FG147" s="282">
        <v>-97.310250222365539</v>
      </c>
      <c r="FH147" s="590">
        <v>-205.58113049923111</v>
      </c>
      <c r="FI147" s="282">
        <v>-45.508691382552001</v>
      </c>
      <c r="FJ147" s="282">
        <v>-40.365461582555987</v>
      </c>
      <c r="FK147" s="282">
        <v>-85.874152965107982</v>
      </c>
      <c r="FL147" s="282">
        <v>-38.07912611521639</v>
      </c>
      <c r="FM147" s="282">
        <v>-34.216075335307551</v>
      </c>
      <c r="FN147" s="282">
        <v>-72.295201450523933</v>
      </c>
      <c r="FO147" s="590">
        <v>-158.16935441563191</v>
      </c>
      <c r="FP147" s="282">
        <v>-32.198602252348948</v>
      </c>
      <c r="FQ147" s="282">
        <v>-26.373505070338091</v>
      </c>
      <c r="FR147" s="282">
        <v>-58.572107322687039</v>
      </c>
      <c r="FS147" s="282">
        <v>-23.528180864392667</v>
      </c>
      <c r="FT147" s="282">
        <v>-18.981362672124241</v>
      </c>
      <c r="FU147" s="282">
        <v>-42.509543536516908</v>
      </c>
      <c r="FV147" s="590">
        <v>-101.08165085920395</v>
      </c>
    </row>
    <row r="148" spans="2:178" outlineLevel="1" x14ac:dyDescent="0.3">
      <c r="B148" s="467" t="s">
        <v>499</v>
      </c>
      <c r="C148" s="304"/>
      <c r="D148" s="468">
        <f t="shared" ref="D148:BO148" si="423">ROUND(D146-D147,2)</f>
        <v>0</v>
      </c>
      <c r="E148" s="468">
        <f t="shared" si="423"/>
        <v>0</v>
      </c>
      <c r="F148" s="468">
        <f t="shared" si="423"/>
        <v>0</v>
      </c>
      <c r="G148" s="468">
        <f t="shared" si="423"/>
        <v>0</v>
      </c>
      <c r="H148" s="468">
        <f t="shared" si="423"/>
        <v>0</v>
      </c>
      <c r="I148" s="468">
        <f t="shared" si="423"/>
        <v>0</v>
      </c>
      <c r="J148" s="468">
        <f t="shared" si="423"/>
        <v>0</v>
      </c>
      <c r="K148" s="468">
        <f t="shared" si="423"/>
        <v>0</v>
      </c>
      <c r="L148" s="468">
        <f t="shared" si="423"/>
        <v>0</v>
      </c>
      <c r="M148" s="468">
        <f t="shared" si="423"/>
        <v>0</v>
      </c>
      <c r="N148" s="468">
        <f t="shared" si="423"/>
        <v>0</v>
      </c>
      <c r="O148" s="468">
        <f t="shared" si="423"/>
        <v>0</v>
      </c>
      <c r="P148" s="468">
        <f t="shared" si="423"/>
        <v>0</v>
      </c>
      <c r="Q148" s="468">
        <f t="shared" si="423"/>
        <v>0</v>
      </c>
      <c r="R148" s="468">
        <f t="shared" si="423"/>
        <v>0</v>
      </c>
      <c r="S148" s="468">
        <f t="shared" si="423"/>
        <v>0</v>
      </c>
      <c r="T148" s="468">
        <f t="shared" si="423"/>
        <v>0</v>
      </c>
      <c r="U148" s="468">
        <f t="shared" si="423"/>
        <v>0</v>
      </c>
      <c r="V148" s="468">
        <f t="shared" si="423"/>
        <v>0</v>
      </c>
      <c r="W148" s="468">
        <f t="shared" si="423"/>
        <v>0</v>
      </c>
      <c r="X148" s="468">
        <f t="shared" si="423"/>
        <v>0</v>
      </c>
      <c r="Y148" s="468">
        <f t="shared" si="423"/>
        <v>0</v>
      </c>
      <c r="Z148" s="468">
        <f t="shared" si="423"/>
        <v>0</v>
      </c>
      <c r="AA148" s="468">
        <f t="shared" si="423"/>
        <v>0</v>
      </c>
      <c r="AB148" s="468">
        <f t="shared" si="423"/>
        <v>0</v>
      </c>
      <c r="AC148" s="468">
        <f t="shared" si="423"/>
        <v>0</v>
      </c>
      <c r="AD148" s="468">
        <f t="shared" si="423"/>
        <v>0</v>
      </c>
      <c r="AE148" s="468">
        <f t="shared" si="423"/>
        <v>0</v>
      </c>
      <c r="AF148" s="468">
        <f t="shared" si="423"/>
        <v>0</v>
      </c>
      <c r="AG148" s="468">
        <f t="shared" si="423"/>
        <v>0</v>
      </c>
      <c r="AH148" s="468">
        <f t="shared" si="423"/>
        <v>0</v>
      </c>
      <c r="AI148" s="468">
        <f t="shared" si="423"/>
        <v>0</v>
      </c>
      <c r="AJ148" s="468">
        <f t="shared" si="423"/>
        <v>0</v>
      </c>
      <c r="AK148" s="468">
        <f t="shared" si="423"/>
        <v>0</v>
      </c>
      <c r="AL148" s="468">
        <f t="shared" si="423"/>
        <v>0</v>
      </c>
      <c r="AM148" s="468">
        <f t="shared" si="423"/>
        <v>0</v>
      </c>
      <c r="AN148" s="468">
        <f t="shared" si="423"/>
        <v>0</v>
      </c>
      <c r="AO148" s="468">
        <f t="shared" si="423"/>
        <v>0</v>
      </c>
      <c r="AP148" s="468">
        <f t="shared" si="423"/>
        <v>0</v>
      </c>
      <c r="AQ148" s="468">
        <f t="shared" si="423"/>
        <v>0</v>
      </c>
      <c r="AR148" s="468">
        <f t="shared" si="423"/>
        <v>0</v>
      </c>
      <c r="AS148" s="468">
        <f t="shared" si="423"/>
        <v>0</v>
      </c>
      <c r="AT148" s="468">
        <f t="shared" si="423"/>
        <v>0</v>
      </c>
      <c r="AU148" s="468">
        <f t="shared" si="423"/>
        <v>0</v>
      </c>
      <c r="AV148" s="468">
        <f t="shared" si="423"/>
        <v>0</v>
      </c>
      <c r="AW148" s="468">
        <f t="shared" si="423"/>
        <v>0</v>
      </c>
      <c r="AX148" s="468">
        <f t="shared" si="423"/>
        <v>0</v>
      </c>
      <c r="AY148" s="468">
        <f t="shared" si="423"/>
        <v>0</v>
      </c>
      <c r="AZ148" s="468">
        <f t="shared" si="423"/>
        <v>0</v>
      </c>
      <c r="BA148" s="468">
        <f t="shared" si="423"/>
        <v>0</v>
      </c>
      <c r="BB148" s="468">
        <f t="shared" si="423"/>
        <v>0</v>
      </c>
      <c r="BC148" s="468">
        <f t="shared" si="423"/>
        <v>0</v>
      </c>
      <c r="BD148" s="468">
        <f t="shared" si="423"/>
        <v>0</v>
      </c>
      <c r="BE148" s="468">
        <f t="shared" si="423"/>
        <v>0</v>
      </c>
      <c r="BF148" s="468">
        <f t="shared" si="423"/>
        <v>0</v>
      </c>
      <c r="BG148" s="468">
        <f t="shared" si="423"/>
        <v>0</v>
      </c>
      <c r="BH148" s="468">
        <f t="shared" si="423"/>
        <v>0</v>
      </c>
      <c r="BI148" s="468">
        <f t="shared" si="423"/>
        <v>0</v>
      </c>
      <c r="BJ148" s="468">
        <f t="shared" si="423"/>
        <v>0</v>
      </c>
      <c r="BK148" s="468">
        <f t="shared" si="423"/>
        <v>0</v>
      </c>
      <c r="BL148" s="468">
        <f t="shared" si="423"/>
        <v>0</v>
      </c>
      <c r="BM148" s="468">
        <f t="shared" si="423"/>
        <v>0</v>
      </c>
      <c r="BN148" s="469">
        <f t="shared" si="423"/>
        <v>0</v>
      </c>
      <c r="BO148" s="469">
        <f t="shared" si="423"/>
        <v>0</v>
      </c>
      <c r="BP148" s="469">
        <f t="shared" ref="BP148:DK148" si="424">ROUND(BP146-BP147,2)</f>
        <v>0</v>
      </c>
      <c r="BQ148" s="469">
        <f t="shared" si="424"/>
        <v>0</v>
      </c>
      <c r="BR148" s="469">
        <f t="shared" si="424"/>
        <v>0</v>
      </c>
      <c r="BS148" s="469">
        <f t="shared" si="424"/>
        <v>0</v>
      </c>
      <c r="BT148" s="469">
        <f t="shared" si="424"/>
        <v>0</v>
      </c>
      <c r="BU148" s="469">
        <f t="shared" si="424"/>
        <v>0</v>
      </c>
      <c r="BV148" s="469">
        <f t="shared" si="424"/>
        <v>0</v>
      </c>
      <c r="BW148" s="469">
        <f t="shared" si="424"/>
        <v>0</v>
      </c>
      <c r="BX148" s="469">
        <f t="shared" si="424"/>
        <v>0</v>
      </c>
      <c r="BY148" s="469">
        <f t="shared" si="424"/>
        <v>0</v>
      </c>
      <c r="BZ148" s="469">
        <f t="shared" si="424"/>
        <v>0</v>
      </c>
      <c r="CA148" s="469">
        <f t="shared" si="424"/>
        <v>0</v>
      </c>
      <c r="CB148" s="469">
        <f t="shared" si="424"/>
        <v>0</v>
      </c>
      <c r="CC148" s="469">
        <f t="shared" si="424"/>
        <v>0</v>
      </c>
      <c r="CD148" s="469">
        <f t="shared" si="424"/>
        <v>0</v>
      </c>
      <c r="CE148" s="469">
        <f t="shared" si="424"/>
        <v>0</v>
      </c>
      <c r="CF148" s="469">
        <f t="shared" si="424"/>
        <v>0</v>
      </c>
      <c r="CG148" s="469">
        <f t="shared" si="424"/>
        <v>0</v>
      </c>
      <c r="CH148" s="469">
        <f t="shared" si="424"/>
        <v>0</v>
      </c>
      <c r="CI148" s="469">
        <f t="shared" si="424"/>
        <v>0</v>
      </c>
      <c r="CJ148" s="469">
        <f t="shared" si="424"/>
        <v>0</v>
      </c>
      <c r="CK148" s="469">
        <f t="shared" si="424"/>
        <v>0</v>
      </c>
      <c r="CL148" s="469">
        <f t="shared" si="424"/>
        <v>0</v>
      </c>
      <c r="CM148" s="469">
        <f t="shared" si="424"/>
        <v>0</v>
      </c>
      <c r="CN148" s="469">
        <f t="shared" si="424"/>
        <v>0</v>
      </c>
      <c r="CO148" s="469">
        <f t="shared" si="424"/>
        <v>0</v>
      </c>
      <c r="CP148" s="470">
        <f t="shared" si="424"/>
        <v>0</v>
      </c>
      <c r="CQ148" s="470">
        <f t="shared" si="424"/>
        <v>0</v>
      </c>
      <c r="CR148" s="470">
        <f>ROUND(CR146-CR147,2)</f>
        <v>0</v>
      </c>
      <c r="CS148" s="470">
        <f t="shared" si="424"/>
        <v>0</v>
      </c>
      <c r="CT148" s="470">
        <f t="shared" si="424"/>
        <v>0</v>
      </c>
      <c r="CU148" s="470">
        <f t="shared" si="424"/>
        <v>0</v>
      </c>
      <c r="CV148" s="470">
        <f t="shared" si="424"/>
        <v>0</v>
      </c>
      <c r="CW148" s="470">
        <f t="shared" si="424"/>
        <v>0</v>
      </c>
      <c r="CX148" s="470">
        <f t="shared" si="424"/>
        <v>0</v>
      </c>
      <c r="CY148" s="470">
        <f t="shared" si="424"/>
        <v>0</v>
      </c>
      <c r="CZ148" s="470">
        <f t="shared" si="424"/>
        <v>0</v>
      </c>
      <c r="DA148" s="470">
        <f>ROUND(DA146-DA147,2)</f>
        <v>0</v>
      </c>
      <c r="DB148" s="470">
        <f>ROUND(DB146-DB147,2)</f>
        <v>0</v>
      </c>
      <c r="DC148" s="470">
        <f>ROUND(DC146-DC147,2)</f>
        <v>0</v>
      </c>
      <c r="DD148" s="610">
        <f>ROUND(DD146-DD147,2)</f>
        <v>0</v>
      </c>
      <c r="DE148" s="470">
        <f>ROUND(DE146-DE147,2)</f>
        <v>0</v>
      </c>
      <c r="DF148" s="470">
        <f t="shared" si="424"/>
        <v>0</v>
      </c>
      <c r="DG148" s="470">
        <f t="shared" si="424"/>
        <v>0</v>
      </c>
      <c r="DH148" s="470">
        <f t="shared" si="424"/>
        <v>0</v>
      </c>
      <c r="DI148" s="470">
        <f t="shared" si="424"/>
        <v>0</v>
      </c>
      <c r="DJ148" s="470">
        <f t="shared" si="424"/>
        <v>0</v>
      </c>
      <c r="DK148" s="610">
        <f t="shared" si="424"/>
        <v>0</v>
      </c>
      <c r="DL148" s="471">
        <f>ROUND(DL146-DL147,2)</f>
        <v>0</v>
      </c>
      <c r="DM148" s="470">
        <f t="shared" ref="DM148:DR148" si="425">ROUND(DM146-DM147,2)</f>
        <v>0</v>
      </c>
      <c r="DN148" s="470">
        <f t="shared" si="425"/>
        <v>0</v>
      </c>
      <c r="DO148" s="470">
        <f t="shared" si="425"/>
        <v>0</v>
      </c>
      <c r="DP148" s="470">
        <f t="shared" si="425"/>
        <v>0</v>
      </c>
      <c r="DQ148" s="470">
        <f t="shared" si="425"/>
        <v>0</v>
      </c>
      <c r="DR148" s="610">
        <f t="shared" si="425"/>
        <v>0</v>
      </c>
      <c r="DS148" s="470">
        <f>ROUND(DS146-DS147,2)</f>
        <v>0</v>
      </c>
      <c r="DT148" s="470">
        <f t="shared" ref="DT148:DY148" si="426">ROUND(DT146-DT147,2)</f>
        <v>0</v>
      </c>
      <c r="DU148" s="470">
        <f t="shared" si="426"/>
        <v>0</v>
      </c>
      <c r="DV148" s="470">
        <f t="shared" si="426"/>
        <v>0</v>
      </c>
      <c r="DW148" s="470">
        <f t="shared" si="426"/>
        <v>0</v>
      </c>
      <c r="DX148" s="470">
        <f t="shared" si="426"/>
        <v>0</v>
      </c>
      <c r="DY148" s="610">
        <f t="shared" si="426"/>
        <v>0</v>
      </c>
      <c r="DZ148" s="470">
        <f>ROUND(DZ146-DZ147,2)</f>
        <v>0</v>
      </c>
      <c r="EA148" s="470">
        <f t="shared" ref="EA148:EF148" si="427">ROUND(EA146-EA147,2)</f>
        <v>0</v>
      </c>
      <c r="EB148" s="470">
        <f t="shared" si="427"/>
        <v>0</v>
      </c>
      <c r="EC148" s="470">
        <f t="shared" si="427"/>
        <v>0</v>
      </c>
      <c r="ED148" s="470">
        <f t="shared" si="427"/>
        <v>0</v>
      </c>
      <c r="EE148" s="470">
        <f t="shared" si="427"/>
        <v>0</v>
      </c>
      <c r="EF148" s="610">
        <f t="shared" si="427"/>
        <v>0</v>
      </c>
      <c r="EG148" s="470">
        <f>ROUND(EG146-EG147,2)</f>
        <v>0</v>
      </c>
      <c r="EH148" s="470">
        <f t="shared" ref="EH148:EM148" si="428">ROUND(EH146-EH147,2)</f>
        <v>0</v>
      </c>
      <c r="EI148" s="470">
        <f t="shared" si="428"/>
        <v>0</v>
      </c>
      <c r="EJ148" s="470">
        <f t="shared" si="428"/>
        <v>0</v>
      </c>
      <c r="EK148" s="470">
        <f t="shared" si="428"/>
        <v>0</v>
      </c>
      <c r="EL148" s="470">
        <f t="shared" si="428"/>
        <v>0</v>
      </c>
      <c r="EM148" s="610">
        <f t="shared" si="428"/>
        <v>0</v>
      </c>
      <c r="EN148" s="470">
        <f t="shared" ref="EN148:FV148" si="429">ROUND(EN146-EN147,2)</f>
        <v>0</v>
      </c>
      <c r="EO148" s="470">
        <f t="shared" si="429"/>
        <v>0</v>
      </c>
      <c r="EP148" s="470">
        <f t="shared" si="429"/>
        <v>0</v>
      </c>
      <c r="EQ148" s="471">
        <f t="shared" ref="EQ148" si="430">ROUND(EQ146-EQ147,2)</f>
        <v>0</v>
      </c>
      <c r="ER148" s="470">
        <f t="shared" si="429"/>
        <v>0</v>
      </c>
      <c r="ES148" s="470">
        <f t="shared" si="429"/>
        <v>0</v>
      </c>
      <c r="ET148" s="610">
        <f t="shared" si="429"/>
        <v>0</v>
      </c>
      <c r="EU148" s="470">
        <f t="shared" si="429"/>
        <v>0.06</v>
      </c>
      <c r="EV148" s="470">
        <f t="shared" si="429"/>
        <v>7.0000000000000007E-2</v>
      </c>
      <c r="EW148" s="470">
        <f t="shared" si="429"/>
        <v>0.13</v>
      </c>
      <c r="EX148" s="470">
        <f t="shared" si="429"/>
        <v>7.0000000000000007E-2</v>
      </c>
      <c r="EY148" s="470">
        <f t="shared" si="429"/>
        <v>0.08</v>
      </c>
      <c r="EZ148" s="470">
        <f t="shared" si="429"/>
        <v>0.15</v>
      </c>
      <c r="FA148" s="610">
        <f t="shared" si="429"/>
        <v>0.28000000000000003</v>
      </c>
      <c r="FB148" s="470">
        <f t="shared" si="429"/>
        <v>0.08</v>
      </c>
      <c r="FC148" s="470">
        <f t="shared" si="429"/>
        <v>0.09</v>
      </c>
      <c r="FD148" s="470">
        <f t="shared" si="429"/>
        <v>0.17</v>
      </c>
      <c r="FE148" s="470">
        <f t="shared" si="429"/>
        <v>0.09</v>
      </c>
      <c r="FF148" s="470">
        <f t="shared" si="429"/>
        <v>0.1</v>
      </c>
      <c r="FG148" s="470">
        <f t="shared" si="429"/>
        <v>0.19</v>
      </c>
      <c r="FH148" s="610">
        <f t="shared" si="429"/>
        <v>0.36</v>
      </c>
      <c r="FI148" s="470">
        <f t="shared" si="429"/>
        <v>0.1</v>
      </c>
      <c r="FJ148" s="470">
        <f t="shared" si="429"/>
        <v>0.11</v>
      </c>
      <c r="FK148" s="470">
        <f t="shared" si="429"/>
        <v>0.21</v>
      </c>
      <c r="FL148" s="470">
        <f t="shared" si="429"/>
        <v>0.11</v>
      </c>
      <c r="FM148" s="470">
        <f t="shared" si="429"/>
        <v>0.12</v>
      </c>
      <c r="FN148" s="470">
        <f t="shared" si="429"/>
        <v>0.23</v>
      </c>
      <c r="FO148" s="610">
        <f t="shared" si="429"/>
        <v>0.44</v>
      </c>
      <c r="FP148" s="470">
        <f t="shared" si="429"/>
        <v>0.12</v>
      </c>
      <c r="FQ148" s="470">
        <f t="shared" si="429"/>
        <v>0.13</v>
      </c>
      <c r="FR148" s="470">
        <f t="shared" si="429"/>
        <v>0.25</v>
      </c>
      <c r="FS148" s="470">
        <f t="shared" si="429"/>
        <v>0.13</v>
      </c>
      <c r="FT148" s="470">
        <f t="shared" si="429"/>
        <v>0.14000000000000001</v>
      </c>
      <c r="FU148" s="470">
        <f t="shared" si="429"/>
        <v>0.27</v>
      </c>
      <c r="FV148" s="610">
        <f t="shared" si="429"/>
        <v>0.53</v>
      </c>
    </row>
    <row r="149" spans="2:178" outlineLevel="1" x14ac:dyDescent="0.3">
      <c r="B149" s="247"/>
      <c r="C149" s="304"/>
      <c r="AM149" s="326"/>
      <c r="AN149" s="326"/>
      <c r="AO149" s="281"/>
      <c r="AP149" s="281"/>
      <c r="AQ149" s="281"/>
      <c r="AR149" s="281"/>
      <c r="AS149" s="281"/>
      <c r="AT149" s="326"/>
      <c r="AU149" s="326"/>
      <c r="AV149" s="326"/>
      <c r="AW149" s="326"/>
      <c r="AX149" s="326"/>
      <c r="AY149" s="326"/>
      <c r="AZ149" s="326"/>
      <c r="BA149" s="326"/>
      <c r="BB149" s="326"/>
      <c r="BC149" s="326"/>
      <c r="BD149" s="326"/>
      <c r="BE149" s="326"/>
      <c r="BF149" s="281"/>
      <c r="BG149" s="281"/>
      <c r="BH149" s="326"/>
      <c r="BI149" s="326"/>
      <c r="BJ149" s="326"/>
      <c r="BK149" s="281"/>
      <c r="BL149" s="281"/>
      <c r="BM149" s="281"/>
      <c r="BN149" s="320"/>
      <c r="BO149" s="320"/>
      <c r="BP149" s="320"/>
      <c r="BQ149" s="320"/>
      <c r="BR149" s="320"/>
      <c r="BS149" s="320"/>
      <c r="BT149" s="320"/>
      <c r="BU149" s="320"/>
      <c r="BV149" s="320"/>
      <c r="BW149" s="320"/>
      <c r="BX149" s="320"/>
      <c r="BY149" s="320"/>
      <c r="BZ149" s="320"/>
      <c r="CA149" s="320"/>
      <c r="CB149" s="320"/>
      <c r="CC149" s="320"/>
      <c r="CD149" s="320"/>
      <c r="CE149" s="320"/>
      <c r="CF149" s="320"/>
      <c r="CG149" s="320"/>
      <c r="CH149" s="320"/>
      <c r="CI149" s="320"/>
      <c r="CJ149" s="320"/>
      <c r="CK149" s="320"/>
      <c r="CL149" s="320"/>
      <c r="CM149" s="320"/>
      <c r="CN149" s="320"/>
      <c r="CO149" s="320"/>
      <c r="CP149" s="282"/>
      <c r="CQ149" s="282"/>
      <c r="CR149" s="282"/>
      <c r="CS149" s="282"/>
      <c r="CT149" s="282"/>
      <c r="CU149" s="282"/>
      <c r="CV149" s="282"/>
      <c r="CW149" s="282"/>
      <c r="CX149" s="282"/>
      <c r="CY149" s="282"/>
      <c r="CZ149" s="282"/>
      <c r="DA149" s="282"/>
      <c r="DB149" s="282"/>
      <c r="DC149" s="282"/>
      <c r="DD149" s="590"/>
      <c r="DE149" s="282"/>
      <c r="DF149" s="282"/>
      <c r="DG149" s="282"/>
      <c r="DH149" s="282"/>
      <c r="DI149" s="282"/>
      <c r="DJ149" s="282"/>
      <c r="DK149" s="590"/>
      <c r="DL149" s="284"/>
      <c r="DM149" s="282"/>
      <c r="DN149" s="282"/>
      <c r="DO149" s="282"/>
      <c r="DP149" s="282"/>
      <c r="DQ149" s="282"/>
      <c r="DR149" s="590"/>
      <c r="DS149" s="282"/>
      <c r="DT149" s="282"/>
      <c r="DU149" s="282"/>
      <c r="DV149" s="282"/>
      <c r="DW149" s="282"/>
      <c r="DX149" s="282"/>
      <c r="DY149" s="590"/>
      <c r="DZ149" s="282"/>
      <c r="EA149" s="282"/>
      <c r="EB149" s="282"/>
      <c r="EC149" s="282"/>
      <c r="ED149" s="282"/>
      <c r="EE149" s="282"/>
      <c r="EF149" s="590"/>
      <c r="EG149" s="282"/>
      <c r="EH149" s="282"/>
      <c r="EI149" s="282"/>
      <c r="EJ149" s="282"/>
      <c r="EK149" s="282"/>
      <c r="EL149" s="282"/>
      <c r="EM149" s="590"/>
      <c r="EN149" s="282"/>
      <c r="EO149" s="282"/>
      <c r="EP149" s="282"/>
      <c r="EQ149" s="284"/>
      <c r="ER149" s="282"/>
      <c r="ES149" s="282"/>
      <c r="ET149" s="590"/>
      <c r="EU149" s="282"/>
      <c r="EV149" s="282"/>
      <c r="EW149" s="282"/>
      <c r="EX149" s="282"/>
      <c r="EY149" s="282"/>
      <c r="EZ149" s="282"/>
      <c r="FA149" s="590"/>
      <c r="FB149" s="282"/>
      <c r="FC149" s="282"/>
      <c r="FD149" s="282"/>
      <c r="FE149" s="282"/>
      <c r="FF149" s="282"/>
      <c r="FG149" s="282"/>
      <c r="FH149" s="590"/>
      <c r="FI149" s="282"/>
      <c r="FJ149" s="282"/>
      <c r="FK149" s="282"/>
      <c r="FL149" s="282"/>
      <c r="FM149" s="282"/>
      <c r="FN149" s="282"/>
      <c r="FO149" s="590"/>
      <c r="FP149" s="282"/>
      <c r="FQ149" s="282"/>
      <c r="FR149" s="282"/>
      <c r="FS149" s="282"/>
      <c r="FT149" s="282"/>
      <c r="FU149" s="282"/>
      <c r="FV149" s="590"/>
    </row>
    <row r="150" spans="2:178" outlineLevel="1" x14ac:dyDescent="0.3">
      <c r="B150" s="396" t="s">
        <v>500</v>
      </c>
      <c r="C150" s="304"/>
      <c r="BN150" s="320"/>
      <c r="BO150" s="320"/>
      <c r="BP150" s="320"/>
      <c r="BQ150" s="320"/>
      <c r="BR150" s="320"/>
      <c r="BS150" s="320"/>
      <c r="BT150" s="320"/>
      <c r="BU150" s="320"/>
      <c r="BV150" s="320"/>
      <c r="BW150" s="320"/>
      <c r="BX150" s="320"/>
      <c r="BY150" s="320"/>
      <c r="BZ150" s="320"/>
      <c r="CA150" s="320"/>
      <c r="CB150" s="320"/>
      <c r="CC150" s="320"/>
      <c r="CD150" s="320"/>
      <c r="CE150" s="320"/>
      <c r="CF150" s="320"/>
      <c r="CG150" s="320"/>
      <c r="CH150" s="320"/>
      <c r="CI150" s="320"/>
      <c r="CJ150" s="320"/>
      <c r="CK150" s="320"/>
      <c r="CL150" s="320"/>
      <c r="CM150" s="320"/>
      <c r="CN150" s="320"/>
      <c r="CO150" s="320"/>
      <c r="CP150" s="282"/>
      <c r="CQ150" s="282"/>
      <c r="CR150" s="282"/>
      <c r="CS150" s="282"/>
      <c r="CT150" s="282"/>
      <c r="CU150" s="282"/>
      <c r="CV150" s="282"/>
      <c r="CW150" s="282"/>
      <c r="CX150" s="282"/>
      <c r="CY150" s="282"/>
      <c r="CZ150" s="282"/>
      <c r="DA150" s="282"/>
      <c r="DB150" s="282"/>
      <c r="DC150" s="282"/>
      <c r="DD150" s="590"/>
      <c r="DE150" s="282"/>
      <c r="DF150" s="282"/>
      <c r="DG150" s="282"/>
      <c r="DH150" s="282"/>
      <c r="DI150" s="282"/>
      <c r="DJ150" s="282"/>
      <c r="DK150" s="590"/>
      <c r="DL150" s="284"/>
      <c r="DM150" s="282"/>
      <c r="DN150" s="282"/>
      <c r="DO150" s="282"/>
      <c r="DP150" s="282"/>
      <c r="DQ150" s="282"/>
      <c r="DR150" s="590"/>
      <c r="DS150" s="282"/>
      <c r="DT150" s="282"/>
      <c r="DU150" s="282"/>
      <c r="DV150" s="282"/>
      <c r="DW150" s="282"/>
      <c r="DX150" s="282"/>
      <c r="DY150" s="590"/>
      <c r="DZ150" s="282"/>
      <c r="EA150" s="282"/>
      <c r="EB150" s="282"/>
      <c r="EC150" s="282"/>
      <c r="ED150" s="282"/>
      <c r="EE150" s="282"/>
      <c r="EF150" s="590"/>
      <c r="EG150" s="282"/>
      <c r="EH150" s="282"/>
      <c r="EI150" s="282"/>
      <c r="EJ150" s="282"/>
      <c r="EK150" s="282"/>
      <c r="EL150" s="282"/>
      <c r="EM150" s="590"/>
      <c r="EN150" s="282"/>
      <c r="EO150" s="282"/>
      <c r="EP150" s="282"/>
      <c r="EQ150" s="284"/>
      <c r="ER150" s="282"/>
      <c r="ES150" s="282"/>
      <c r="ET150" s="590"/>
      <c r="EU150" s="282"/>
      <c r="EV150" s="282"/>
      <c r="EW150" s="282"/>
      <c r="EX150" s="282"/>
      <c r="EY150" s="282"/>
      <c r="EZ150" s="282"/>
      <c r="FA150" s="590"/>
      <c r="FB150" s="282"/>
      <c r="FC150" s="282"/>
      <c r="FD150" s="282"/>
      <c r="FE150" s="282"/>
      <c r="FF150" s="282"/>
      <c r="FG150" s="282"/>
      <c r="FH150" s="590"/>
      <c r="FI150" s="282"/>
      <c r="FJ150" s="282"/>
      <c r="FK150" s="282"/>
      <c r="FL150" s="282"/>
      <c r="FM150" s="282"/>
      <c r="FN150" s="282"/>
      <c r="FO150" s="590"/>
      <c r="FP150" s="282"/>
      <c r="FQ150" s="282"/>
      <c r="FR150" s="282"/>
      <c r="FS150" s="282"/>
      <c r="FT150" s="282"/>
      <c r="FU150" s="282"/>
      <c r="FV150" s="590"/>
    </row>
    <row r="151" spans="2:178" outlineLevel="1" x14ac:dyDescent="0.3">
      <c r="B151" s="472"/>
      <c r="C151" s="280"/>
      <c r="BN151" s="320"/>
      <c r="BO151" s="320"/>
      <c r="BP151" s="320"/>
      <c r="BQ151" s="320"/>
      <c r="BR151" s="320"/>
      <c r="BS151" s="320"/>
      <c r="BT151" s="320"/>
      <c r="BU151" s="320"/>
      <c r="BV151" s="320"/>
      <c r="BW151" s="320"/>
      <c r="BX151" s="320"/>
      <c r="BY151" s="320"/>
      <c r="BZ151" s="320"/>
      <c r="CA151" s="320"/>
      <c r="CB151" s="320"/>
      <c r="CC151" s="320"/>
      <c r="CD151" s="320"/>
      <c r="CE151" s="320"/>
      <c r="CF151" s="320"/>
      <c r="CG151" s="320"/>
      <c r="CH151" s="320"/>
      <c r="CI151" s="320"/>
      <c r="CJ151" s="320"/>
      <c r="CK151" s="320"/>
      <c r="CL151" s="320"/>
      <c r="CM151" s="320"/>
      <c r="CN151" s="320"/>
      <c r="CO151" s="320"/>
      <c r="CP151" s="282"/>
      <c r="CQ151" s="282"/>
      <c r="CR151" s="282"/>
      <c r="CS151" s="282"/>
      <c r="CT151" s="282"/>
      <c r="CU151" s="282"/>
      <c r="CV151" s="282"/>
      <c r="CW151" s="282"/>
      <c r="CX151" s="282"/>
      <c r="CY151" s="282"/>
      <c r="CZ151" s="282"/>
      <c r="DA151" s="282"/>
      <c r="DB151" s="282"/>
      <c r="DC151" s="282"/>
      <c r="DD151" s="590"/>
      <c r="DE151" s="282"/>
      <c r="DF151" s="282"/>
      <c r="DG151" s="282"/>
      <c r="DH151" s="282"/>
      <c r="DI151" s="282"/>
      <c r="DJ151" s="282"/>
      <c r="DK151" s="590"/>
      <c r="DL151" s="284"/>
      <c r="DM151" s="282"/>
      <c r="DN151" s="282"/>
      <c r="DO151" s="282"/>
      <c r="DP151" s="282"/>
      <c r="DQ151" s="282"/>
      <c r="DR151" s="590"/>
      <c r="DS151" s="282"/>
      <c r="DT151" s="282"/>
      <c r="DU151" s="282"/>
      <c r="DV151" s="282"/>
      <c r="DW151" s="282"/>
      <c r="DX151" s="282"/>
      <c r="DY151" s="590"/>
      <c r="DZ151" s="282"/>
      <c r="EA151" s="282"/>
      <c r="EB151" s="282"/>
      <c r="EC151" s="282"/>
      <c r="ED151" s="282"/>
      <c r="EE151" s="282"/>
      <c r="EF151" s="590"/>
      <c r="EG151" s="282"/>
      <c r="EH151" s="282"/>
      <c r="EI151" s="282"/>
      <c r="EJ151" s="282"/>
      <c r="EK151" s="282"/>
      <c r="EL151" s="282"/>
      <c r="EM151" s="590"/>
      <c r="EN151" s="282"/>
      <c r="EO151" s="282"/>
      <c r="EP151" s="282"/>
      <c r="EQ151" s="284"/>
      <c r="ER151" s="282"/>
      <c r="ES151" s="282"/>
      <c r="ET151" s="590"/>
      <c r="EU151" s="282"/>
      <c r="EV151" s="282"/>
      <c r="EW151" s="282"/>
      <c r="EX151" s="282"/>
      <c r="EY151" s="282"/>
      <c r="EZ151" s="282"/>
      <c r="FA151" s="590"/>
      <c r="FB151" s="282"/>
      <c r="FC151" s="282"/>
      <c r="FD151" s="282"/>
      <c r="FE151" s="282"/>
      <c r="FF151" s="282"/>
      <c r="FG151" s="282"/>
      <c r="FH151" s="590"/>
      <c r="FI151" s="282"/>
      <c r="FJ151" s="282"/>
      <c r="FK151" s="282"/>
      <c r="FL151" s="282"/>
      <c r="FM151" s="282"/>
      <c r="FN151" s="282"/>
      <c r="FO151" s="590"/>
      <c r="FP151" s="282"/>
      <c r="FQ151" s="282"/>
      <c r="FR151" s="282"/>
      <c r="FS151" s="282"/>
      <c r="FT151" s="282"/>
      <c r="FU151" s="282"/>
      <c r="FV151" s="590"/>
    </row>
    <row r="152" spans="2:178" outlineLevel="1" x14ac:dyDescent="0.3">
      <c r="B152" s="253" t="s">
        <v>501</v>
      </c>
      <c r="C152" s="280"/>
      <c r="E152" s="281"/>
      <c r="G152" s="281"/>
      <c r="H152" s="281"/>
      <c r="I152" s="281"/>
      <c r="K152" s="281">
        <f>J153</f>
        <v>315.10000000000002</v>
      </c>
      <c r="L152" s="281">
        <f>K153</f>
        <v>175.4</v>
      </c>
      <c r="M152" s="281">
        <f>J153</f>
        <v>315.10000000000002</v>
      </c>
      <c r="N152" s="281">
        <f>M153</f>
        <v>52.3</v>
      </c>
      <c r="O152" s="281">
        <f>N153</f>
        <v>70.3</v>
      </c>
      <c r="P152" s="281">
        <f>M153</f>
        <v>52.3</v>
      </c>
      <c r="Q152" s="281">
        <f>J153</f>
        <v>315.10000000000002</v>
      </c>
      <c r="R152" s="281">
        <f>Q153</f>
        <v>186</v>
      </c>
      <c r="S152" s="281">
        <f>R153</f>
        <v>230.29999999999998</v>
      </c>
      <c r="T152" s="281">
        <f>Q153</f>
        <v>186</v>
      </c>
      <c r="U152" s="281">
        <f>T153</f>
        <v>178.2</v>
      </c>
      <c r="V152" s="281">
        <f>U153</f>
        <v>200</v>
      </c>
      <c r="W152" s="281">
        <f>T153</f>
        <v>178.2</v>
      </c>
      <c r="X152" s="281">
        <f>Q153</f>
        <v>186</v>
      </c>
      <c r="Y152" s="281">
        <f>X153</f>
        <v>155.5</v>
      </c>
      <c r="Z152" s="281">
        <f>Y153</f>
        <v>275.3</v>
      </c>
      <c r="AA152" s="281">
        <f>X153</f>
        <v>155.5</v>
      </c>
      <c r="AB152" s="281">
        <f>AA153</f>
        <v>185.7</v>
      </c>
      <c r="AC152" s="281">
        <f>AB153</f>
        <v>136.69999999999999</v>
      </c>
      <c r="AD152" s="281">
        <f>AA153</f>
        <v>185.7</v>
      </c>
      <c r="AE152" s="281">
        <f>X153</f>
        <v>155.5</v>
      </c>
      <c r="AF152" s="281">
        <f>AE153</f>
        <v>141</v>
      </c>
      <c r="AG152" s="281">
        <f>AF153</f>
        <v>150.1</v>
      </c>
      <c r="AH152" s="281">
        <f>AE153</f>
        <v>141</v>
      </c>
      <c r="AI152" s="281">
        <f>AH153</f>
        <v>140.39999999999998</v>
      </c>
      <c r="AJ152" s="281">
        <f>AI153</f>
        <v>121.80000000000001</v>
      </c>
      <c r="AK152" s="281">
        <f>AH153</f>
        <v>140.39999999999998</v>
      </c>
      <c r="AL152" s="281">
        <f>AE153</f>
        <v>141</v>
      </c>
      <c r="AM152" s="281">
        <f>AL153</f>
        <v>77.599999999999994</v>
      </c>
      <c r="AN152" s="281">
        <f>AM153</f>
        <v>155.89999999999998</v>
      </c>
      <c r="AO152" s="281">
        <f>AL175</f>
        <v>77.599999999999994</v>
      </c>
      <c r="AP152" s="281">
        <f>AO175</f>
        <v>121.6</v>
      </c>
      <c r="AQ152" s="281">
        <f>AP175</f>
        <v>111.39999999999999</v>
      </c>
      <c r="AR152" s="281">
        <f>AO175</f>
        <v>121.6</v>
      </c>
      <c r="AS152" s="281">
        <f>AL175</f>
        <v>77.599999999999994</v>
      </c>
      <c r="AT152" s="281">
        <f>AS175</f>
        <v>81.3</v>
      </c>
      <c r="AU152" s="281">
        <f>AT175</f>
        <v>124.69999999999999</v>
      </c>
      <c r="AV152" s="281">
        <f>AS175</f>
        <v>81.3</v>
      </c>
      <c r="AW152" s="281">
        <f>AV175</f>
        <v>97.799999999999983</v>
      </c>
      <c r="AX152" s="281">
        <f>AW175</f>
        <v>97.6</v>
      </c>
      <c r="AY152" s="281">
        <f>AV175</f>
        <v>97.799999999999983</v>
      </c>
      <c r="AZ152" s="281">
        <f>AS175</f>
        <v>81.3</v>
      </c>
      <c r="BA152" s="281">
        <f>AZ175</f>
        <v>470.79999999999995</v>
      </c>
      <c r="BB152" s="281">
        <f>BA175</f>
        <v>444.70000000000005</v>
      </c>
      <c r="BC152" s="281">
        <f>AZ175</f>
        <v>470.79999999999995</v>
      </c>
      <c r="BD152" s="281">
        <f>BC175</f>
        <v>259.7</v>
      </c>
      <c r="BE152" s="281">
        <f>BD175</f>
        <v>318.89999999999998</v>
      </c>
      <c r="BF152" s="281">
        <f>BC175</f>
        <v>259.7</v>
      </c>
      <c r="BG152" s="281">
        <f>AZ175</f>
        <v>470.79999999999995</v>
      </c>
      <c r="BH152" s="281">
        <f>BG175</f>
        <v>289.7</v>
      </c>
      <c r="BI152" s="281">
        <f>BH175</f>
        <v>290.5</v>
      </c>
      <c r="BJ152" s="281">
        <f>BG175</f>
        <v>289.7</v>
      </c>
      <c r="BK152" s="281">
        <f>BJ175</f>
        <v>196.9</v>
      </c>
      <c r="BL152" s="281">
        <f>BK175</f>
        <v>250.29999999999998</v>
      </c>
      <c r="BM152" s="281">
        <f>BJ175</f>
        <v>196.9</v>
      </c>
      <c r="BN152" s="320">
        <f>BG175</f>
        <v>289.7</v>
      </c>
      <c r="BO152" s="320">
        <f>BN175</f>
        <v>231</v>
      </c>
      <c r="BP152" s="320">
        <f>BO175</f>
        <v>84.300000000000011</v>
      </c>
      <c r="BQ152" s="320">
        <f>BN175</f>
        <v>231</v>
      </c>
      <c r="BR152" s="320">
        <f>BQ175</f>
        <v>142.19999999999999</v>
      </c>
      <c r="BS152" s="320">
        <f>BR175</f>
        <v>104.69999999999999</v>
      </c>
      <c r="BT152" s="320">
        <f>BQ175</f>
        <v>142.19999999999999</v>
      </c>
      <c r="BU152" s="320">
        <f>BN175</f>
        <v>231</v>
      </c>
      <c r="BV152" s="320">
        <f>BU175</f>
        <v>94</v>
      </c>
      <c r="BW152" s="320">
        <f>BV175</f>
        <v>107.3</v>
      </c>
      <c r="BX152" s="320">
        <f>BU175</f>
        <v>94</v>
      </c>
      <c r="BY152" s="320">
        <f>BX175</f>
        <v>109.5</v>
      </c>
      <c r="BZ152" s="320">
        <f>BY175</f>
        <v>116.6</v>
      </c>
      <c r="CA152" s="320">
        <f>BX175</f>
        <v>109.5</v>
      </c>
      <c r="CB152" s="320">
        <f>BU175</f>
        <v>94</v>
      </c>
      <c r="CC152" s="320">
        <f>CB175</f>
        <v>129.1</v>
      </c>
      <c r="CD152" s="320">
        <f>CC175</f>
        <v>120.1</v>
      </c>
      <c r="CE152" s="320">
        <f>CB175</f>
        <v>129.1</v>
      </c>
      <c r="CF152" s="320">
        <f>CE175</f>
        <v>134.30000000000001</v>
      </c>
      <c r="CG152" s="320">
        <f>CF175</f>
        <v>117.39999999999999</v>
      </c>
      <c r="CH152" s="320">
        <f>CE175</f>
        <v>134.30000000000001</v>
      </c>
      <c r="CI152" s="320">
        <f>CB175</f>
        <v>129.1</v>
      </c>
      <c r="CJ152" s="320">
        <f>CI175</f>
        <v>192.8</v>
      </c>
      <c r="CK152" s="320">
        <f>CJ175</f>
        <v>154.1</v>
      </c>
      <c r="CL152" s="320">
        <f>CI175</f>
        <v>192.8</v>
      </c>
      <c r="CM152" s="320">
        <f>CL175</f>
        <v>125.5</v>
      </c>
      <c r="CN152" s="320">
        <f>CM175</f>
        <v>327.3</v>
      </c>
      <c r="CO152" s="320">
        <f>CL175</f>
        <v>125.5</v>
      </c>
      <c r="CP152" s="282">
        <f>CI175</f>
        <v>192.8</v>
      </c>
      <c r="CQ152" s="282">
        <f>CP175</f>
        <v>351.6</v>
      </c>
      <c r="CR152" s="282">
        <f>CQ175</f>
        <v>226.6</v>
      </c>
      <c r="CS152" s="282">
        <f>CP175</f>
        <v>351.6</v>
      </c>
      <c r="CT152" s="282">
        <f>CS175</f>
        <v>220.2</v>
      </c>
      <c r="CU152" s="282">
        <f>CT175</f>
        <v>202.1</v>
      </c>
      <c r="CV152" s="282">
        <f>CS175</f>
        <v>220.2</v>
      </c>
      <c r="CW152" s="282">
        <f>CP175</f>
        <v>351.6</v>
      </c>
      <c r="CX152" s="282">
        <f>CW175</f>
        <v>141.30000000000001</v>
      </c>
      <c r="CY152" s="282">
        <f>CX175</f>
        <v>137</v>
      </c>
      <c r="CZ152" s="282">
        <f>CW175</f>
        <v>141.30000000000001</v>
      </c>
      <c r="DA152" s="282">
        <f>CZ175</f>
        <v>213.2</v>
      </c>
      <c r="DB152" s="282">
        <f>DA175</f>
        <v>246.10000000000002</v>
      </c>
      <c r="DC152" s="282">
        <f>CZ175</f>
        <v>213.2</v>
      </c>
      <c r="DD152" s="590">
        <f>CW175</f>
        <v>141.30000000000001</v>
      </c>
      <c r="DE152" s="282">
        <f>DD175</f>
        <v>207.4</v>
      </c>
      <c r="DF152" s="282">
        <f>DE175</f>
        <v>240.70000000000002</v>
      </c>
      <c r="DG152" s="282">
        <f>DD175</f>
        <v>207.4</v>
      </c>
      <c r="DH152" s="282">
        <f>DG175</f>
        <v>451.40000000000003</v>
      </c>
      <c r="DI152" s="282">
        <f>DH175</f>
        <v>682.8</v>
      </c>
      <c r="DJ152" s="282">
        <f>DG175</f>
        <v>451.40000000000003</v>
      </c>
      <c r="DK152" s="590">
        <f>DD175</f>
        <v>207.4</v>
      </c>
      <c r="DL152" s="284">
        <f>DK175</f>
        <v>345</v>
      </c>
      <c r="DM152" s="282">
        <f>DL175</f>
        <v>244.5</v>
      </c>
      <c r="DN152" s="282">
        <f>DK175</f>
        <v>345</v>
      </c>
      <c r="DO152" s="282">
        <f>DN175</f>
        <v>271.5</v>
      </c>
      <c r="DP152" s="282">
        <f>DO175</f>
        <v>297.39999999999998</v>
      </c>
      <c r="DQ152" s="282">
        <f>DN175</f>
        <v>271.5</v>
      </c>
      <c r="DR152" s="590">
        <f>DK175</f>
        <v>345</v>
      </c>
      <c r="DS152" s="282">
        <f>DR175</f>
        <v>391.6</v>
      </c>
      <c r="DT152" s="282">
        <f>DS175</f>
        <v>278.60000000000002</v>
      </c>
      <c r="DU152" s="282">
        <f>DR175</f>
        <v>391.6</v>
      </c>
      <c r="DV152" s="282">
        <f>DU175</f>
        <v>223.8</v>
      </c>
      <c r="DW152" s="282">
        <f>DV175</f>
        <v>265.39999999999998</v>
      </c>
      <c r="DX152" s="282">
        <f>DU175</f>
        <v>223.8</v>
      </c>
      <c r="DY152" s="590">
        <f>DR175</f>
        <v>391.6</v>
      </c>
      <c r="DZ152" s="282">
        <f>DY175</f>
        <v>326.5</v>
      </c>
      <c r="EA152" s="282">
        <f>DZ175</f>
        <v>351.9</v>
      </c>
      <c r="EB152" s="282">
        <f>DY175</f>
        <v>326.5</v>
      </c>
      <c r="EC152" s="282">
        <f>EB175</f>
        <v>362.8</v>
      </c>
      <c r="ED152" s="282">
        <f>EC175</f>
        <v>645.29999999999995</v>
      </c>
      <c r="EE152" s="282">
        <f>EB175</f>
        <v>362.8</v>
      </c>
      <c r="EF152" s="590">
        <f>DY175</f>
        <v>326.5</v>
      </c>
      <c r="EG152" s="282">
        <f>EF175</f>
        <v>594.20000000000005</v>
      </c>
      <c r="EH152" s="282">
        <f>EG175</f>
        <v>568.79999999999995</v>
      </c>
      <c r="EI152" s="282">
        <f>EF175</f>
        <v>594.20000000000005</v>
      </c>
      <c r="EJ152" s="282">
        <f>EI175</f>
        <v>579.9</v>
      </c>
      <c r="EK152" s="282">
        <f>EJ175</f>
        <v>731.6</v>
      </c>
      <c r="EL152" s="282">
        <f>EI175</f>
        <v>579.9</v>
      </c>
      <c r="EM152" s="590">
        <f>EF175</f>
        <v>594.20000000000005</v>
      </c>
      <c r="EN152" s="282">
        <f>EM175</f>
        <v>781.40000000000009</v>
      </c>
      <c r="EO152" s="282">
        <f>EN175</f>
        <v>2295</v>
      </c>
      <c r="EP152" s="282">
        <f>EM175</f>
        <v>781.40000000000009</v>
      </c>
      <c r="EQ152" s="284">
        <f>EP175</f>
        <v>772</v>
      </c>
      <c r="ER152" s="282">
        <f>EQ175</f>
        <v>562.20000000000005</v>
      </c>
      <c r="ES152" s="282">
        <f>EP175</f>
        <v>772</v>
      </c>
      <c r="ET152" s="590">
        <f>EM175</f>
        <v>781.40000000000009</v>
      </c>
      <c r="EU152" s="282">
        <f>ET175</f>
        <v>562.20000000000005</v>
      </c>
      <c r="EV152" s="282">
        <f>EU175</f>
        <v>562.20000000000005</v>
      </c>
      <c r="EW152" s="282">
        <f>ET175</f>
        <v>562.20000000000005</v>
      </c>
      <c r="EX152" s="282">
        <f>EW175</f>
        <v>562.20000000000005</v>
      </c>
      <c r="EY152" s="282">
        <f>EX175</f>
        <v>562.20000000000005</v>
      </c>
      <c r="EZ152" s="282">
        <f>EW175</f>
        <v>562.20000000000005</v>
      </c>
      <c r="FA152" s="590">
        <f>ET175</f>
        <v>562.20000000000005</v>
      </c>
      <c r="FB152" s="282">
        <f>FA175</f>
        <v>562.20000000000005</v>
      </c>
      <c r="FC152" s="282">
        <f>FB175</f>
        <v>562.20000000000005</v>
      </c>
      <c r="FD152" s="282">
        <f>FA175</f>
        <v>562.20000000000005</v>
      </c>
      <c r="FE152" s="282">
        <f>FD175</f>
        <v>562.20000000000005</v>
      </c>
      <c r="FF152" s="282">
        <f>FE175</f>
        <v>562.20000000000005</v>
      </c>
      <c r="FG152" s="282">
        <f>FD175</f>
        <v>562.20000000000005</v>
      </c>
      <c r="FH152" s="590">
        <f>FA175</f>
        <v>562.20000000000005</v>
      </c>
      <c r="FI152" s="282">
        <f>FH175</f>
        <v>562.20000000000005</v>
      </c>
      <c r="FJ152" s="282">
        <f>FI175</f>
        <v>562.20000000000005</v>
      </c>
      <c r="FK152" s="282">
        <f>FH175</f>
        <v>562.20000000000005</v>
      </c>
      <c r="FL152" s="282">
        <f>FK175</f>
        <v>562.20000000000005</v>
      </c>
      <c r="FM152" s="282">
        <f>FL175</f>
        <v>562.20000000000005</v>
      </c>
      <c r="FN152" s="282">
        <f>FK175</f>
        <v>562.20000000000005</v>
      </c>
      <c r="FO152" s="590">
        <f>FH175</f>
        <v>562.20000000000005</v>
      </c>
      <c r="FP152" s="282">
        <f>FO175</f>
        <v>562.20000000000005</v>
      </c>
      <c r="FQ152" s="282">
        <f>FP175</f>
        <v>562.20000000000005</v>
      </c>
      <c r="FR152" s="282">
        <f>FO175</f>
        <v>562.20000000000005</v>
      </c>
      <c r="FS152" s="282">
        <f>FR175</f>
        <v>562.20000000000005</v>
      </c>
      <c r="FT152" s="282">
        <f>FS175</f>
        <v>562.20000000000005</v>
      </c>
      <c r="FU152" s="282">
        <f>FR175</f>
        <v>562.20000000000005</v>
      </c>
      <c r="FV152" s="590">
        <f>FO175</f>
        <v>562.20000000000005</v>
      </c>
    </row>
    <row r="153" spans="2:178" outlineLevel="1" x14ac:dyDescent="0.3">
      <c r="B153" s="253" t="s">
        <v>502</v>
      </c>
      <c r="C153" s="280"/>
      <c r="D153" s="281">
        <f t="shared" ref="D153:I153" si="431">D175</f>
        <v>161.6</v>
      </c>
      <c r="E153" s="281">
        <f t="shared" si="431"/>
        <v>170.9</v>
      </c>
      <c r="F153" s="281">
        <f t="shared" si="431"/>
        <v>170.9</v>
      </c>
      <c r="G153" s="281">
        <f t="shared" si="431"/>
        <v>149</v>
      </c>
      <c r="H153" s="281">
        <f t="shared" si="431"/>
        <v>315.10000000000002</v>
      </c>
      <c r="I153" s="281">
        <f t="shared" si="431"/>
        <v>315.10000000000002</v>
      </c>
      <c r="J153" s="281">
        <f>I153</f>
        <v>315.10000000000002</v>
      </c>
      <c r="K153" s="281">
        <f t="shared" ref="K153:P153" si="432">K175</f>
        <v>175.4</v>
      </c>
      <c r="L153" s="281">
        <f t="shared" si="432"/>
        <v>52.3</v>
      </c>
      <c r="M153" s="281">
        <f t="shared" si="432"/>
        <v>52.3</v>
      </c>
      <c r="N153" s="281">
        <f t="shared" si="432"/>
        <v>70.3</v>
      </c>
      <c r="O153" s="281">
        <f t="shared" si="432"/>
        <v>186</v>
      </c>
      <c r="P153" s="281">
        <f t="shared" si="432"/>
        <v>186</v>
      </c>
      <c r="Q153" s="281">
        <f>P153</f>
        <v>186</v>
      </c>
      <c r="R153" s="281">
        <f t="shared" ref="R153:W153" si="433">R175</f>
        <v>230.29999999999998</v>
      </c>
      <c r="S153" s="281">
        <f t="shared" si="433"/>
        <v>178.2</v>
      </c>
      <c r="T153" s="281">
        <f t="shared" si="433"/>
        <v>178.2</v>
      </c>
      <c r="U153" s="281">
        <f t="shared" si="433"/>
        <v>200</v>
      </c>
      <c r="V153" s="281">
        <f t="shared" si="433"/>
        <v>155.5</v>
      </c>
      <c r="W153" s="281">
        <f t="shared" si="433"/>
        <v>155.5</v>
      </c>
      <c r="X153" s="281">
        <f>W153</f>
        <v>155.5</v>
      </c>
      <c r="Y153" s="281">
        <f t="shared" ref="Y153:AD153" si="434">Y175</f>
        <v>275.3</v>
      </c>
      <c r="Z153" s="281">
        <f t="shared" si="434"/>
        <v>185.7</v>
      </c>
      <c r="AA153" s="281">
        <f t="shared" si="434"/>
        <v>185.7</v>
      </c>
      <c r="AB153" s="281">
        <f t="shared" si="434"/>
        <v>136.69999999999999</v>
      </c>
      <c r="AC153" s="281">
        <f t="shared" si="434"/>
        <v>141</v>
      </c>
      <c r="AD153" s="281">
        <f t="shared" si="434"/>
        <v>141</v>
      </c>
      <c r="AE153" s="281">
        <f>AD153</f>
        <v>141</v>
      </c>
      <c r="AF153" s="281">
        <f t="shared" ref="AF153:AK153" si="435">AF175</f>
        <v>150.1</v>
      </c>
      <c r="AG153" s="281">
        <f t="shared" si="435"/>
        <v>140.39999999999998</v>
      </c>
      <c r="AH153" s="281">
        <f t="shared" si="435"/>
        <v>140.39999999999998</v>
      </c>
      <c r="AI153" s="281">
        <f t="shared" si="435"/>
        <v>121.80000000000001</v>
      </c>
      <c r="AJ153" s="281">
        <f t="shared" si="435"/>
        <v>77.599999999999994</v>
      </c>
      <c r="AK153" s="281">
        <f t="shared" si="435"/>
        <v>77.599999999999994</v>
      </c>
      <c r="AL153" s="281">
        <f>AK153</f>
        <v>77.599999999999994</v>
      </c>
      <c r="AM153" s="281">
        <f t="shared" ref="AM153:CX153" si="436">AM175</f>
        <v>155.89999999999998</v>
      </c>
      <c r="AN153" s="281">
        <f t="shared" si="436"/>
        <v>121.6</v>
      </c>
      <c r="AO153" s="281">
        <f t="shared" si="436"/>
        <v>121.6</v>
      </c>
      <c r="AP153" s="281">
        <f t="shared" si="436"/>
        <v>111.39999999999999</v>
      </c>
      <c r="AQ153" s="281">
        <f t="shared" si="436"/>
        <v>81.3</v>
      </c>
      <c r="AR153" s="281">
        <f t="shared" si="436"/>
        <v>81.3</v>
      </c>
      <c r="AS153" s="281">
        <f t="shared" si="436"/>
        <v>81.3</v>
      </c>
      <c r="AT153" s="281">
        <f t="shared" si="436"/>
        <v>124.69999999999999</v>
      </c>
      <c r="AU153" s="281">
        <f t="shared" si="436"/>
        <v>97.799999999999983</v>
      </c>
      <c r="AV153" s="281">
        <f t="shared" si="436"/>
        <v>97.799999999999983</v>
      </c>
      <c r="AW153" s="281">
        <f t="shared" si="436"/>
        <v>97.6</v>
      </c>
      <c r="AX153" s="281">
        <f t="shared" si="436"/>
        <v>470.79999999999995</v>
      </c>
      <c r="AY153" s="281">
        <f t="shared" si="436"/>
        <v>470.79999999999995</v>
      </c>
      <c r="AZ153" s="281">
        <f t="shared" si="436"/>
        <v>470.79999999999995</v>
      </c>
      <c r="BA153" s="281">
        <f t="shared" si="436"/>
        <v>444.70000000000005</v>
      </c>
      <c r="BB153" s="281">
        <f t="shared" si="436"/>
        <v>259.7</v>
      </c>
      <c r="BC153" s="281">
        <f t="shared" si="436"/>
        <v>259.7</v>
      </c>
      <c r="BD153" s="281">
        <f t="shared" si="436"/>
        <v>318.89999999999998</v>
      </c>
      <c r="BE153" s="281">
        <f t="shared" si="436"/>
        <v>289.7</v>
      </c>
      <c r="BF153" s="281">
        <f t="shared" si="436"/>
        <v>289.7</v>
      </c>
      <c r="BG153" s="281">
        <f t="shared" si="436"/>
        <v>289.7</v>
      </c>
      <c r="BH153" s="281">
        <f t="shared" si="436"/>
        <v>290.5</v>
      </c>
      <c r="BI153" s="281">
        <f t="shared" si="436"/>
        <v>196.9</v>
      </c>
      <c r="BJ153" s="281">
        <f t="shared" si="436"/>
        <v>196.9</v>
      </c>
      <c r="BK153" s="281">
        <f t="shared" si="436"/>
        <v>250.29999999999998</v>
      </c>
      <c r="BL153" s="281">
        <f t="shared" si="436"/>
        <v>231</v>
      </c>
      <c r="BM153" s="281">
        <f t="shared" si="436"/>
        <v>231</v>
      </c>
      <c r="BN153" s="320">
        <f t="shared" si="436"/>
        <v>231</v>
      </c>
      <c r="BO153" s="320">
        <f t="shared" si="436"/>
        <v>84.300000000000011</v>
      </c>
      <c r="BP153" s="320">
        <f t="shared" si="436"/>
        <v>142.19999999999999</v>
      </c>
      <c r="BQ153" s="320">
        <f t="shared" si="436"/>
        <v>142.19999999999999</v>
      </c>
      <c r="BR153" s="320">
        <f t="shared" si="436"/>
        <v>104.69999999999999</v>
      </c>
      <c r="BS153" s="320">
        <f t="shared" si="436"/>
        <v>94</v>
      </c>
      <c r="BT153" s="320">
        <f t="shared" si="436"/>
        <v>94</v>
      </c>
      <c r="BU153" s="320">
        <f t="shared" si="436"/>
        <v>94</v>
      </c>
      <c r="BV153" s="320">
        <f t="shared" si="436"/>
        <v>107.3</v>
      </c>
      <c r="BW153" s="320">
        <f t="shared" si="436"/>
        <v>109.5</v>
      </c>
      <c r="BX153" s="320">
        <f t="shared" si="436"/>
        <v>109.5</v>
      </c>
      <c r="BY153" s="320">
        <f t="shared" si="436"/>
        <v>116.6</v>
      </c>
      <c r="BZ153" s="320">
        <f t="shared" si="436"/>
        <v>129.1</v>
      </c>
      <c r="CA153" s="320">
        <f t="shared" si="436"/>
        <v>129.1</v>
      </c>
      <c r="CB153" s="320">
        <f t="shared" si="436"/>
        <v>129.1</v>
      </c>
      <c r="CC153" s="320">
        <f t="shared" si="436"/>
        <v>120.1</v>
      </c>
      <c r="CD153" s="320">
        <f t="shared" si="436"/>
        <v>134.30000000000001</v>
      </c>
      <c r="CE153" s="320">
        <f t="shared" si="436"/>
        <v>134.30000000000001</v>
      </c>
      <c r="CF153" s="320">
        <f t="shared" si="436"/>
        <v>117.39999999999999</v>
      </c>
      <c r="CG153" s="320">
        <f t="shared" si="436"/>
        <v>192.8</v>
      </c>
      <c r="CH153" s="320">
        <f t="shared" si="436"/>
        <v>192.8</v>
      </c>
      <c r="CI153" s="320">
        <f t="shared" si="436"/>
        <v>192.8</v>
      </c>
      <c r="CJ153" s="320">
        <f t="shared" si="436"/>
        <v>154.1</v>
      </c>
      <c r="CK153" s="320">
        <f t="shared" si="436"/>
        <v>125.5</v>
      </c>
      <c r="CL153" s="320">
        <f t="shared" si="436"/>
        <v>125.5</v>
      </c>
      <c r="CM153" s="320">
        <f t="shared" si="436"/>
        <v>327.3</v>
      </c>
      <c r="CN153" s="320">
        <f t="shared" si="436"/>
        <v>351.6</v>
      </c>
      <c r="CO153" s="320">
        <f t="shared" si="436"/>
        <v>351.6</v>
      </c>
      <c r="CP153" s="282">
        <f t="shared" si="436"/>
        <v>351.6</v>
      </c>
      <c r="CQ153" s="282">
        <f t="shared" si="436"/>
        <v>226.6</v>
      </c>
      <c r="CR153" s="282">
        <f t="shared" si="436"/>
        <v>220.2</v>
      </c>
      <c r="CS153" s="282">
        <f t="shared" si="436"/>
        <v>220.2</v>
      </c>
      <c r="CT153" s="282">
        <f t="shared" si="436"/>
        <v>202.1</v>
      </c>
      <c r="CU153" s="282">
        <f t="shared" si="436"/>
        <v>141.30000000000001</v>
      </c>
      <c r="CV153" s="282">
        <f t="shared" si="436"/>
        <v>141.30000000000001</v>
      </c>
      <c r="CW153" s="282">
        <f t="shared" si="436"/>
        <v>141.30000000000001</v>
      </c>
      <c r="CX153" s="282">
        <f t="shared" si="436"/>
        <v>137</v>
      </c>
      <c r="CY153" s="282">
        <f t="shared" ref="CY153:FJ153" si="437">CY175</f>
        <v>213.2</v>
      </c>
      <c r="CZ153" s="282">
        <f t="shared" si="437"/>
        <v>213.2</v>
      </c>
      <c r="DA153" s="282">
        <f t="shared" si="437"/>
        <v>246.10000000000002</v>
      </c>
      <c r="DB153" s="282">
        <f t="shared" si="437"/>
        <v>207.4</v>
      </c>
      <c r="DC153" s="282">
        <f t="shared" si="437"/>
        <v>207.4</v>
      </c>
      <c r="DD153" s="590">
        <f t="shared" si="437"/>
        <v>207.4</v>
      </c>
      <c r="DE153" s="282">
        <f t="shared" si="437"/>
        <v>240.70000000000002</v>
      </c>
      <c r="DF153" s="282">
        <f>DF175</f>
        <v>451.40000000000003</v>
      </c>
      <c r="DG153" s="282">
        <f t="shared" si="437"/>
        <v>451.40000000000003</v>
      </c>
      <c r="DH153" s="282">
        <f t="shared" si="437"/>
        <v>682.8</v>
      </c>
      <c r="DI153" s="282">
        <f t="shared" si="437"/>
        <v>345</v>
      </c>
      <c r="DJ153" s="282">
        <f t="shared" si="437"/>
        <v>345</v>
      </c>
      <c r="DK153" s="590">
        <f t="shared" si="437"/>
        <v>345</v>
      </c>
      <c r="DL153" s="284">
        <f t="shared" si="437"/>
        <v>244.5</v>
      </c>
      <c r="DM153" s="282">
        <f t="shared" si="437"/>
        <v>271.5</v>
      </c>
      <c r="DN153" s="282">
        <f t="shared" si="437"/>
        <v>271.5</v>
      </c>
      <c r="DO153" s="282">
        <f t="shared" si="437"/>
        <v>297.39999999999998</v>
      </c>
      <c r="DP153" s="282">
        <f t="shared" si="437"/>
        <v>391.6</v>
      </c>
      <c r="DQ153" s="282">
        <f t="shared" si="437"/>
        <v>391.6</v>
      </c>
      <c r="DR153" s="590">
        <f t="shared" si="437"/>
        <v>391.6</v>
      </c>
      <c r="DS153" s="282">
        <f t="shared" si="437"/>
        <v>278.60000000000002</v>
      </c>
      <c r="DT153" s="282">
        <f t="shared" si="437"/>
        <v>223.8</v>
      </c>
      <c r="DU153" s="282">
        <f t="shared" si="437"/>
        <v>223.8</v>
      </c>
      <c r="DV153" s="282">
        <f t="shared" ref="DV153:EB153" si="438">DV175</f>
        <v>265.39999999999998</v>
      </c>
      <c r="DW153" s="282">
        <f t="shared" si="438"/>
        <v>326.5</v>
      </c>
      <c r="DX153" s="282">
        <f t="shared" si="438"/>
        <v>326.5</v>
      </c>
      <c r="DY153" s="590">
        <f t="shared" si="438"/>
        <v>326.5</v>
      </c>
      <c r="DZ153" s="282">
        <f t="shared" si="438"/>
        <v>351.9</v>
      </c>
      <c r="EA153" s="282">
        <f t="shared" si="438"/>
        <v>362.8</v>
      </c>
      <c r="EB153" s="282">
        <f t="shared" si="438"/>
        <v>362.8</v>
      </c>
      <c r="EC153" s="282">
        <f t="shared" ref="EC153:EI153" si="439">EC175</f>
        <v>645.29999999999995</v>
      </c>
      <c r="ED153" s="282">
        <f t="shared" si="439"/>
        <v>594.20000000000005</v>
      </c>
      <c r="EE153" s="282">
        <f t="shared" si="439"/>
        <v>594.20000000000005</v>
      </c>
      <c r="EF153" s="590">
        <f t="shared" si="439"/>
        <v>594.20000000000005</v>
      </c>
      <c r="EG153" s="282">
        <f t="shared" si="439"/>
        <v>568.79999999999995</v>
      </c>
      <c r="EH153" s="282">
        <f t="shared" si="439"/>
        <v>579.9</v>
      </c>
      <c r="EI153" s="282">
        <f t="shared" si="439"/>
        <v>579.9</v>
      </c>
      <c r="EJ153" s="282">
        <f>EJ175</f>
        <v>731.6</v>
      </c>
      <c r="EK153" s="282">
        <f>EK175</f>
        <v>781.40000000000009</v>
      </c>
      <c r="EL153" s="282">
        <f>EL175</f>
        <v>781.40000000000009</v>
      </c>
      <c r="EM153" s="590">
        <f>EM175</f>
        <v>781.40000000000009</v>
      </c>
      <c r="EN153" s="282">
        <f t="shared" ref="EN153:EP153" si="440">EN175</f>
        <v>2295</v>
      </c>
      <c r="EO153" s="282">
        <f t="shared" si="440"/>
        <v>772</v>
      </c>
      <c r="EP153" s="282">
        <f t="shared" si="440"/>
        <v>772</v>
      </c>
      <c r="EQ153" s="284">
        <f t="shared" ref="EQ153" si="441">EQ175</f>
        <v>562.20000000000005</v>
      </c>
      <c r="ER153" s="282">
        <f t="shared" si="437"/>
        <v>562.20000000000005</v>
      </c>
      <c r="ES153" s="282">
        <f t="shared" si="437"/>
        <v>562.20000000000005</v>
      </c>
      <c r="ET153" s="590">
        <f t="shared" si="437"/>
        <v>562.20000000000005</v>
      </c>
      <c r="EU153" s="282">
        <f t="shared" si="437"/>
        <v>562.20000000000005</v>
      </c>
      <c r="EV153" s="282">
        <f t="shared" si="437"/>
        <v>562.20000000000005</v>
      </c>
      <c r="EW153" s="282">
        <f t="shared" si="437"/>
        <v>562.20000000000005</v>
      </c>
      <c r="EX153" s="282">
        <f t="shared" si="437"/>
        <v>562.20000000000005</v>
      </c>
      <c r="EY153" s="282">
        <f t="shared" si="437"/>
        <v>562.20000000000005</v>
      </c>
      <c r="EZ153" s="282">
        <f t="shared" si="437"/>
        <v>562.20000000000005</v>
      </c>
      <c r="FA153" s="590">
        <f t="shared" si="437"/>
        <v>562.20000000000005</v>
      </c>
      <c r="FB153" s="282">
        <f t="shared" si="437"/>
        <v>562.20000000000005</v>
      </c>
      <c r="FC153" s="282">
        <f t="shared" si="437"/>
        <v>562.20000000000005</v>
      </c>
      <c r="FD153" s="282">
        <f t="shared" si="437"/>
        <v>562.20000000000005</v>
      </c>
      <c r="FE153" s="282">
        <f t="shared" si="437"/>
        <v>562.20000000000005</v>
      </c>
      <c r="FF153" s="282">
        <f t="shared" si="437"/>
        <v>562.20000000000005</v>
      </c>
      <c r="FG153" s="282">
        <f t="shared" si="437"/>
        <v>562.20000000000005</v>
      </c>
      <c r="FH153" s="590">
        <f t="shared" si="437"/>
        <v>562.20000000000005</v>
      </c>
      <c r="FI153" s="282">
        <f t="shared" si="437"/>
        <v>562.20000000000005</v>
      </c>
      <c r="FJ153" s="282">
        <f t="shared" si="437"/>
        <v>562.20000000000005</v>
      </c>
      <c r="FK153" s="282">
        <f t="shared" ref="FK153:FV153" si="442">FK175</f>
        <v>562.20000000000005</v>
      </c>
      <c r="FL153" s="282">
        <f t="shared" si="442"/>
        <v>562.20000000000005</v>
      </c>
      <c r="FM153" s="282">
        <f t="shared" si="442"/>
        <v>562.20000000000005</v>
      </c>
      <c r="FN153" s="282">
        <f t="shared" si="442"/>
        <v>562.20000000000005</v>
      </c>
      <c r="FO153" s="590">
        <f t="shared" si="442"/>
        <v>562.20000000000005</v>
      </c>
      <c r="FP153" s="282">
        <f t="shared" si="442"/>
        <v>562.20000000000005</v>
      </c>
      <c r="FQ153" s="282">
        <f t="shared" si="442"/>
        <v>562.20000000000005</v>
      </c>
      <c r="FR153" s="282">
        <f t="shared" si="442"/>
        <v>562.20000000000005</v>
      </c>
      <c r="FS153" s="282">
        <f t="shared" si="442"/>
        <v>562.20000000000005</v>
      </c>
      <c r="FT153" s="282">
        <f t="shared" si="442"/>
        <v>562.20000000000005</v>
      </c>
      <c r="FU153" s="282">
        <f t="shared" si="442"/>
        <v>562.20000000000005</v>
      </c>
      <c r="FV153" s="590">
        <f t="shared" si="442"/>
        <v>562.20000000000005</v>
      </c>
    </row>
    <row r="154" spans="2:178" outlineLevel="1" x14ac:dyDescent="0.3">
      <c r="B154" s="253" t="s">
        <v>503</v>
      </c>
      <c r="C154" s="280"/>
      <c r="K154" s="281">
        <f>AVERAGE(K152:K153)</f>
        <v>245.25</v>
      </c>
      <c r="L154" s="281">
        <f t="shared" ref="L154:BW154" si="443">AVERAGE(L152:L153)</f>
        <v>113.85</v>
      </c>
      <c r="M154" s="281">
        <f t="shared" si="443"/>
        <v>183.70000000000002</v>
      </c>
      <c r="N154" s="281">
        <f t="shared" si="443"/>
        <v>61.3</v>
      </c>
      <c r="O154" s="281">
        <f t="shared" si="443"/>
        <v>128.15</v>
      </c>
      <c r="P154" s="281">
        <f t="shared" si="443"/>
        <v>119.15</v>
      </c>
      <c r="Q154" s="281">
        <f t="shared" si="443"/>
        <v>250.55</v>
      </c>
      <c r="R154" s="281">
        <f t="shared" si="443"/>
        <v>208.14999999999998</v>
      </c>
      <c r="S154" s="281">
        <f t="shared" si="443"/>
        <v>204.25</v>
      </c>
      <c r="T154" s="281">
        <f t="shared" si="443"/>
        <v>182.1</v>
      </c>
      <c r="U154" s="281">
        <f t="shared" si="443"/>
        <v>189.1</v>
      </c>
      <c r="V154" s="281">
        <f t="shared" si="443"/>
        <v>177.75</v>
      </c>
      <c r="W154" s="281">
        <f t="shared" si="443"/>
        <v>166.85</v>
      </c>
      <c r="X154" s="281">
        <f t="shared" si="443"/>
        <v>170.75</v>
      </c>
      <c r="Y154" s="281">
        <f t="shared" si="443"/>
        <v>215.4</v>
      </c>
      <c r="Z154" s="281">
        <f t="shared" si="443"/>
        <v>230.5</v>
      </c>
      <c r="AA154" s="281">
        <f t="shared" si="443"/>
        <v>170.6</v>
      </c>
      <c r="AB154" s="281">
        <f t="shared" si="443"/>
        <v>161.19999999999999</v>
      </c>
      <c r="AC154" s="281">
        <f t="shared" si="443"/>
        <v>138.85</v>
      </c>
      <c r="AD154" s="281">
        <f t="shared" si="443"/>
        <v>163.35</v>
      </c>
      <c r="AE154" s="281">
        <f t="shared" si="443"/>
        <v>148.25</v>
      </c>
      <c r="AF154" s="281">
        <f t="shared" si="443"/>
        <v>145.55000000000001</v>
      </c>
      <c r="AG154" s="281">
        <f t="shared" si="443"/>
        <v>145.25</v>
      </c>
      <c r="AH154" s="281">
        <f t="shared" si="443"/>
        <v>140.69999999999999</v>
      </c>
      <c r="AI154" s="281">
        <f t="shared" si="443"/>
        <v>131.1</v>
      </c>
      <c r="AJ154" s="281">
        <f t="shared" si="443"/>
        <v>99.7</v>
      </c>
      <c r="AK154" s="281">
        <f t="shared" si="443"/>
        <v>108.99999999999999</v>
      </c>
      <c r="AL154" s="281">
        <f t="shared" si="443"/>
        <v>109.3</v>
      </c>
      <c r="AM154" s="281">
        <f t="shared" si="443"/>
        <v>116.74999999999999</v>
      </c>
      <c r="AN154" s="281">
        <f t="shared" si="443"/>
        <v>138.75</v>
      </c>
      <c r="AO154" s="281">
        <f t="shared" si="443"/>
        <v>99.6</v>
      </c>
      <c r="AP154" s="281">
        <f t="shared" si="443"/>
        <v>116.5</v>
      </c>
      <c r="AQ154" s="281">
        <f t="shared" si="443"/>
        <v>96.35</v>
      </c>
      <c r="AR154" s="281">
        <f t="shared" si="443"/>
        <v>101.44999999999999</v>
      </c>
      <c r="AS154" s="281">
        <f t="shared" si="443"/>
        <v>79.449999999999989</v>
      </c>
      <c r="AT154" s="281">
        <f>AVERAGE(AT152:AT153)</f>
        <v>103</v>
      </c>
      <c r="AU154" s="281">
        <f t="shared" si="443"/>
        <v>111.24999999999999</v>
      </c>
      <c r="AV154" s="281">
        <f t="shared" si="443"/>
        <v>89.549999999999983</v>
      </c>
      <c r="AW154" s="281">
        <f t="shared" si="443"/>
        <v>97.699999999999989</v>
      </c>
      <c r="AX154" s="281">
        <f t="shared" si="443"/>
        <v>284.2</v>
      </c>
      <c r="AY154" s="281">
        <f t="shared" si="443"/>
        <v>284.29999999999995</v>
      </c>
      <c r="AZ154" s="281">
        <f t="shared" si="443"/>
        <v>276.04999999999995</v>
      </c>
      <c r="BA154" s="281">
        <f t="shared" si="443"/>
        <v>457.75</v>
      </c>
      <c r="BB154" s="281">
        <f t="shared" si="443"/>
        <v>352.20000000000005</v>
      </c>
      <c r="BC154" s="281">
        <f t="shared" si="443"/>
        <v>365.25</v>
      </c>
      <c r="BD154" s="281">
        <f t="shared" si="443"/>
        <v>289.29999999999995</v>
      </c>
      <c r="BE154" s="281">
        <f t="shared" si="443"/>
        <v>304.29999999999995</v>
      </c>
      <c r="BF154" s="281">
        <f t="shared" si="443"/>
        <v>274.7</v>
      </c>
      <c r="BG154" s="281">
        <f t="shared" si="443"/>
        <v>380.25</v>
      </c>
      <c r="BH154" s="281">
        <f t="shared" si="443"/>
        <v>290.10000000000002</v>
      </c>
      <c r="BI154" s="281">
        <f t="shared" si="443"/>
        <v>243.7</v>
      </c>
      <c r="BJ154" s="281">
        <f t="shared" si="443"/>
        <v>243.3</v>
      </c>
      <c r="BK154" s="281">
        <f t="shared" si="443"/>
        <v>223.6</v>
      </c>
      <c r="BL154" s="281">
        <f t="shared" si="443"/>
        <v>240.64999999999998</v>
      </c>
      <c r="BM154" s="281">
        <f t="shared" si="443"/>
        <v>213.95</v>
      </c>
      <c r="BN154" s="320">
        <f t="shared" si="443"/>
        <v>260.35000000000002</v>
      </c>
      <c r="BO154" s="320">
        <f t="shared" si="443"/>
        <v>157.65</v>
      </c>
      <c r="BP154" s="320">
        <f t="shared" si="443"/>
        <v>113.25</v>
      </c>
      <c r="BQ154" s="320">
        <f t="shared" si="443"/>
        <v>186.6</v>
      </c>
      <c r="BR154" s="320">
        <f t="shared" si="443"/>
        <v>123.44999999999999</v>
      </c>
      <c r="BS154" s="320">
        <f t="shared" si="443"/>
        <v>99.35</v>
      </c>
      <c r="BT154" s="320">
        <f t="shared" si="443"/>
        <v>118.1</v>
      </c>
      <c r="BU154" s="320">
        <f t="shared" si="443"/>
        <v>162.5</v>
      </c>
      <c r="BV154" s="320">
        <f t="shared" si="443"/>
        <v>100.65</v>
      </c>
      <c r="BW154" s="320">
        <f t="shared" si="443"/>
        <v>108.4</v>
      </c>
      <c r="BX154" s="320">
        <f t="shared" ref="BX154:CX154" si="444">AVERAGE(BX152:BX153)</f>
        <v>101.75</v>
      </c>
      <c r="BY154" s="320">
        <f t="shared" si="444"/>
        <v>113.05</v>
      </c>
      <c r="BZ154" s="320">
        <f t="shared" si="444"/>
        <v>122.85</v>
      </c>
      <c r="CA154" s="320">
        <f t="shared" si="444"/>
        <v>119.3</v>
      </c>
      <c r="CB154" s="320">
        <f t="shared" si="444"/>
        <v>111.55</v>
      </c>
      <c r="CC154" s="320">
        <f t="shared" si="444"/>
        <v>124.6</v>
      </c>
      <c r="CD154" s="320">
        <f t="shared" si="444"/>
        <v>127.2</v>
      </c>
      <c r="CE154" s="320">
        <f t="shared" si="444"/>
        <v>131.69999999999999</v>
      </c>
      <c r="CF154" s="320">
        <f t="shared" si="444"/>
        <v>125.85</v>
      </c>
      <c r="CG154" s="320">
        <f t="shared" si="444"/>
        <v>155.1</v>
      </c>
      <c r="CH154" s="320">
        <f t="shared" si="444"/>
        <v>163.55000000000001</v>
      </c>
      <c r="CI154" s="320">
        <f t="shared" si="444"/>
        <v>160.94999999999999</v>
      </c>
      <c r="CJ154" s="320">
        <f>AVERAGE(CJ152:CJ153)</f>
        <v>173.45</v>
      </c>
      <c r="CK154" s="320">
        <f t="shared" si="444"/>
        <v>139.80000000000001</v>
      </c>
      <c r="CL154" s="320">
        <f t="shared" si="444"/>
        <v>159.15</v>
      </c>
      <c r="CM154" s="320">
        <f t="shared" si="444"/>
        <v>226.4</v>
      </c>
      <c r="CN154" s="320">
        <f t="shared" si="444"/>
        <v>339.45000000000005</v>
      </c>
      <c r="CO154" s="320">
        <f t="shared" si="444"/>
        <v>238.55</v>
      </c>
      <c r="CP154" s="282">
        <f t="shared" si="444"/>
        <v>272.20000000000005</v>
      </c>
      <c r="CQ154" s="282">
        <f t="shared" si="444"/>
        <v>289.10000000000002</v>
      </c>
      <c r="CR154" s="282">
        <f t="shared" si="444"/>
        <v>223.39999999999998</v>
      </c>
      <c r="CS154" s="282">
        <f t="shared" si="444"/>
        <v>285.89999999999998</v>
      </c>
      <c r="CT154" s="282">
        <f t="shared" si="444"/>
        <v>211.14999999999998</v>
      </c>
      <c r="CU154" s="282">
        <f t="shared" si="444"/>
        <v>171.7</v>
      </c>
      <c r="CV154" s="282">
        <f t="shared" si="444"/>
        <v>180.75</v>
      </c>
      <c r="CW154" s="282">
        <f t="shared" si="444"/>
        <v>246.45000000000002</v>
      </c>
      <c r="CX154" s="282">
        <f t="shared" si="444"/>
        <v>139.15</v>
      </c>
      <c r="CY154" s="282">
        <f>AVERAGE(CY152:CY153)</f>
        <v>175.1</v>
      </c>
      <c r="CZ154" s="282">
        <f>AVERAGE(CZ152:CZ153)</f>
        <v>177.25</v>
      </c>
      <c r="DA154" s="282">
        <f t="shared" ref="DA154:FL154" si="445">AVERAGE(DA152:DA153)</f>
        <v>229.65</v>
      </c>
      <c r="DB154" s="282">
        <f t="shared" si="445"/>
        <v>226.75</v>
      </c>
      <c r="DC154" s="282">
        <f t="shared" si="445"/>
        <v>210.3</v>
      </c>
      <c r="DD154" s="590">
        <f t="shared" si="445"/>
        <v>174.35000000000002</v>
      </c>
      <c r="DE154" s="282">
        <f t="shared" si="445"/>
        <v>224.05</v>
      </c>
      <c r="DF154" s="282">
        <f>AVERAGE(DF152:DF153)</f>
        <v>346.05</v>
      </c>
      <c r="DG154" s="282">
        <f t="shared" si="445"/>
        <v>329.40000000000003</v>
      </c>
      <c r="DH154" s="282">
        <f t="shared" si="445"/>
        <v>567.1</v>
      </c>
      <c r="DI154" s="282">
        <f t="shared" si="445"/>
        <v>513.9</v>
      </c>
      <c r="DJ154" s="282">
        <f t="shared" si="445"/>
        <v>398.20000000000005</v>
      </c>
      <c r="DK154" s="590">
        <f t="shared" si="445"/>
        <v>276.2</v>
      </c>
      <c r="DL154" s="284">
        <f t="shared" si="445"/>
        <v>294.75</v>
      </c>
      <c r="DM154" s="282">
        <f t="shared" si="445"/>
        <v>258</v>
      </c>
      <c r="DN154" s="282">
        <f t="shared" si="445"/>
        <v>308.25</v>
      </c>
      <c r="DO154" s="282">
        <f t="shared" si="445"/>
        <v>284.45</v>
      </c>
      <c r="DP154" s="282">
        <f t="shared" si="445"/>
        <v>344.5</v>
      </c>
      <c r="DQ154" s="282">
        <f t="shared" si="445"/>
        <v>331.55</v>
      </c>
      <c r="DR154" s="590">
        <f t="shared" si="445"/>
        <v>368.3</v>
      </c>
      <c r="DS154" s="282">
        <f t="shared" si="445"/>
        <v>335.1</v>
      </c>
      <c r="DT154" s="282">
        <f t="shared" si="445"/>
        <v>251.20000000000002</v>
      </c>
      <c r="DU154" s="282">
        <f t="shared" si="445"/>
        <v>307.70000000000005</v>
      </c>
      <c r="DV154" s="282">
        <f t="shared" ref="DV154:EB154" si="446">AVERAGE(DV152:DV153)</f>
        <v>244.6</v>
      </c>
      <c r="DW154" s="282">
        <f t="shared" si="446"/>
        <v>295.95</v>
      </c>
      <c r="DX154" s="282">
        <f t="shared" si="446"/>
        <v>275.14999999999998</v>
      </c>
      <c r="DY154" s="590">
        <f t="shared" si="446"/>
        <v>359.05</v>
      </c>
      <c r="DZ154" s="282">
        <f t="shared" si="446"/>
        <v>339.2</v>
      </c>
      <c r="EA154" s="282">
        <f t="shared" si="446"/>
        <v>357.35</v>
      </c>
      <c r="EB154" s="282">
        <f t="shared" si="446"/>
        <v>344.65</v>
      </c>
      <c r="EC154" s="282">
        <f t="shared" ref="EC154:EI154" si="447">AVERAGE(EC152:EC153)</f>
        <v>504.04999999999995</v>
      </c>
      <c r="ED154" s="282">
        <f t="shared" si="447"/>
        <v>619.75</v>
      </c>
      <c r="EE154" s="282">
        <f t="shared" si="447"/>
        <v>478.5</v>
      </c>
      <c r="EF154" s="590">
        <f t="shared" si="447"/>
        <v>460.35</v>
      </c>
      <c r="EG154" s="282">
        <f t="shared" si="447"/>
        <v>581.5</v>
      </c>
      <c r="EH154" s="282">
        <f t="shared" si="447"/>
        <v>574.34999999999991</v>
      </c>
      <c r="EI154" s="282">
        <f t="shared" si="447"/>
        <v>587.04999999999995</v>
      </c>
      <c r="EJ154" s="282">
        <f>AVERAGE(EJ152:EJ153)</f>
        <v>655.75</v>
      </c>
      <c r="EK154" s="282">
        <f>AVERAGE(EK152:EK153)</f>
        <v>756.5</v>
      </c>
      <c r="EL154" s="282">
        <f>AVERAGE(EL152:EL153)</f>
        <v>680.65000000000009</v>
      </c>
      <c r="EM154" s="590">
        <f>AVERAGE(EM152:EM153)</f>
        <v>687.80000000000007</v>
      </c>
      <c r="EN154" s="282">
        <f t="shared" ref="EN154:EP154" si="448">AVERAGE(EN152:EN153)</f>
        <v>1538.2</v>
      </c>
      <c r="EO154" s="282">
        <f t="shared" si="448"/>
        <v>1533.5</v>
      </c>
      <c r="EP154" s="282">
        <f t="shared" si="448"/>
        <v>776.7</v>
      </c>
      <c r="EQ154" s="284">
        <f t="shared" ref="EQ154" si="449">AVERAGE(EQ152:EQ153)</f>
        <v>667.1</v>
      </c>
      <c r="ER154" s="282">
        <f t="shared" si="445"/>
        <v>562.20000000000005</v>
      </c>
      <c r="ES154" s="282">
        <f t="shared" si="445"/>
        <v>667.1</v>
      </c>
      <c r="ET154" s="590">
        <f t="shared" si="445"/>
        <v>671.80000000000007</v>
      </c>
      <c r="EU154" s="282">
        <f t="shared" si="445"/>
        <v>562.20000000000005</v>
      </c>
      <c r="EV154" s="282">
        <f t="shared" si="445"/>
        <v>562.20000000000005</v>
      </c>
      <c r="EW154" s="282">
        <f t="shared" si="445"/>
        <v>562.20000000000005</v>
      </c>
      <c r="EX154" s="282">
        <f t="shared" si="445"/>
        <v>562.20000000000005</v>
      </c>
      <c r="EY154" s="282">
        <f t="shared" si="445"/>
        <v>562.20000000000005</v>
      </c>
      <c r="EZ154" s="282">
        <f t="shared" si="445"/>
        <v>562.20000000000005</v>
      </c>
      <c r="FA154" s="590">
        <f t="shared" si="445"/>
        <v>562.20000000000005</v>
      </c>
      <c r="FB154" s="282">
        <f t="shared" si="445"/>
        <v>562.20000000000005</v>
      </c>
      <c r="FC154" s="282">
        <f t="shared" si="445"/>
        <v>562.20000000000005</v>
      </c>
      <c r="FD154" s="282">
        <f t="shared" si="445"/>
        <v>562.20000000000005</v>
      </c>
      <c r="FE154" s="282">
        <f t="shared" si="445"/>
        <v>562.20000000000005</v>
      </c>
      <c r="FF154" s="282">
        <f t="shared" si="445"/>
        <v>562.20000000000005</v>
      </c>
      <c r="FG154" s="282">
        <f t="shared" si="445"/>
        <v>562.20000000000005</v>
      </c>
      <c r="FH154" s="590">
        <f t="shared" si="445"/>
        <v>562.20000000000005</v>
      </c>
      <c r="FI154" s="282">
        <f t="shared" si="445"/>
        <v>562.20000000000005</v>
      </c>
      <c r="FJ154" s="282">
        <f t="shared" si="445"/>
        <v>562.20000000000005</v>
      </c>
      <c r="FK154" s="282">
        <f t="shared" si="445"/>
        <v>562.20000000000005</v>
      </c>
      <c r="FL154" s="282">
        <f t="shared" si="445"/>
        <v>562.20000000000005</v>
      </c>
      <c r="FM154" s="282">
        <f t="shared" ref="FM154:FV154" si="450">AVERAGE(FM152:FM153)</f>
        <v>562.20000000000005</v>
      </c>
      <c r="FN154" s="282">
        <f t="shared" si="450"/>
        <v>562.20000000000005</v>
      </c>
      <c r="FO154" s="590">
        <f t="shared" si="450"/>
        <v>562.20000000000005</v>
      </c>
      <c r="FP154" s="282">
        <f t="shared" si="450"/>
        <v>562.20000000000005</v>
      </c>
      <c r="FQ154" s="282">
        <f t="shared" si="450"/>
        <v>562.20000000000005</v>
      </c>
      <c r="FR154" s="282">
        <f t="shared" si="450"/>
        <v>562.20000000000005</v>
      </c>
      <c r="FS154" s="282">
        <f t="shared" si="450"/>
        <v>562.20000000000005</v>
      </c>
      <c r="FT154" s="282">
        <f t="shared" si="450"/>
        <v>562.20000000000005</v>
      </c>
      <c r="FU154" s="282">
        <f t="shared" si="450"/>
        <v>562.20000000000005</v>
      </c>
      <c r="FV154" s="590">
        <f t="shared" si="450"/>
        <v>562.20000000000005</v>
      </c>
    </row>
    <row r="155" spans="2:178" outlineLevel="1" x14ac:dyDescent="0.3">
      <c r="B155" s="253" t="s">
        <v>504</v>
      </c>
      <c r="C155" s="280"/>
      <c r="K155" s="349">
        <f>K156/K154*4</f>
        <v>5.8715596330275233E-2</v>
      </c>
      <c r="L155" s="349">
        <f>L156/L154*4</f>
        <v>4.2160737812911728E-2</v>
      </c>
      <c r="M155" s="349">
        <f>M156/M154*2</f>
        <v>5.2259118127381592E-2</v>
      </c>
      <c r="N155" s="349">
        <f>N156/N154*4</f>
        <v>1.3050570962479609E-2</v>
      </c>
      <c r="O155" s="349">
        <f>O156/O154*4</f>
        <v>1.5606710885680849E-2</v>
      </c>
      <c r="P155" s="349">
        <f>P156/P154*2</f>
        <v>1.1749895090222411E-2</v>
      </c>
      <c r="Q155" s="349">
        <f>Q156/Q154</f>
        <v>2.195170624625823E-2</v>
      </c>
      <c r="R155" s="349">
        <f>R156/R154*4</f>
        <v>3.459043958683642E-2</v>
      </c>
      <c r="S155" s="349">
        <f>S156/S154*4</f>
        <v>8.8127294981640153E-2</v>
      </c>
      <c r="T155" s="349">
        <f>T156/T154*2</f>
        <v>6.919275123558484E-2</v>
      </c>
      <c r="U155" s="349">
        <f>U156/U154*4</f>
        <v>7.8265468006345859E-2</v>
      </c>
      <c r="V155" s="349">
        <f>V156/V154*4</f>
        <v>4.9507735583684938E-2</v>
      </c>
      <c r="W155" s="349">
        <f>W156/W154*2</f>
        <v>7.0722205573868741E-2</v>
      </c>
      <c r="X155" s="349">
        <f>X156/X154</f>
        <v>7.1449487554904823E-2</v>
      </c>
      <c r="Y155" s="349">
        <f>Y156/Y154*4</f>
        <v>2.7855153203342618E-2</v>
      </c>
      <c r="Z155" s="349">
        <f>Z156/Z154*4</f>
        <v>4.5119305856832971E-2</v>
      </c>
      <c r="AA155" s="349">
        <f>AA156/AA154*2</f>
        <v>4.8065650644783117E-2</v>
      </c>
      <c r="AB155" s="349">
        <f>AB156/AB154*4</f>
        <v>3.4739454094292806E-2</v>
      </c>
      <c r="AC155" s="349">
        <f>AC156/AC154*4</f>
        <v>7.7781778898091458E-2</v>
      </c>
      <c r="AD155" s="349">
        <f>AD156/AD154*2</f>
        <v>5.0198959289868381E-2</v>
      </c>
      <c r="AE155" s="349">
        <f>AE156/AE154</f>
        <v>5.5311973018549745E-2</v>
      </c>
      <c r="AF155" s="349">
        <f>AF156/AF154*4</f>
        <v>2.1985571968395741E-2</v>
      </c>
      <c r="AG155" s="349">
        <f>AG156/AG154*4</f>
        <v>3.0292598967297767E-2</v>
      </c>
      <c r="AH155" s="349">
        <f>AH156/AH154*2</f>
        <v>2.7007818052594175E-2</v>
      </c>
      <c r="AI155" s="349">
        <f>AI156/AI154*4</f>
        <v>3.0511060259344015E-2</v>
      </c>
      <c r="AJ155" s="349">
        <f>AJ156/AJ154*4</f>
        <v>3.2096288866599799E-2</v>
      </c>
      <c r="AK155" s="349">
        <f>AK156/AK154*2</f>
        <v>3.3027522935779818E-2</v>
      </c>
      <c r="AL155" s="349">
        <f>AL156/AL154</f>
        <v>3.3851784080512357E-2</v>
      </c>
      <c r="AM155" s="349">
        <f>AM156/AM154*4</f>
        <v>2.398286937901499E-2</v>
      </c>
      <c r="AN155" s="349">
        <f>AN156/AN154*4</f>
        <v>3.7477477477477476E-2</v>
      </c>
      <c r="AO155" s="349">
        <f>AO156/AO154*2</f>
        <v>4.0160642570281124E-2</v>
      </c>
      <c r="AP155" s="349">
        <f>AP156/AP154*4</f>
        <v>2.4034334763948496E-2</v>
      </c>
      <c r="AQ155" s="349">
        <f>AQ156/AQ154*4</f>
        <v>7.8879086663207046E-2</v>
      </c>
      <c r="AR155" s="349">
        <f>AR156/AR154*2</f>
        <v>5.1256776737309016E-2</v>
      </c>
      <c r="AS155" s="349">
        <f>AS156/AS154</f>
        <v>5.7898049087476401E-2</v>
      </c>
      <c r="AT155" s="349">
        <f>AT156/AT154*4</f>
        <v>2.7184466019417475E-2</v>
      </c>
      <c r="AU155" s="349">
        <f>AU156/AU154*4</f>
        <v>3.2359550561797755E-2</v>
      </c>
      <c r="AV155" s="349">
        <f>AV156/AV154*2</f>
        <v>3.5734226689000566E-2</v>
      </c>
      <c r="AW155" s="349">
        <f>AW156/AW154*4</f>
        <v>3.2753326509723651E-2</v>
      </c>
      <c r="AX155" s="349">
        <f>AX156/AX154*4</f>
        <v>1.9704433497536943E-2</v>
      </c>
      <c r="AY155" s="349">
        <f>AY156/AY154*2</f>
        <v>1.5476609215617306E-2</v>
      </c>
      <c r="AZ155" s="349">
        <f>AZ156/AZ154</f>
        <v>1.376562216989676E-2</v>
      </c>
      <c r="BA155" s="349">
        <f>BA156/BA154*4</f>
        <v>1.3107591480065538E-2</v>
      </c>
      <c r="BB155" s="349">
        <f>BB156/BB154*4</f>
        <v>1.4764338444065871E-2</v>
      </c>
      <c r="BC155" s="349">
        <f>BC156/BC154*2</f>
        <v>1.5331964407939767E-2</v>
      </c>
      <c r="BD155" s="349">
        <f>BD156/BD154*4</f>
        <v>4.8392671966816458E-2</v>
      </c>
      <c r="BE155" s="349">
        <f>BE156/BE154*4</f>
        <v>2.1031876437725937E-2</v>
      </c>
      <c r="BF155" s="349">
        <f>BF156/BF154*2</f>
        <v>3.7131416090280311E-2</v>
      </c>
      <c r="BG155" s="349">
        <f>BG156/BG154</f>
        <v>2.0775805391190009E-2</v>
      </c>
      <c r="BH155" s="349">
        <f>BH156/BH154*4</f>
        <v>1.6546018614270939E-2</v>
      </c>
      <c r="BI155" s="349">
        <f>BI156/BI154*4</f>
        <v>1.3130898645876079E-2</v>
      </c>
      <c r="BJ155" s="349">
        <f>BJ156/BJ154*2</f>
        <v>1.6440608302507192E-2</v>
      </c>
      <c r="BK155" s="349">
        <f>BK156/BK154*4</f>
        <v>1.2522361359570661E-2</v>
      </c>
      <c r="BL155" s="349">
        <f>BL156/BL154*4</f>
        <v>1.1635154789112824E-2</v>
      </c>
      <c r="BM155" s="349">
        <f>BM156/BM154*2</f>
        <v>1.3087169899509234E-2</v>
      </c>
      <c r="BN155" s="349">
        <f>BN156/BN154</f>
        <v>1.3059343191857116E-2</v>
      </c>
      <c r="BO155" s="349">
        <f>BO156/BO154*4</f>
        <v>1.522359657469077E-2</v>
      </c>
      <c r="BP155" s="349">
        <f>BP156/BP154*4</f>
        <v>2.82560706401766E-2</v>
      </c>
      <c r="BQ155" s="349">
        <f>BQ156/BQ154*2</f>
        <v>1.5005359056806002E-2</v>
      </c>
      <c r="BR155" s="349">
        <f>BR156/BR154*4</f>
        <v>3.2401782098015397E-3</v>
      </c>
      <c r="BS155" s="349">
        <f>BS156/BS154*4</f>
        <v>0</v>
      </c>
      <c r="BT155" s="349">
        <f>BT156/BT154*2</f>
        <v>1.6934801016088063E-3</v>
      </c>
      <c r="BU155" s="349">
        <f>BU156/BU154</f>
        <v>9.2307692307692316E-3</v>
      </c>
      <c r="BV155" s="349">
        <f>BV156/BV154*4</f>
        <v>7.9483358171882762E-3</v>
      </c>
      <c r="BW155" s="349">
        <f>BW156/BW154*4</f>
        <v>1.107011070110701E-2</v>
      </c>
      <c r="BX155" s="349">
        <f>BX156/BX154*2</f>
        <v>9.8280098280098278E-3</v>
      </c>
      <c r="BY155" s="349">
        <f>BY156/BY154*4</f>
        <v>7.0765148164528974E-3</v>
      </c>
      <c r="BZ155" s="349">
        <f>BZ156/BZ154*4</f>
        <v>3.2560032560032563E-3</v>
      </c>
      <c r="CA155" s="349">
        <f>CA156/CA154*2</f>
        <v>5.0293378038558266E-3</v>
      </c>
      <c r="CB155" s="349">
        <f>CB156/CB154</f>
        <v>7.1716718960107579E-3</v>
      </c>
      <c r="CC155" s="349">
        <f>CC156/CC154*4</f>
        <v>6.4205457463884438E-3</v>
      </c>
      <c r="CD155" s="349">
        <f>CD156/CD154*4</f>
        <v>9.433962264150943E-3</v>
      </c>
      <c r="CE155" s="349">
        <f>CE156/CE154*2</f>
        <v>7.5930144267274116E-3</v>
      </c>
      <c r="CF155" s="349">
        <f>CF156/CF154*4</f>
        <v>6.3567739372268582E-3</v>
      </c>
      <c r="CG155" s="349">
        <f>CG156/CG154*4</f>
        <v>5.1579626047711163E-3</v>
      </c>
      <c r="CH155" s="349">
        <f>CH156/CH154*2</f>
        <v>4.8914704983185568E-3</v>
      </c>
      <c r="CI155" s="349">
        <f>CI156/CI154</f>
        <v>5.5917986952469714E-3</v>
      </c>
      <c r="CJ155" s="349">
        <f>CJ156/CJ154*4</f>
        <v>4.6122801960219086E-3</v>
      </c>
      <c r="CK155" s="349">
        <f>CK156/CK154*4</f>
        <v>8.5836909871244618E-3</v>
      </c>
      <c r="CL155" s="473">
        <f>CL156/CL154*2</f>
        <v>6.2833804586867733E-3</v>
      </c>
      <c r="CM155" s="349">
        <f>CM156/CM154*4</f>
        <v>1.2367491166077738E-2</v>
      </c>
      <c r="CN155" s="349">
        <f>CN156/CN154*4</f>
        <v>8.2486375018412123E-3</v>
      </c>
      <c r="CO155" s="349">
        <f>CO156/CO154*2</f>
        <v>1.1737581219870046E-2</v>
      </c>
      <c r="CP155" s="337">
        <f>CP156/CP154</f>
        <v>6.9801616458486388E-3</v>
      </c>
      <c r="CQ155" s="337">
        <f>CQ156/CQ154*4</f>
        <v>1.1068834313386372E-2</v>
      </c>
      <c r="CR155" s="337">
        <f>CR156/CR154*4</f>
        <v>1.611459265890779E-2</v>
      </c>
      <c r="CS155" s="474">
        <f>CS156/CS154*2</f>
        <v>1.1892270024484088E-2</v>
      </c>
      <c r="CT155" s="337">
        <f>CT156/CT154*4</f>
        <v>2.2732654511011131E-2</v>
      </c>
      <c r="CU155" s="337">
        <f>CU156/CU154*4</f>
        <v>1.6307513104251603E-2</v>
      </c>
      <c r="CV155" s="337">
        <f>CV156/CV154*2</f>
        <v>2.102351313969571E-2</v>
      </c>
      <c r="CW155" s="337">
        <f>CW156/CW154</f>
        <v>1.4607425441265975E-2</v>
      </c>
      <c r="CX155" s="337">
        <f>CX156/CX154*4</f>
        <v>2.2996766079770033E-2</v>
      </c>
      <c r="CY155" s="337">
        <f>CY156/CY154*4</f>
        <v>1.8275271273557967E-2</v>
      </c>
      <c r="CZ155" s="337">
        <f>CZ156/CZ154*2</f>
        <v>1.8053596614950637E-2</v>
      </c>
      <c r="DA155" s="337">
        <f>CY155</f>
        <v>1.8275271273557967E-2</v>
      </c>
      <c r="DB155" s="337">
        <f>DB156/DB154*4</f>
        <v>1.7640573318632856E-3</v>
      </c>
      <c r="DC155" s="337">
        <f>DC156/DC154*2</f>
        <v>1.0929424745536348E-2</v>
      </c>
      <c r="DD155" s="577">
        <f>DD156/DD154</f>
        <v>1.5768448591873513E-2</v>
      </c>
      <c r="DE155" s="464">
        <f>DE156/DE154*4</f>
        <v>0</v>
      </c>
      <c r="DF155" s="464">
        <f>DF156/DF154*4</f>
        <v>2.3118046525068634E-3</v>
      </c>
      <c r="DG155" s="337">
        <f>DG156/DG154*2</f>
        <v>1.2143290831815421E-3</v>
      </c>
      <c r="DH155" s="337">
        <f>DF155</f>
        <v>2.3118046525068634E-3</v>
      </c>
      <c r="DI155" s="337">
        <f>DI156/DI154*4</f>
        <v>0</v>
      </c>
      <c r="DJ155" s="337">
        <f>DJ156/DJ154*2</f>
        <v>1.6461883707140157E-3</v>
      </c>
      <c r="DK155" s="577">
        <f>DK156/DK154</f>
        <v>1.9107751796131809E-3</v>
      </c>
      <c r="DL155" s="465">
        <f>DL156/DL154*4</f>
        <v>0</v>
      </c>
      <c r="DM155" s="464">
        <f>DM156/DM154*4</f>
        <v>4.6511627906976752E-3</v>
      </c>
      <c r="DN155" s="337">
        <f>DN156/DN154*2</f>
        <v>1.9464720194647205E-3</v>
      </c>
      <c r="DO155" s="464">
        <f>DM155</f>
        <v>4.6511627906976752E-3</v>
      </c>
      <c r="DP155" s="337">
        <f>DP156/DP154*4</f>
        <v>-2.3222060957910017E-3</v>
      </c>
      <c r="DQ155" s="337">
        <f>DQ156/DQ154*2</f>
        <v>7.8875472148085273E-4</v>
      </c>
      <c r="DR155" s="577">
        <f>DR156/DR154</f>
        <v>1.1695786422847906E-3</v>
      </c>
      <c r="DS155" s="464">
        <f>DS156/DS154*4</f>
        <v>0</v>
      </c>
      <c r="DT155" s="464">
        <f>DT156/DT154*4</f>
        <v>1.9108280254777073E-2</v>
      </c>
      <c r="DU155" s="464">
        <f>DU156/DU154*2</f>
        <v>7.7998050048748782E-3</v>
      </c>
      <c r="DV155" s="464">
        <f>DT155</f>
        <v>1.9108280254777073E-2</v>
      </c>
      <c r="DW155" s="337">
        <f>DW156/DW154*4</f>
        <v>1.2164216928535225E-2</v>
      </c>
      <c r="DX155" s="337">
        <f>DX156/DX154*2</f>
        <v>1.5035226876828046E-2</v>
      </c>
      <c r="DY155" s="577">
        <f>DY156/DY154</f>
        <v>9.1031091424025011E-3</v>
      </c>
      <c r="DZ155" s="464">
        <f>DZ156/DZ154*4</f>
        <v>0</v>
      </c>
      <c r="EA155" s="464">
        <f>EA156/EA154*4</f>
        <v>0</v>
      </c>
      <c r="EB155" s="464">
        <f>EB156/EB154*2</f>
        <v>0</v>
      </c>
      <c r="EC155" s="464">
        <f>EA155</f>
        <v>0</v>
      </c>
      <c r="ED155" s="337">
        <f>ED156/ED154*4</f>
        <v>7.8096006454215411E-2</v>
      </c>
      <c r="EE155" s="337">
        <f>EE156/EE154*2</f>
        <v>5.057471264367816E-2</v>
      </c>
      <c r="EF155" s="577">
        <f>EF156/EF154</f>
        <v>2.6284348864994023E-2</v>
      </c>
      <c r="EG155" s="464">
        <f>EG156/EG154*4</f>
        <v>3.3018056749785037E-2</v>
      </c>
      <c r="EH155" s="464">
        <f>EH156/EH154*4</f>
        <v>3.0643335944981292E-2</v>
      </c>
      <c r="EI155" s="464">
        <f>EI156/EI154*2</f>
        <v>3.1343156460267439E-2</v>
      </c>
      <c r="EJ155" s="464">
        <f>EJ156/EJ154*2</f>
        <v>1.4334731223789554E-2</v>
      </c>
      <c r="EK155" s="464">
        <f>EK156/EK154*4</f>
        <v>3.1196298744216793E-2</v>
      </c>
      <c r="EL155" s="337">
        <f>EL156/EL154*2</f>
        <v>3.1146698009255857E-2</v>
      </c>
      <c r="EM155" s="577">
        <f>EM156/EM154</f>
        <v>2.8787438208781622E-2</v>
      </c>
      <c r="EN155" s="464">
        <f>EN156/EN154*4</f>
        <v>1.0921856715641659E-2</v>
      </c>
      <c r="EO155" s="464">
        <f>EO156/EO154*4</f>
        <v>0</v>
      </c>
      <c r="EP155" s="464">
        <f>EP156/EP154*2</f>
        <v>1.0814986481266898E-2</v>
      </c>
      <c r="EQ155" s="465">
        <f>EQ156/EQ154*4</f>
        <v>0</v>
      </c>
      <c r="ER155" s="474">
        <f>EQ155</f>
        <v>0</v>
      </c>
      <c r="ES155" s="474">
        <f>ES156/ES154*2</f>
        <v>0</v>
      </c>
      <c r="ET155" s="611">
        <f>ET156/ET154</f>
        <v>6.2518606728192913E-3</v>
      </c>
      <c r="EU155" s="474">
        <f>EN155</f>
        <v>1.0921856715641659E-2</v>
      </c>
      <c r="EV155" s="474">
        <f>EU155</f>
        <v>1.0921856715641659E-2</v>
      </c>
      <c r="EW155" s="474">
        <f>EW156/EW154*2</f>
        <v>1.0921856715641659E-2</v>
      </c>
      <c r="EX155" s="474">
        <f>EV155</f>
        <v>1.0921856715641659E-2</v>
      </c>
      <c r="EY155" s="474">
        <f>EX155</f>
        <v>1.0921856715641659E-2</v>
      </c>
      <c r="EZ155" s="474">
        <f>EZ156/EZ154*2</f>
        <v>1.0921856715641659E-2</v>
      </c>
      <c r="FA155" s="611">
        <f>FA156/FA154</f>
        <v>1.0921856715641659E-2</v>
      </c>
      <c r="FB155" s="474">
        <f>EY155</f>
        <v>1.0921856715641659E-2</v>
      </c>
      <c r="FC155" s="474">
        <f>FB155</f>
        <v>1.0921856715641659E-2</v>
      </c>
      <c r="FD155" s="474">
        <f>FD156/FD154*2</f>
        <v>1.0921856715641659E-2</v>
      </c>
      <c r="FE155" s="474">
        <f>FC155</f>
        <v>1.0921856715641659E-2</v>
      </c>
      <c r="FF155" s="474">
        <f>FE155</f>
        <v>1.0921856715641659E-2</v>
      </c>
      <c r="FG155" s="474">
        <f>FG156/FG154*2</f>
        <v>1.0921856715641659E-2</v>
      </c>
      <c r="FH155" s="611">
        <f>FH156/FH154</f>
        <v>1.0921856715641659E-2</v>
      </c>
      <c r="FI155" s="474">
        <f>FF155</f>
        <v>1.0921856715641659E-2</v>
      </c>
      <c r="FJ155" s="474">
        <f>FI155</f>
        <v>1.0921856715641659E-2</v>
      </c>
      <c r="FK155" s="474">
        <f>FK156/FK154*2</f>
        <v>1.0921856715641659E-2</v>
      </c>
      <c r="FL155" s="474">
        <f>FJ155</f>
        <v>1.0921856715641659E-2</v>
      </c>
      <c r="FM155" s="474">
        <f>FL155</f>
        <v>1.0921856715641659E-2</v>
      </c>
      <c r="FN155" s="474">
        <f>FN156/FN154*2</f>
        <v>1.0921856715641659E-2</v>
      </c>
      <c r="FO155" s="611">
        <f>FO156/FO154</f>
        <v>1.0921856715641659E-2</v>
      </c>
      <c r="FP155" s="474">
        <f>FM155</f>
        <v>1.0921856715641659E-2</v>
      </c>
      <c r="FQ155" s="474">
        <f>FP155</f>
        <v>1.0921856715641659E-2</v>
      </c>
      <c r="FR155" s="474">
        <f>FR156/FR154*2</f>
        <v>1.0921856715641659E-2</v>
      </c>
      <c r="FS155" s="474">
        <f>FQ155</f>
        <v>1.0921856715641659E-2</v>
      </c>
      <c r="FT155" s="474">
        <f>FS155</f>
        <v>1.0921856715641659E-2</v>
      </c>
      <c r="FU155" s="474">
        <f>FU156/FU154*2</f>
        <v>1.0921856715641659E-2</v>
      </c>
      <c r="FV155" s="611">
        <f>FV156/FV154</f>
        <v>1.0921856715641659E-2</v>
      </c>
    </row>
    <row r="156" spans="2:178" outlineLevel="1" x14ac:dyDescent="0.3">
      <c r="B156" s="247" t="s">
        <v>505</v>
      </c>
      <c r="C156" s="280"/>
      <c r="D156" s="320">
        <f t="shared" ref="D156:I156" si="451">D19</f>
        <v>1</v>
      </c>
      <c r="E156" s="320">
        <f t="shared" si="451"/>
        <v>1.3</v>
      </c>
      <c r="F156" s="320">
        <f t="shared" si="451"/>
        <v>2.2999999999999998</v>
      </c>
      <c r="G156" s="320">
        <f t="shared" si="451"/>
        <v>1.9</v>
      </c>
      <c r="H156" s="320">
        <f t="shared" si="451"/>
        <v>2.8000000000000003</v>
      </c>
      <c r="I156" s="320">
        <f t="shared" si="451"/>
        <v>4.7</v>
      </c>
      <c r="J156" s="320">
        <f>SUM(F156,I156)</f>
        <v>7</v>
      </c>
      <c r="K156" s="320">
        <f t="shared" ref="K156:P156" si="452">K19</f>
        <v>3.6</v>
      </c>
      <c r="L156" s="320">
        <f t="shared" si="452"/>
        <v>1.2</v>
      </c>
      <c r="M156" s="320">
        <f t="shared" si="452"/>
        <v>4.8</v>
      </c>
      <c r="N156" s="320">
        <f t="shared" si="452"/>
        <v>0.2</v>
      </c>
      <c r="O156" s="320">
        <f t="shared" si="452"/>
        <v>0.50000000000000022</v>
      </c>
      <c r="P156" s="320">
        <f t="shared" si="452"/>
        <v>0.70000000000000018</v>
      </c>
      <c r="Q156" s="320">
        <f>SUM(M156,P156)</f>
        <v>5.5</v>
      </c>
      <c r="R156" s="320">
        <f t="shared" ref="R156:W156" si="453">R19</f>
        <v>1.8</v>
      </c>
      <c r="S156" s="320">
        <f t="shared" si="453"/>
        <v>4.5</v>
      </c>
      <c r="T156" s="320">
        <f t="shared" si="453"/>
        <v>6.3</v>
      </c>
      <c r="U156" s="320">
        <f t="shared" si="453"/>
        <v>3.7</v>
      </c>
      <c r="V156" s="320">
        <f t="shared" si="453"/>
        <v>2.1999999999999993</v>
      </c>
      <c r="W156" s="320">
        <f t="shared" si="453"/>
        <v>5.8999999999999995</v>
      </c>
      <c r="X156" s="320">
        <f>SUM(T156,W156)</f>
        <v>12.2</v>
      </c>
      <c r="Y156" s="320">
        <f t="shared" ref="Y156:AD156" si="454">Y19</f>
        <v>1.5</v>
      </c>
      <c r="Z156" s="320">
        <f t="shared" si="454"/>
        <v>2.6</v>
      </c>
      <c r="AA156" s="320">
        <f t="shared" si="454"/>
        <v>4.0999999999999996</v>
      </c>
      <c r="AB156" s="320">
        <f t="shared" si="454"/>
        <v>1.4</v>
      </c>
      <c r="AC156" s="320">
        <f t="shared" si="454"/>
        <v>2.6999999999999997</v>
      </c>
      <c r="AD156" s="320">
        <f t="shared" si="454"/>
        <v>4.0999999999999996</v>
      </c>
      <c r="AE156" s="320">
        <f>SUM(AA156,AD156)</f>
        <v>8.1999999999999993</v>
      </c>
      <c r="AF156" s="320">
        <f t="shared" ref="AF156:AK156" si="455">AF19</f>
        <v>0.8</v>
      </c>
      <c r="AG156" s="320">
        <f t="shared" si="455"/>
        <v>1.1000000000000001</v>
      </c>
      <c r="AH156" s="320">
        <f t="shared" si="455"/>
        <v>1.9000000000000001</v>
      </c>
      <c r="AI156" s="320">
        <f t="shared" si="455"/>
        <v>1</v>
      </c>
      <c r="AJ156" s="320">
        <f t="shared" si="455"/>
        <v>0.8</v>
      </c>
      <c r="AK156" s="320">
        <f t="shared" si="455"/>
        <v>1.8</v>
      </c>
      <c r="AL156" s="320">
        <f>SUM(AH156,AK156)</f>
        <v>3.7</v>
      </c>
      <c r="AM156" s="320">
        <f t="shared" ref="AM156:AR156" si="456">AM19</f>
        <v>0.7</v>
      </c>
      <c r="AN156" s="320">
        <f t="shared" si="456"/>
        <v>1.3</v>
      </c>
      <c r="AO156" s="320">
        <f t="shared" si="456"/>
        <v>2</v>
      </c>
      <c r="AP156" s="320">
        <f t="shared" si="456"/>
        <v>0.7</v>
      </c>
      <c r="AQ156" s="320">
        <f t="shared" si="456"/>
        <v>1.8999999999999997</v>
      </c>
      <c r="AR156" s="320">
        <f t="shared" si="456"/>
        <v>2.5999999999999996</v>
      </c>
      <c r="AS156" s="320">
        <f>SUM(AO156,AR156)</f>
        <v>4.5999999999999996</v>
      </c>
      <c r="AT156" s="320">
        <f t="shared" ref="AT156:AY156" si="457">AT19</f>
        <v>0.7</v>
      </c>
      <c r="AU156" s="320">
        <f t="shared" si="457"/>
        <v>0.9</v>
      </c>
      <c r="AV156" s="320">
        <f t="shared" si="457"/>
        <v>1.6</v>
      </c>
      <c r="AW156" s="320">
        <f t="shared" si="457"/>
        <v>0.8</v>
      </c>
      <c r="AX156" s="320">
        <f t="shared" si="457"/>
        <v>1.3999999999999997</v>
      </c>
      <c r="AY156" s="320">
        <f t="shared" si="457"/>
        <v>2.1999999999999997</v>
      </c>
      <c r="AZ156" s="320">
        <f>SUM(AV156,AY156)</f>
        <v>3.8</v>
      </c>
      <c r="BA156" s="320">
        <f t="shared" ref="BA156:BF156" si="458">BA19</f>
        <v>1.5</v>
      </c>
      <c r="BB156" s="320">
        <f t="shared" si="458"/>
        <v>1.3</v>
      </c>
      <c r="BC156" s="320">
        <f t="shared" si="458"/>
        <v>2.8</v>
      </c>
      <c r="BD156" s="320">
        <f t="shared" si="458"/>
        <v>3.5</v>
      </c>
      <c r="BE156" s="320">
        <f t="shared" si="458"/>
        <v>1.6000000000000005</v>
      </c>
      <c r="BF156" s="320">
        <f t="shared" si="458"/>
        <v>5.1000000000000005</v>
      </c>
      <c r="BG156" s="320">
        <f>SUM(BC156,BF156)</f>
        <v>7.9</v>
      </c>
      <c r="BH156" s="320">
        <f t="shared" ref="BH156:BM156" si="459">BH19</f>
        <v>1.2</v>
      </c>
      <c r="BI156" s="320">
        <f t="shared" si="459"/>
        <v>0.8</v>
      </c>
      <c r="BJ156" s="320">
        <f t="shared" si="459"/>
        <v>2</v>
      </c>
      <c r="BK156" s="320">
        <f t="shared" si="459"/>
        <v>0.7</v>
      </c>
      <c r="BL156" s="320">
        <f t="shared" si="459"/>
        <v>0.70000000000000018</v>
      </c>
      <c r="BM156" s="320">
        <f t="shared" si="459"/>
        <v>1.4000000000000001</v>
      </c>
      <c r="BN156" s="320">
        <f>SUM(BJ156,BM156)</f>
        <v>3.4000000000000004</v>
      </c>
      <c r="BO156" s="320">
        <f t="shared" ref="BO156:BT156" si="460">BO19</f>
        <v>0.6</v>
      </c>
      <c r="BP156" s="320">
        <f t="shared" si="460"/>
        <v>0.8</v>
      </c>
      <c r="BQ156" s="320">
        <f t="shared" si="460"/>
        <v>1.4</v>
      </c>
      <c r="BR156" s="320">
        <f t="shared" si="460"/>
        <v>0.1</v>
      </c>
      <c r="BS156" s="320">
        <f t="shared" si="460"/>
        <v>0</v>
      </c>
      <c r="BT156" s="320">
        <f t="shared" si="460"/>
        <v>0.1</v>
      </c>
      <c r="BU156" s="320">
        <f>SUM(BQ156,BT156)</f>
        <v>1.5</v>
      </c>
      <c r="BV156" s="320">
        <f t="shared" ref="BV156:CA156" si="461">BV19</f>
        <v>0.2</v>
      </c>
      <c r="BW156" s="320">
        <f t="shared" si="461"/>
        <v>0.3</v>
      </c>
      <c r="BX156" s="320">
        <f t="shared" si="461"/>
        <v>0.5</v>
      </c>
      <c r="BY156" s="320">
        <f t="shared" si="461"/>
        <v>0.2</v>
      </c>
      <c r="BZ156" s="320">
        <f t="shared" si="461"/>
        <v>0.1</v>
      </c>
      <c r="CA156" s="320">
        <f t="shared" si="461"/>
        <v>0.30000000000000004</v>
      </c>
      <c r="CB156" s="320">
        <f>SUM(BX156,CA156)</f>
        <v>0.8</v>
      </c>
      <c r="CC156" s="320">
        <f>CC19</f>
        <v>0.2</v>
      </c>
      <c r="CD156" s="320">
        <f>CD19</f>
        <v>0.3</v>
      </c>
      <c r="CE156" s="320">
        <f>SUM(CC156:CD156)</f>
        <v>0.5</v>
      </c>
      <c r="CF156" s="320">
        <f>CF19</f>
        <v>0.2</v>
      </c>
      <c r="CG156" s="320">
        <f>CG19</f>
        <v>0.2</v>
      </c>
      <c r="CH156" s="320">
        <f>SUM(CF156:CG156)</f>
        <v>0.4</v>
      </c>
      <c r="CI156" s="320">
        <f>SUM(CE156,CH156)</f>
        <v>0.9</v>
      </c>
      <c r="CJ156" s="320">
        <f>CJ19</f>
        <v>0.2</v>
      </c>
      <c r="CK156" s="320">
        <f>CK19</f>
        <v>0.3</v>
      </c>
      <c r="CL156" s="320">
        <f>SUM(CJ156:CK156)</f>
        <v>0.5</v>
      </c>
      <c r="CM156" s="320">
        <f>CM19</f>
        <v>0.7</v>
      </c>
      <c r="CN156" s="320">
        <f>CN19</f>
        <v>0.7</v>
      </c>
      <c r="CO156" s="320">
        <f>SUM(CM156:CN156)</f>
        <v>1.4</v>
      </c>
      <c r="CP156" s="282">
        <f>SUM(CL156,CO156)</f>
        <v>1.9</v>
      </c>
      <c r="CQ156" s="282">
        <f>CQ19</f>
        <v>0.8</v>
      </c>
      <c r="CR156" s="282">
        <f>CR19</f>
        <v>0.9</v>
      </c>
      <c r="CS156" s="282">
        <f>SUM(CQ156:CR156)</f>
        <v>1.7000000000000002</v>
      </c>
      <c r="CT156" s="282">
        <f>CT19</f>
        <v>1.2</v>
      </c>
      <c r="CU156" s="282">
        <f>CU19</f>
        <v>0.7</v>
      </c>
      <c r="CV156" s="282">
        <f>SUM(CT156:CU156)</f>
        <v>1.9</v>
      </c>
      <c r="CW156" s="282">
        <f>SUM(CS156,CV156)</f>
        <v>3.6</v>
      </c>
      <c r="CX156" s="282">
        <f>CX19</f>
        <v>0.8</v>
      </c>
      <c r="CY156" s="282">
        <f>CY19</f>
        <v>0.8</v>
      </c>
      <c r="CZ156" s="282">
        <f>SUM(CX156:CY156)</f>
        <v>1.6</v>
      </c>
      <c r="DA156" s="282">
        <f>DA155*DA$154/4</f>
        <v>1.0492290119931469</v>
      </c>
      <c r="DB156" s="282">
        <f>DB19</f>
        <v>0.1</v>
      </c>
      <c r="DC156" s="282">
        <f>SUM(DA156:DB156)</f>
        <v>1.149229011993147</v>
      </c>
      <c r="DD156" s="590">
        <f>SUM(CZ156,DC156)</f>
        <v>2.7492290119931471</v>
      </c>
      <c r="DE156" s="282">
        <f>DE19</f>
        <v>0</v>
      </c>
      <c r="DF156" s="282">
        <f>DF19</f>
        <v>0.2</v>
      </c>
      <c r="DG156" s="282">
        <f>SUM(DE156:DF156)</f>
        <v>0.2</v>
      </c>
      <c r="DH156" s="282">
        <f>DH155*DH$154/4</f>
        <v>0.32775610460916055</v>
      </c>
      <c r="DI156" s="282">
        <f>DI19</f>
        <v>0</v>
      </c>
      <c r="DJ156" s="282">
        <f>SUM(DH156:DI156)</f>
        <v>0.32775610460916055</v>
      </c>
      <c r="DK156" s="590">
        <f>SUM(DG156,DJ156)</f>
        <v>0.52775610460916056</v>
      </c>
      <c r="DL156" s="284">
        <f>DL19</f>
        <v>0</v>
      </c>
      <c r="DM156" s="282">
        <f>DM19</f>
        <v>0.30000000000000004</v>
      </c>
      <c r="DN156" s="282">
        <f>SUM(DL156:DM156)</f>
        <v>0.30000000000000004</v>
      </c>
      <c r="DO156" s="282">
        <f>DO155*DO$154/4</f>
        <v>0.33075581395348841</v>
      </c>
      <c r="DP156" s="282">
        <f>DP19</f>
        <v>-0.20000000000000004</v>
      </c>
      <c r="DQ156" s="282">
        <f>SUM(DO156:DP156)</f>
        <v>0.13075581395348837</v>
      </c>
      <c r="DR156" s="590">
        <f>SUM(DN156,DQ156)</f>
        <v>0.43075581395348839</v>
      </c>
      <c r="DS156" s="282">
        <f>DS19</f>
        <v>0</v>
      </c>
      <c r="DT156" s="282">
        <f>DT19</f>
        <v>1.2000000000000002</v>
      </c>
      <c r="DU156" s="282">
        <f>SUM(DS156:DT156)</f>
        <v>1.2000000000000002</v>
      </c>
      <c r="DV156" s="282">
        <f>DV155*DV$154/4</f>
        <v>1.1684713375796181</v>
      </c>
      <c r="DW156" s="282">
        <f>DW19</f>
        <v>0.89999999999999991</v>
      </c>
      <c r="DX156" s="282">
        <f>SUM(DV156:DW156)</f>
        <v>2.0684713375796182</v>
      </c>
      <c r="DY156" s="590">
        <f>SUM(DU156,DX156)</f>
        <v>3.2684713375796184</v>
      </c>
      <c r="DZ156" s="282">
        <f>DZ19</f>
        <v>0</v>
      </c>
      <c r="EA156" s="282">
        <f>EA19</f>
        <v>0</v>
      </c>
      <c r="EB156" s="282">
        <f>SUM(DZ156:EA156)</f>
        <v>0</v>
      </c>
      <c r="EC156" s="282">
        <f>EC155*EC$154/4</f>
        <v>0</v>
      </c>
      <c r="ED156" s="282">
        <f>ED19</f>
        <v>12.1</v>
      </c>
      <c r="EE156" s="282">
        <f>SUM(EC156:ED156)</f>
        <v>12.1</v>
      </c>
      <c r="EF156" s="590">
        <f>SUM(EB156,EE156)</f>
        <v>12.1</v>
      </c>
      <c r="EG156" s="282">
        <f>EG19</f>
        <v>4.8</v>
      </c>
      <c r="EH156" s="282">
        <f>EH19</f>
        <v>4.4000000000000004</v>
      </c>
      <c r="EI156" s="282">
        <f>SUM(EG156:EH156)</f>
        <v>9.1999999999999993</v>
      </c>
      <c r="EJ156" s="282">
        <f>EJ19</f>
        <v>4.7</v>
      </c>
      <c r="EK156" s="282">
        <f>EK19</f>
        <v>5.9000000000000012</v>
      </c>
      <c r="EL156" s="282">
        <f>SUM(EJ156:EK156)</f>
        <v>10.600000000000001</v>
      </c>
      <c r="EM156" s="590">
        <f>SUM(EI156,EL156)</f>
        <v>19.8</v>
      </c>
      <c r="EN156" s="282">
        <f>EN19</f>
        <v>4.2</v>
      </c>
      <c r="EO156" s="282">
        <f>EO19</f>
        <v>0</v>
      </c>
      <c r="EP156" s="282">
        <f>SUM(EN156:EO156)</f>
        <v>4.2</v>
      </c>
      <c r="EQ156" s="284">
        <f>EQ19</f>
        <v>0</v>
      </c>
      <c r="ER156" s="282">
        <f>ER155*ER$154/4</f>
        <v>0</v>
      </c>
      <c r="ES156" s="282">
        <f>SUM(EQ156:ER156)</f>
        <v>0</v>
      </c>
      <c r="ET156" s="590">
        <f>SUM(EP156,ES156)</f>
        <v>4.2</v>
      </c>
      <c r="EU156" s="282">
        <f>EU155*EU$154/4</f>
        <v>1.5350669613834353</v>
      </c>
      <c r="EV156" s="282">
        <f>EV155*EV$154/4</f>
        <v>1.5350669613834353</v>
      </c>
      <c r="EW156" s="282">
        <f>SUM(EU156:EV156)</f>
        <v>3.0701339227668707</v>
      </c>
      <c r="EX156" s="282">
        <f>EX155*EX$154/4</f>
        <v>1.5350669613834353</v>
      </c>
      <c r="EY156" s="282">
        <f>EY155*EY$154/4</f>
        <v>1.5350669613834353</v>
      </c>
      <c r="EZ156" s="282">
        <f>SUM(EX156:EY156)</f>
        <v>3.0701339227668707</v>
      </c>
      <c r="FA156" s="590">
        <f>SUM(EW156,EZ156)</f>
        <v>6.1402678455337414</v>
      </c>
      <c r="FB156" s="282">
        <f>FB155*FB$154/4</f>
        <v>1.5350669613834353</v>
      </c>
      <c r="FC156" s="282">
        <f>FC155*FC$154/4</f>
        <v>1.5350669613834353</v>
      </c>
      <c r="FD156" s="282">
        <f>SUM(FB156:FC156)</f>
        <v>3.0701339227668707</v>
      </c>
      <c r="FE156" s="282">
        <f>FE155*FE$154/4</f>
        <v>1.5350669613834353</v>
      </c>
      <c r="FF156" s="282">
        <f>FF155*FF$154/4</f>
        <v>1.5350669613834353</v>
      </c>
      <c r="FG156" s="282">
        <f>SUM(FE156:FF156)</f>
        <v>3.0701339227668707</v>
      </c>
      <c r="FH156" s="590">
        <f>SUM(FD156,FG156)</f>
        <v>6.1402678455337414</v>
      </c>
      <c r="FI156" s="282">
        <f>FI155*FI$154/4</f>
        <v>1.5350669613834353</v>
      </c>
      <c r="FJ156" s="282">
        <f>FJ155*FJ$154/4</f>
        <v>1.5350669613834353</v>
      </c>
      <c r="FK156" s="282">
        <f>SUM(FI156:FJ156)</f>
        <v>3.0701339227668707</v>
      </c>
      <c r="FL156" s="282">
        <f>FL155*FL$154/4</f>
        <v>1.5350669613834353</v>
      </c>
      <c r="FM156" s="282">
        <f>FM155*FM$154/4</f>
        <v>1.5350669613834353</v>
      </c>
      <c r="FN156" s="282">
        <f>SUM(FL156:FM156)</f>
        <v>3.0701339227668707</v>
      </c>
      <c r="FO156" s="590">
        <f>SUM(FK156,FN156)</f>
        <v>6.1402678455337414</v>
      </c>
      <c r="FP156" s="282">
        <f>FP155*FP$154/4</f>
        <v>1.5350669613834353</v>
      </c>
      <c r="FQ156" s="282">
        <f>FQ155*FQ$154/4</f>
        <v>1.5350669613834353</v>
      </c>
      <c r="FR156" s="282">
        <f>SUM(FP156:FQ156)</f>
        <v>3.0701339227668707</v>
      </c>
      <c r="FS156" s="282">
        <f>FS155*FS$154/4</f>
        <v>1.5350669613834353</v>
      </c>
      <c r="FT156" s="282">
        <f>FT155*FT$154/4</f>
        <v>1.5350669613834353</v>
      </c>
      <c r="FU156" s="282">
        <f>SUM(FS156:FT156)</f>
        <v>3.0701339227668707</v>
      </c>
      <c r="FV156" s="590">
        <f>SUM(FR156,FU156)</f>
        <v>6.1402678455337414</v>
      </c>
    </row>
    <row r="157" spans="2:178" outlineLevel="1" x14ac:dyDescent="0.3">
      <c r="B157" s="253" t="s">
        <v>506</v>
      </c>
      <c r="C157" s="304"/>
      <c r="D157" s="320">
        <v>1</v>
      </c>
      <c r="E157" s="320">
        <v>1.3</v>
      </c>
      <c r="F157" s="320">
        <v>2.2999999999999998</v>
      </c>
      <c r="G157" s="320">
        <v>1.9</v>
      </c>
      <c r="H157" s="320">
        <v>2.8000000000000003</v>
      </c>
      <c r="I157" s="320">
        <v>4.7</v>
      </c>
      <c r="J157" s="320">
        <v>7</v>
      </c>
      <c r="K157" s="320">
        <v>3.6</v>
      </c>
      <c r="L157" s="320">
        <v>1.2</v>
      </c>
      <c r="M157" s="320">
        <v>4.8</v>
      </c>
      <c r="N157" s="320">
        <v>0.2</v>
      </c>
      <c r="O157" s="320">
        <v>0.50000000000000022</v>
      </c>
      <c r="P157" s="320">
        <v>0.70000000000000018</v>
      </c>
      <c r="Q157" s="320">
        <v>5.5</v>
      </c>
      <c r="R157" s="320">
        <v>1.8</v>
      </c>
      <c r="S157" s="320">
        <v>4.5</v>
      </c>
      <c r="T157" s="320">
        <v>6.3</v>
      </c>
      <c r="U157" s="320">
        <v>3.7</v>
      </c>
      <c r="V157" s="320">
        <v>2.1999999999999993</v>
      </c>
      <c r="W157" s="320">
        <v>5.8999999999999995</v>
      </c>
      <c r="X157" s="320">
        <v>12.2</v>
      </c>
      <c r="Y157" s="320">
        <v>1.5</v>
      </c>
      <c r="Z157" s="320">
        <v>2.6</v>
      </c>
      <c r="AA157" s="320">
        <v>4.0999999999999996</v>
      </c>
      <c r="AB157" s="320">
        <v>1.4</v>
      </c>
      <c r="AC157" s="320">
        <v>2.6999999999999997</v>
      </c>
      <c r="AD157" s="320">
        <v>4.0999999999999996</v>
      </c>
      <c r="AE157" s="320">
        <v>8.1999999999999993</v>
      </c>
      <c r="AF157" s="320">
        <v>0.8</v>
      </c>
      <c r="AG157" s="320">
        <v>1.1000000000000001</v>
      </c>
      <c r="AH157" s="320">
        <v>1.9000000000000001</v>
      </c>
      <c r="AI157" s="320">
        <v>1</v>
      </c>
      <c r="AJ157" s="320">
        <v>0.8</v>
      </c>
      <c r="AK157" s="320">
        <v>1.8</v>
      </c>
      <c r="AL157" s="320">
        <v>3.7</v>
      </c>
      <c r="AM157" s="320">
        <v>0.7</v>
      </c>
      <c r="AN157" s="320">
        <v>1.3</v>
      </c>
      <c r="AO157" s="320">
        <v>2</v>
      </c>
      <c r="AP157" s="320">
        <v>0.7</v>
      </c>
      <c r="AQ157" s="320">
        <v>1.8999999999999997</v>
      </c>
      <c r="AR157" s="320">
        <v>2.5999999999999996</v>
      </c>
      <c r="AS157" s="320">
        <v>4.5999999999999996</v>
      </c>
      <c r="AT157" s="320">
        <v>0.7</v>
      </c>
      <c r="AU157" s="320">
        <v>0.9</v>
      </c>
      <c r="AV157" s="320">
        <v>1.6</v>
      </c>
      <c r="AW157" s="320">
        <v>0.8</v>
      </c>
      <c r="AX157" s="320">
        <v>1.3999999999999997</v>
      </c>
      <c r="AY157" s="320">
        <v>2.1999999999999997</v>
      </c>
      <c r="AZ157" s="320">
        <v>3.8</v>
      </c>
      <c r="BA157" s="320">
        <v>1.5</v>
      </c>
      <c r="BB157" s="320">
        <v>1.3</v>
      </c>
      <c r="BC157" s="320">
        <v>2.8</v>
      </c>
      <c r="BD157" s="320">
        <v>3.5</v>
      </c>
      <c r="BE157" s="320">
        <v>1.6000000000000005</v>
      </c>
      <c r="BF157" s="320">
        <v>5.1000000000000005</v>
      </c>
      <c r="BG157" s="320">
        <v>7.9</v>
      </c>
      <c r="BH157" s="320">
        <v>1.2</v>
      </c>
      <c r="BI157" s="320">
        <v>0.8</v>
      </c>
      <c r="BJ157" s="320">
        <v>2</v>
      </c>
      <c r="BK157" s="320">
        <v>0.7</v>
      </c>
      <c r="BL157" s="320">
        <v>0.70000000000000018</v>
      </c>
      <c r="BM157" s="320">
        <v>1.4000000000000001</v>
      </c>
      <c r="BN157" s="320">
        <v>3.4000000000000004</v>
      </c>
      <c r="BO157" s="320">
        <v>0.6</v>
      </c>
      <c r="BP157" s="320">
        <v>0.8</v>
      </c>
      <c r="BQ157" s="320">
        <v>1.4</v>
      </c>
      <c r="BR157" s="320">
        <v>0.1</v>
      </c>
      <c r="BS157" s="320">
        <v>0</v>
      </c>
      <c r="BT157" s="320">
        <v>0.1</v>
      </c>
      <c r="BU157" s="320">
        <v>1.5</v>
      </c>
      <c r="BV157" s="320">
        <v>0.2</v>
      </c>
      <c r="BW157" s="320">
        <v>0.3</v>
      </c>
      <c r="BX157" s="320">
        <v>0.5</v>
      </c>
      <c r="BY157" s="320">
        <v>0.2</v>
      </c>
      <c r="BZ157" s="320">
        <v>0.1</v>
      </c>
      <c r="CA157" s="320">
        <v>0.30000000000000004</v>
      </c>
      <c r="CB157" s="320">
        <v>0.8</v>
      </c>
      <c r="CC157" s="320">
        <v>0.2</v>
      </c>
      <c r="CD157" s="320">
        <v>0.3</v>
      </c>
      <c r="CE157" s="320">
        <v>0.5</v>
      </c>
      <c r="CF157" s="320">
        <v>0.2</v>
      </c>
      <c r="CG157" s="320">
        <v>0.2</v>
      </c>
      <c r="CH157" s="320">
        <v>0.4</v>
      </c>
      <c r="CI157" s="320">
        <v>0.9</v>
      </c>
      <c r="CJ157" s="320">
        <v>0.2</v>
      </c>
      <c r="CK157" s="320">
        <v>0.3</v>
      </c>
      <c r="CL157" s="320">
        <v>0.5</v>
      </c>
      <c r="CM157" s="320">
        <v>0.7</v>
      </c>
      <c r="CN157" s="320">
        <v>0.7</v>
      </c>
      <c r="CO157" s="320">
        <v>1.4</v>
      </c>
      <c r="CP157" s="282">
        <v>1.9</v>
      </c>
      <c r="CQ157" s="282">
        <v>0.8</v>
      </c>
      <c r="CR157" s="282">
        <v>0.9</v>
      </c>
      <c r="CS157" s="282">
        <v>1.7000000000000002</v>
      </c>
      <c r="CT157" s="282">
        <v>1.2</v>
      </c>
      <c r="CU157" s="282">
        <v>0.7</v>
      </c>
      <c r="CV157" s="282">
        <v>1.9</v>
      </c>
      <c r="CW157" s="282">
        <v>3.6</v>
      </c>
      <c r="CX157" s="282">
        <v>0.8</v>
      </c>
      <c r="CY157" s="282">
        <v>0.8</v>
      </c>
      <c r="CZ157" s="282">
        <v>1.6</v>
      </c>
      <c r="DA157" s="282">
        <v>1.0492290119931469</v>
      </c>
      <c r="DB157" s="282">
        <v>0.1</v>
      </c>
      <c r="DC157" s="282">
        <v>1.149229011993147</v>
      </c>
      <c r="DD157" s="590">
        <v>2.7492290119931471</v>
      </c>
      <c r="DE157" s="282">
        <v>0</v>
      </c>
      <c r="DF157" s="282">
        <v>0.2</v>
      </c>
      <c r="DG157" s="282">
        <v>0.2</v>
      </c>
      <c r="DH157" s="282">
        <v>0.32775610460916055</v>
      </c>
      <c r="DI157" s="282">
        <v>0</v>
      </c>
      <c r="DJ157" s="282">
        <v>0.32775610460916055</v>
      </c>
      <c r="DK157" s="590">
        <v>0.52775610460916056</v>
      </c>
      <c r="DL157" s="284">
        <v>0</v>
      </c>
      <c r="DM157" s="282">
        <v>0.30000000000000004</v>
      </c>
      <c r="DN157" s="282">
        <v>0.30000000000000004</v>
      </c>
      <c r="DO157" s="282">
        <v>0.33075581395348841</v>
      </c>
      <c r="DP157" s="282">
        <v>-0.20000000000000004</v>
      </c>
      <c r="DQ157" s="282">
        <v>0.13075581395348837</v>
      </c>
      <c r="DR157" s="590">
        <v>0.43075581395348839</v>
      </c>
      <c r="DS157" s="282">
        <v>0</v>
      </c>
      <c r="DT157" s="282">
        <v>1.2000000000000002</v>
      </c>
      <c r="DU157" s="282">
        <v>1.2000000000000002</v>
      </c>
      <c r="DV157" s="282">
        <v>1.1684713375796181</v>
      </c>
      <c r="DW157" s="282">
        <v>0.89999999999999991</v>
      </c>
      <c r="DX157" s="282">
        <v>2.0684713375796182</v>
      </c>
      <c r="DY157" s="590">
        <v>3.2684713375796184</v>
      </c>
      <c r="DZ157" s="282">
        <v>0</v>
      </c>
      <c r="EA157" s="282">
        <v>0</v>
      </c>
      <c r="EB157" s="282">
        <v>0</v>
      </c>
      <c r="EC157" s="282">
        <v>0</v>
      </c>
      <c r="ED157" s="282">
        <v>12.1</v>
      </c>
      <c r="EE157" s="282">
        <v>12.1</v>
      </c>
      <c r="EF157" s="590">
        <v>12.1</v>
      </c>
      <c r="EG157" s="282">
        <v>4.8</v>
      </c>
      <c r="EH157" s="282">
        <v>4.4000000000000004</v>
      </c>
      <c r="EI157" s="282">
        <v>9.1999999999999993</v>
      </c>
      <c r="EJ157" s="282">
        <v>4.7</v>
      </c>
      <c r="EK157" s="282">
        <v>5.9000000000000012</v>
      </c>
      <c r="EL157" s="282">
        <v>10.600000000000001</v>
      </c>
      <c r="EM157" s="590">
        <v>19.8</v>
      </c>
      <c r="EN157" s="282">
        <v>4.2</v>
      </c>
      <c r="EO157" s="282">
        <v>0</v>
      </c>
      <c r="EP157" s="282">
        <v>4.2</v>
      </c>
      <c r="EQ157" s="284">
        <v>0</v>
      </c>
      <c r="ER157" s="282">
        <v>0</v>
      </c>
      <c r="ES157" s="282">
        <v>0</v>
      </c>
      <c r="ET157" s="590">
        <v>4.2</v>
      </c>
      <c r="EU157" s="282">
        <v>1.5350669613834353</v>
      </c>
      <c r="EV157" s="282">
        <v>1.5350669613834353</v>
      </c>
      <c r="EW157" s="282">
        <v>3.0701339227668707</v>
      </c>
      <c r="EX157" s="282">
        <v>1.5350669613834353</v>
      </c>
      <c r="EY157" s="282">
        <v>1.5350669613834353</v>
      </c>
      <c r="EZ157" s="282">
        <v>3.0701339227668707</v>
      </c>
      <c r="FA157" s="590">
        <v>6.1402678455337414</v>
      </c>
      <c r="FB157" s="282">
        <v>1.5350669613834353</v>
      </c>
      <c r="FC157" s="282">
        <v>1.5350669613834353</v>
      </c>
      <c r="FD157" s="282">
        <v>3.0701339227668707</v>
      </c>
      <c r="FE157" s="282">
        <v>1.5350669613834353</v>
      </c>
      <c r="FF157" s="282">
        <v>1.5350669613834353</v>
      </c>
      <c r="FG157" s="282">
        <v>3.0701339227668707</v>
      </c>
      <c r="FH157" s="590">
        <v>6.1402678455337414</v>
      </c>
      <c r="FI157" s="282">
        <v>1.5350669613834353</v>
      </c>
      <c r="FJ157" s="282">
        <v>1.5350669613834353</v>
      </c>
      <c r="FK157" s="282">
        <v>3.0701339227668707</v>
      </c>
      <c r="FL157" s="282">
        <v>1.5350669613834353</v>
      </c>
      <c r="FM157" s="282">
        <v>1.5350669613834353</v>
      </c>
      <c r="FN157" s="282">
        <v>3.0701339227668707</v>
      </c>
      <c r="FO157" s="590">
        <v>6.1402678455337414</v>
      </c>
      <c r="FP157" s="282">
        <v>1.5350669613834353</v>
      </c>
      <c r="FQ157" s="282">
        <v>1.5350669613834353</v>
      </c>
      <c r="FR157" s="282">
        <v>3.0701339227668707</v>
      </c>
      <c r="FS157" s="282">
        <v>1.5350669613834353</v>
      </c>
      <c r="FT157" s="282">
        <v>1.5350669613834353</v>
      </c>
      <c r="FU157" s="282">
        <v>3.0701339227668707</v>
      </c>
      <c r="FV157" s="590">
        <v>6.1402678455337414</v>
      </c>
    </row>
    <row r="158" spans="2:178" outlineLevel="1" x14ac:dyDescent="0.3">
      <c r="B158" s="467" t="s">
        <v>499</v>
      </c>
      <c r="C158" s="304"/>
      <c r="D158" s="468">
        <f t="shared" ref="D158:BO158" si="462">ROUND(D156-D157,2)</f>
        <v>0</v>
      </c>
      <c r="E158" s="468">
        <f t="shared" si="462"/>
        <v>0</v>
      </c>
      <c r="F158" s="468">
        <f t="shared" si="462"/>
        <v>0</v>
      </c>
      <c r="G158" s="468">
        <f t="shared" si="462"/>
        <v>0</v>
      </c>
      <c r="H158" s="468">
        <f t="shared" si="462"/>
        <v>0</v>
      </c>
      <c r="I158" s="468">
        <f t="shared" si="462"/>
        <v>0</v>
      </c>
      <c r="J158" s="468">
        <f t="shared" si="462"/>
        <v>0</v>
      </c>
      <c r="K158" s="468">
        <f t="shared" si="462"/>
        <v>0</v>
      </c>
      <c r="L158" s="468">
        <f t="shared" si="462"/>
        <v>0</v>
      </c>
      <c r="M158" s="468">
        <f t="shared" si="462"/>
        <v>0</v>
      </c>
      <c r="N158" s="468">
        <f t="shared" si="462"/>
        <v>0</v>
      </c>
      <c r="O158" s="468">
        <f t="shared" si="462"/>
        <v>0</v>
      </c>
      <c r="P158" s="468">
        <f t="shared" si="462"/>
        <v>0</v>
      </c>
      <c r="Q158" s="468">
        <f t="shared" si="462"/>
        <v>0</v>
      </c>
      <c r="R158" s="468">
        <f t="shared" si="462"/>
        <v>0</v>
      </c>
      <c r="S158" s="468">
        <f t="shared" si="462"/>
        <v>0</v>
      </c>
      <c r="T158" s="468">
        <f t="shared" si="462"/>
        <v>0</v>
      </c>
      <c r="U158" s="468">
        <f t="shared" si="462"/>
        <v>0</v>
      </c>
      <c r="V158" s="468">
        <f t="shared" si="462"/>
        <v>0</v>
      </c>
      <c r="W158" s="468">
        <f t="shared" si="462"/>
        <v>0</v>
      </c>
      <c r="X158" s="468">
        <f t="shared" si="462"/>
        <v>0</v>
      </c>
      <c r="Y158" s="468">
        <f t="shared" si="462"/>
        <v>0</v>
      </c>
      <c r="Z158" s="468">
        <f t="shared" si="462"/>
        <v>0</v>
      </c>
      <c r="AA158" s="468">
        <f t="shared" si="462"/>
        <v>0</v>
      </c>
      <c r="AB158" s="468">
        <f t="shared" si="462"/>
        <v>0</v>
      </c>
      <c r="AC158" s="468">
        <f t="shared" si="462"/>
        <v>0</v>
      </c>
      <c r="AD158" s="468">
        <f t="shared" si="462"/>
        <v>0</v>
      </c>
      <c r="AE158" s="468">
        <f t="shared" si="462"/>
        <v>0</v>
      </c>
      <c r="AF158" s="468">
        <f t="shared" si="462"/>
        <v>0</v>
      </c>
      <c r="AG158" s="468">
        <f t="shared" si="462"/>
        <v>0</v>
      </c>
      <c r="AH158" s="468">
        <f t="shared" si="462"/>
        <v>0</v>
      </c>
      <c r="AI158" s="468">
        <f t="shared" si="462"/>
        <v>0</v>
      </c>
      <c r="AJ158" s="468">
        <f t="shared" si="462"/>
        <v>0</v>
      </c>
      <c r="AK158" s="468">
        <f t="shared" si="462"/>
        <v>0</v>
      </c>
      <c r="AL158" s="468">
        <f t="shared" si="462"/>
        <v>0</v>
      </c>
      <c r="AM158" s="468">
        <f t="shared" si="462"/>
        <v>0</v>
      </c>
      <c r="AN158" s="468">
        <f t="shared" si="462"/>
        <v>0</v>
      </c>
      <c r="AO158" s="468">
        <f t="shared" si="462"/>
        <v>0</v>
      </c>
      <c r="AP158" s="468">
        <f t="shared" si="462"/>
        <v>0</v>
      </c>
      <c r="AQ158" s="468">
        <f t="shared" si="462"/>
        <v>0</v>
      </c>
      <c r="AR158" s="468">
        <f t="shared" si="462"/>
        <v>0</v>
      </c>
      <c r="AS158" s="468">
        <f t="shared" si="462"/>
        <v>0</v>
      </c>
      <c r="AT158" s="468">
        <f t="shared" si="462"/>
        <v>0</v>
      </c>
      <c r="AU158" s="468">
        <f t="shared" si="462"/>
        <v>0</v>
      </c>
      <c r="AV158" s="468">
        <f t="shared" si="462"/>
        <v>0</v>
      </c>
      <c r="AW158" s="468">
        <f t="shared" si="462"/>
        <v>0</v>
      </c>
      <c r="AX158" s="468">
        <f t="shared" si="462"/>
        <v>0</v>
      </c>
      <c r="AY158" s="468">
        <f t="shared" si="462"/>
        <v>0</v>
      </c>
      <c r="AZ158" s="468">
        <f t="shared" si="462"/>
        <v>0</v>
      </c>
      <c r="BA158" s="468">
        <f t="shared" si="462"/>
        <v>0</v>
      </c>
      <c r="BB158" s="468">
        <f t="shared" si="462"/>
        <v>0</v>
      </c>
      <c r="BC158" s="468">
        <f t="shared" si="462"/>
        <v>0</v>
      </c>
      <c r="BD158" s="468">
        <f t="shared" si="462"/>
        <v>0</v>
      </c>
      <c r="BE158" s="468">
        <f t="shared" si="462"/>
        <v>0</v>
      </c>
      <c r="BF158" s="468">
        <f t="shared" si="462"/>
        <v>0</v>
      </c>
      <c r="BG158" s="468">
        <f t="shared" si="462"/>
        <v>0</v>
      </c>
      <c r="BH158" s="468">
        <f t="shared" si="462"/>
        <v>0</v>
      </c>
      <c r="BI158" s="468">
        <f t="shared" si="462"/>
        <v>0</v>
      </c>
      <c r="BJ158" s="468">
        <f t="shared" si="462"/>
        <v>0</v>
      </c>
      <c r="BK158" s="468">
        <f t="shared" si="462"/>
        <v>0</v>
      </c>
      <c r="BL158" s="468">
        <f t="shared" si="462"/>
        <v>0</v>
      </c>
      <c r="BM158" s="468">
        <f t="shared" si="462"/>
        <v>0</v>
      </c>
      <c r="BN158" s="468">
        <f t="shared" si="462"/>
        <v>0</v>
      </c>
      <c r="BO158" s="468">
        <f t="shared" si="462"/>
        <v>0</v>
      </c>
      <c r="BP158" s="468">
        <f t="shared" ref="BP158:DU158" si="463">ROUND(BP156-BP157,2)</f>
        <v>0</v>
      </c>
      <c r="BQ158" s="468">
        <f t="shared" si="463"/>
        <v>0</v>
      </c>
      <c r="BR158" s="468">
        <f t="shared" si="463"/>
        <v>0</v>
      </c>
      <c r="BS158" s="468">
        <f t="shared" si="463"/>
        <v>0</v>
      </c>
      <c r="BT158" s="468">
        <f t="shared" si="463"/>
        <v>0</v>
      </c>
      <c r="BU158" s="468">
        <f t="shared" si="463"/>
        <v>0</v>
      </c>
      <c r="BV158" s="468">
        <f t="shared" si="463"/>
        <v>0</v>
      </c>
      <c r="BW158" s="468">
        <f t="shared" si="463"/>
        <v>0</v>
      </c>
      <c r="BX158" s="468">
        <f t="shared" si="463"/>
        <v>0</v>
      </c>
      <c r="BY158" s="468">
        <f t="shared" si="463"/>
        <v>0</v>
      </c>
      <c r="BZ158" s="468">
        <f t="shared" si="463"/>
        <v>0</v>
      </c>
      <c r="CA158" s="468">
        <f t="shared" si="463"/>
        <v>0</v>
      </c>
      <c r="CB158" s="468">
        <f t="shared" si="463"/>
        <v>0</v>
      </c>
      <c r="CC158" s="468">
        <f t="shared" si="463"/>
        <v>0</v>
      </c>
      <c r="CD158" s="468">
        <f t="shared" si="463"/>
        <v>0</v>
      </c>
      <c r="CE158" s="468">
        <f t="shared" si="463"/>
        <v>0</v>
      </c>
      <c r="CF158" s="468">
        <f t="shared" si="463"/>
        <v>0</v>
      </c>
      <c r="CG158" s="468">
        <f t="shared" si="463"/>
        <v>0</v>
      </c>
      <c r="CH158" s="468">
        <f t="shared" si="463"/>
        <v>0</v>
      </c>
      <c r="CI158" s="468">
        <f t="shared" si="463"/>
        <v>0</v>
      </c>
      <c r="CJ158" s="468">
        <f t="shared" si="463"/>
        <v>0</v>
      </c>
      <c r="CK158" s="468">
        <f t="shared" si="463"/>
        <v>0</v>
      </c>
      <c r="CL158" s="468">
        <f t="shared" si="463"/>
        <v>0</v>
      </c>
      <c r="CM158" s="468">
        <f t="shared" si="463"/>
        <v>0</v>
      </c>
      <c r="CN158" s="468">
        <f t="shared" si="463"/>
        <v>0</v>
      </c>
      <c r="CO158" s="468">
        <f t="shared" si="463"/>
        <v>0</v>
      </c>
      <c r="CP158" s="470">
        <f t="shared" si="463"/>
        <v>0</v>
      </c>
      <c r="CQ158" s="470">
        <f t="shared" si="463"/>
        <v>0</v>
      </c>
      <c r="CR158" s="470">
        <f>ROUND(CR156-CR157,2)</f>
        <v>0</v>
      </c>
      <c r="CS158" s="470">
        <f>ROUND(CS156-CS157,2)</f>
        <v>0</v>
      </c>
      <c r="CT158" s="470">
        <f t="shared" si="463"/>
        <v>0</v>
      </c>
      <c r="CU158" s="470">
        <f t="shared" si="463"/>
        <v>0</v>
      </c>
      <c r="CV158" s="470">
        <f t="shared" si="463"/>
        <v>0</v>
      </c>
      <c r="CW158" s="470">
        <f t="shared" si="463"/>
        <v>0</v>
      </c>
      <c r="CX158" s="470">
        <f t="shared" si="463"/>
        <v>0</v>
      </c>
      <c r="CY158" s="470">
        <f t="shared" si="463"/>
        <v>0</v>
      </c>
      <c r="CZ158" s="470">
        <f t="shared" si="463"/>
        <v>0</v>
      </c>
      <c r="DA158" s="470">
        <f t="shared" si="463"/>
        <v>0</v>
      </c>
      <c r="DB158" s="470">
        <f>ROUND(DB156-DB157,2)</f>
        <v>0</v>
      </c>
      <c r="DC158" s="470">
        <f>ROUND(DC156-DC157,2)</f>
        <v>0</v>
      </c>
      <c r="DD158" s="610">
        <f>ROUND(DD156-DD157,2)</f>
        <v>0</v>
      </c>
      <c r="DE158" s="470">
        <f>ROUND(DE156-DE157,2)</f>
        <v>0</v>
      </c>
      <c r="DF158" s="470">
        <f t="shared" si="463"/>
        <v>0</v>
      </c>
      <c r="DG158" s="470">
        <f t="shared" si="463"/>
        <v>0</v>
      </c>
      <c r="DH158" s="470">
        <f t="shared" si="463"/>
        <v>0</v>
      </c>
      <c r="DI158" s="470">
        <f t="shared" si="463"/>
        <v>0</v>
      </c>
      <c r="DJ158" s="470">
        <f t="shared" si="463"/>
        <v>0</v>
      </c>
      <c r="DK158" s="610">
        <f t="shared" si="463"/>
        <v>0</v>
      </c>
      <c r="DL158" s="471">
        <f t="shared" si="463"/>
        <v>0</v>
      </c>
      <c r="DM158" s="470">
        <f t="shared" si="463"/>
        <v>0</v>
      </c>
      <c r="DN158" s="470">
        <f t="shared" si="463"/>
        <v>0</v>
      </c>
      <c r="DO158" s="470">
        <f t="shared" si="463"/>
        <v>0</v>
      </c>
      <c r="DP158" s="470">
        <f t="shared" si="463"/>
        <v>0</v>
      </c>
      <c r="DQ158" s="470">
        <f t="shared" si="463"/>
        <v>0</v>
      </c>
      <c r="DR158" s="610">
        <f t="shared" si="463"/>
        <v>0</v>
      </c>
      <c r="DS158" s="470">
        <f t="shared" si="463"/>
        <v>0</v>
      </c>
      <c r="DT158" s="470">
        <f t="shared" si="463"/>
        <v>0</v>
      </c>
      <c r="DU158" s="470">
        <f t="shared" si="463"/>
        <v>0</v>
      </c>
      <c r="DV158" s="470">
        <f t="shared" ref="DV158:EB158" si="464">ROUND(DV156-DV157,2)</f>
        <v>0</v>
      </c>
      <c r="DW158" s="470">
        <f t="shared" si="464"/>
        <v>0</v>
      </c>
      <c r="DX158" s="470">
        <f t="shared" si="464"/>
        <v>0</v>
      </c>
      <c r="DY158" s="610">
        <f t="shared" si="464"/>
        <v>0</v>
      </c>
      <c r="DZ158" s="470">
        <f t="shared" si="464"/>
        <v>0</v>
      </c>
      <c r="EA158" s="470">
        <f t="shared" si="464"/>
        <v>0</v>
      </c>
      <c r="EB158" s="470">
        <f t="shared" si="464"/>
        <v>0</v>
      </c>
      <c r="EC158" s="470">
        <f t="shared" ref="EC158:EI158" si="465">ROUND(EC156-EC157,2)</f>
        <v>0</v>
      </c>
      <c r="ED158" s="470">
        <f t="shared" si="465"/>
        <v>0</v>
      </c>
      <c r="EE158" s="470">
        <f t="shared" si="465"/>
        <v>0</v>
      </c>
      <c r="EF158" s="610">
        <f t="shared" si="465"/>
        <v>0</v>
      </c>
      <c r="EG158" s="470">
        <f t="shared" si="465"/>
        <v>0</v>
      </c>
      <c r="EH158" s="470">
        <f t="shared" si="465"/>
        <v>0</v>
      </c>
      <c r="EI158" s="470">
        <f t="shared" si="465"/>
        <v>0</v>
      </c>
      <c r="EJ158" s="470">
        <f>ROUND(EJ156-EJ157,2)</f>
        <v>0</v>
      </c>
      <c r="EK158" s="470">
        <f>ROUND(EK156-EK157,2)</f>
        <v>0</v>
      </c>
      <c r="EL158" s="470">
        <f>ROUND(EL156-EL157,2)</f>
        <v>0</v>
      </c>
      <c r="EM158" s="610">
        <f>ROUND(EM156-EM157,2)</f>
        <v>0</v>
      </c>
      <c r="EN158" s="470">
        <f t="shared" ref="EN158:FV158" si="466">ROUND(EN156-EN157,2)</f>
        <v>0</v>
      </c>
      <c r="EO158" s="470">
        <f t="shared" si="466"/>
        <v>0</v>
      </c>
      <c r="EP158" s="470">
        <f t="shared" si="466"/>
        <v>0</v>
      </c>
      <c r="EQ158" s="470">
        <f t="shared" si="466"/>
        <v>0</v>
      </c>
      <c r="ER158" s="470">
        <f t="shared" si="466"/>
        <v>0</v>
      </c>
      <c r="ES158" s="470">
        <f t="shared" si="466"/>
        <v>0</v>
      </c>
      <c r="ET158" s="470">
        <f t="shared" si="466"/>
        <v>0</v>
      </c>
      <c r="EU158" s="470">
        <f t="shared" si="466"/>
        <v>0</v>
      </c>
      <c r="EV158" s="470">
        <f t="shared" si="466"/>
        <v>0</v>
      </c>
      <c r="EW158" s="470">
        <f t="shared" si="466"/>
        <v>0</v>
      </c>
      <c r="EX158" s="470">
        <f t="shared" si="466"/>
        <v>0</v>
      </c>
      <c r="EY158" s="470">
        <f t="shared" si="466"/>
        <v>0</v>
      </c>
      <c r="EZ158" s="470">
        <f t="shared" si="466"/>
        <v>0</v>
      </c>
      <c r="FA158" s="470">
        <f t="shared" si="466"/>
        <v>0</v>
      </c>
      <c r="FB158" s="470">
        <f t="shared" si="466"/>
        <v>0</v>
      </c>
      <c r="FC158" s="470">
        <f t="shared" si="466"/>
        <v>0</v>
      </c>
      <c r="FD158" s="470">
        <f t="shared" si="466"/>
        <v>0</v>
      </c>
      <c r="FE158" s="470">
        <f t="shared" si="466"/>
        <v>0</v>
      </c>
      <c r="FF158" s="470">
        <f t="shared" si="466"/>
        <v>0</v>
      </c>
      <c r="FG158" s="470">
        <f t="shared" si="466"/>
        <v>0</v>
      </c>
      <c r="FH158" s="470">
        <f t="shared" si="466"/>
        <v>0</v>
      </c>
      <c r="FI158" s="470">
        <f t="shared" si="466"/>
        <v>0</v>
      </c>
      <c r="FJ158" s="470">
        <f t="shared" si="466"/>
        <v>0</v>
      </c>
      <c r="FK158" s="470">
        <f t="shared" si="466"/>
        <v>0</v>
      </c>
      <c r="FL158" s="470">
        <f t="shared" si="466"/>
        <v>0</v>
      </c>
      <c r="FM158" s="470">
        <f t="shared" si="466"/>
        <v>0</v>
      </c>
      <c r="FN158" s="470">
        <f t="shared" si="466"/>
        <v>0</v>
      </c>
      <c r="FO158" s="470">
        <f t="shared" si="466"/>
        <v>0</v>
      </c>
      <c r="FP158" s="470">
        <f t="shared" si="466"/>
        <v>0</v>
      </c>
      <c r="FQ158" s="470">
        <f t="shared" si="466"/>
        <v>0</v>
      </c>
      <c r="FR158" s="470">
        <f t="shared" si="466"/>
        <v>0</v>
      </c>
      <c r="FS158" s="470">
        <f t="shared" si="466"/>
        <v>0</v>
      </c>
      <c r="FT158" s="470">
        <f t="shared" si="466"/>
        <v>0</v>
      </c>
      <c r="FU158" s="470">
        <f t="shared" si="466"/>
        <v>0</v>
      </c>
      <c r="FV158" s="470">
        <f t="shared" si="466"/>
        <v>0</v>
      </c>
    </row>
    <row r="159" spans="2:178" outlineLevel="1" x14ac:dyDescent="0.3">
      <c r="B159" s="247"/>
      <c r="C159" s="304"/>
      <c r="AM159" s="326"/>
      <c r="AN159" s="326"/>
      <c r="AO159" s="281"/>
      <c r="AP159" s="281"/>
      <c r="AQ159" s="281"/>
      <c r="AR159" s="281"/>
      <c r="AS159" s="281"/>
      <c r="AT159" s="326"/>
      <c r="AU159" s="326"/>
      <c r="AV159" s="326"/>
      <c r="AW159" s="326"/>
      <c r="AX159" s="326"/>
      <c r="AY159" s="326"/>
      <c r="AZ159" s="326"/>
      <c r="BA159" s="326"/>
      <c r="BB159" s="326"/>
      <c r="BC159" s="326"/>
      <c r="BD159" s="326"/>
      <c r="BE159" s="326"/>
      <c r="BF159" s="281"/>
      <c r="BG159" s="281"/>
      <c r="BH159" s="326"/>
      <c r="BI159" s="326"/>
      <c r="BJ159" s="326"/>
      <c r="BK159" s="281"/>
      <c r="BL159" s="281"/>
      <c r="BM159" s="281"/>
      <c r="BN159" s="281"/>
      <c r="BO159" s="281"/>
      <c r="BP159" s="281"/>
      <c r="BQ159" s="281"/>
      <c r="BR159" s="281"/>
      <c r="BS159" s="281"/>
      <c r="BT159" s="281"/>
      <c r="BU159" s="281"/>
      <c r="BV159" s="281"/>
      <c r="BW159" s="281"/>
      <c r="BX159" s="281"/>
      <c r="BY159" s="281"/>
      <c r="BZ159" s="281"/>
      <c r="CA159" s="281"/>
      <c r="CB159" s="281"/>
      <c r="CC159" s="281"/>
      <c r="CD159" s="281"/>
      <c r="CE159" s="281"/>
      <c r="CF159" s="281"/>
      <c r="CG159" s="281"/>
      <c r="CH159" s="281"/>
      <c r="CI159" s="281"/>
      <c r="CJ159" s="281"/>
      <c r="CK159" s="281"/>
      <c r="CL159" s="281"/>
      <c r="CM159" s="281"/>
      <c r="CN159" s="281"/>
      <c r="CO159" s="281"/>
      <c r="CP159" s="282"/>
      <c r="CQ159" s="282"/>
      <c r="CR159" s="282"/>
      <c r="CS159" s="282"/>
      <c r="CT159" s="282"/>
      <c r="CU159" s="282"/>
      <c r="CV159" s="282"/>
      <c r="CW159" s="282"/>
      <c r="CX159" s="282"/>
      <c r="CY159" s="282"/>
      <c r="CZ159" s="282"/>
      <c r="DA159" s="282"/>
      <c r="DB159" s="282"/>
      <c r="DC159" s="282"/>
      <c r="DD159" s="590"/>
      <c r="DE159" s="282"/>
      <c r="DF159" s="282"/>
      <c r="DG159" s="282"/>
      <c r="DH159" s="282"/>
      <c r="DI159" s="282"/>
      <c r="DJ159" s="282"/>
      <c r="DK159" s="590"/>
      <c r="DL159" s="284"/>
      <c r="DM159" s="282"/>
      <c r="DN159" s="282"/>
      <c r="DO159" s="282"/>
      <c r="DP159" s="282"/>
      <c r="DQ159" s="282"/>
      <c r="DR159" s="590"/>
      <c r="DS159" s="282"/>
      <c r="DT159" s="282"/>
      <c r="DU159" s="282"/>
      <c r="DV159" s="282"/>
      <c r="DW159" s="282"/>
      <c r="DX159" s="282"/>
      <c r="DY159" s="590"/>
      <c r="DZ159" s="282"/>
      <c r="EA159" s="282"/>
      <c r="EB159" s="282"/>
      <c r="EC159" s="282"/>
      <c r="ED159" s="282"/>
      <c r="EE159" s="282"/>
      <c r="EF159" s="590"/>
      <c r="EG159" s="282"/>
      <c r="EH159" s="282"/>
      <c r="EI159" s="282"/>
      <c r="EJ159" s="282"/>
      <c r="EK159" s="282"/>
      <c r="EL159" s="282"/>
      <c r="EM159" s="590"/>
      <c r="EN159" s="282"/>
      <c r="EO159" s="282"/>
      <c r="EP159" s="282"/>
      <c r="EQ159" s="284"/>
      <c r="ER159" s="282"/>
      <c r="ES159" s="282"/>
      <c r="ET159" s="590"/>
      <c r="EU159" s="282"/>
      <c r="EV159" s="282"/>
      <c r="EW159" s="282"/>
      <c r="EX159" s="282"/>
      <c r="EY159" s="282"/>
      <c r="EZ159" s="282"/>
      <c r="FA159" s="590"/>
      <c r="FB159" s="282"/>
      <c r="FC159" s="282"/>
      <c r="FD159" s="282"/>
      <c r="FE159" s="282"/>
      <c r="FF159" s="282"/>
      <c r="FG159" s="282"/>
      <c r="FH159" s="590"/>
      <c r="FI159" s="282"/>
      <c r="FJ159" s="282"/>
      <c r="FK159" s="282"/>
      <c r="FL159" s="282"/>
      <c r="FM159" s="282"/>
      <c r="FN159" s="282"/>
      <c r="FO159" s="590"/>
      <c r="FP159" s="282"/>
      <c r="FQ159" s="282"/>
      <c r="FR159" s="282"/>
      <c r="FS159" s="282"/>
      <c r="FT159" s="282"/>
      <c r="FU159" s="282"/>
      <c r="FV159" s="590"/>
    </row>
    <row r="160" spans="2:178" outlineLevel="1" x14ac:dyDescent="0.3">
      <c r="B160" s="247"/>
      <c r="C160" s="280"/>
      <c r="G160" s="281"/>
      <c r="CP160" s="282"/>
      <c r="CQ160" s="282"/>
      <c r="CR160" s="282"/>
      <c r="CS160" s="282"/>
      <c r="CT160" s="282"/>
      <c r="CU160" s="282"/>
      <c r="CV160" s="282"/>
      <c r="CW160" s="282"/>
      <c r="CX160" s="282"/>
      <c r="CY160" s="282"/>
      <c r="CZ160" s="282"/>
      <c r="DA160" s="282"/>
      <c r="DB160" s="282"/>
      <c r="DC160" s="282"/>
      <c r="DD160" s="590"/>
      <c r="DE160" s="282"/>
      <c r="DF160" s="282"/>
      <c r="DG160" s="282"/>
      <c r="DH160" s="282"/>
      <c r="DI160" s="282"/>
      <c r="DJ160" s="282"/>
      <c r="DK160" s="590"/>
      <c r="DL160" s="284"/>
      <c r="DM160" s="282"/>
      <c r="DN160" s="282"/>
      <c r="DO160" s="282"/>
      <c r="DP160" s="282"/>
      <c r="DQ160" s="282"/>
      <c r="DR160" s="590"/>
      <c r="DS160" s="282"/>
      <c r="DT160" s="282"/>
      <c r="DU160" s="282"/>
      <c r="DV160" s="282"/>
      <c r="DW160" s="282"/>
      <c r="DX160" s="282"/>
      <c r="DY160" s="590"/>
      <c r="DZ160" s="282"/>
      <c r="EA160" s="282"/>
      <c r="EB160" s="282"/>
      <c r="EC160" s="282"/>
      <c r="ED160" s="282"/>
      <c r="EE160" s="282"/>
      <c r="EF160" s="590"/>
      <c r="EG160" s="282"/>
      <c r="EH160" s="282"/>
      <c r="EI160" s="282"/>
      <c r="EJ160" s="282"/>
      <c r="EK160" s="282"/>
      <c r="EL160" s="282"/>
      <c r="EM160" s="590"/>
      <c r="EN160" s="282"/>
      <c r="EO160" s="282"/>
      <c r="EP160" s="282"/>
      <c r="EQ160" s="284"/>
      <c r="ER160" s="282"/>
      <c r="ES160" s="282"/>
      <c r="ET160" s="590"/>
      <c r="EU160" s="282"/>
      <c r="EV160" s="282"/>
      <c r="EW160" s="282"/>
      <c r="EX160" s="282"/>
      <c r="EY160" s="282"/>
      <c r="EZ160" s="282"/>
      <c r="FA160" s="590"/>
      <c r="FB160" s="282"/>
      <c r="FC160" s="282"/>
      <c r="FD160" s="282"/>
      <c r="FE160" s="282"/>
      <c r="FF160" s="282"/>
      <c r="FG160" s="282"/>
      <c r="FH160" s="590"/>
      <c r="FI160" s="282"/>
      <c r="FJ160" s="282"/>
      <c r="FK160" s="282"/>
      <c r="FL160" s="282"/>
      <c r="FM160" s="282"/>
      <c r="FN160" s="282"/>
      <c r="FO160" s="590"/>
      <c r="FP160" s="282"/>
      <c r="FQ160" s="282"/>
      <c r="FR160" s="282"/>
      <c r="FS160" s="282"/>
      <c r="FT160" s="282"/>
      <c r="FU160" s="282"/>
      <c r="FV160" s="590"/>
    </row>
    <row r="161" spans="1:280" outlineLevel="1" x14ac:dyDescent="0.3">
      <c r="B161" s="253" t="s">
        <v>507</v>
      </c>
      <c r="C161" s="280" t="s">
        <v>508</v>
      </c>
      <c r="J161" s="281">
        <f t="shared" ref="J161:AM161" si="467">-J112/J30</f>
        <v>1</v>
      </c>
      <c r="K161" s="281">
        <f t="shared" si="467"/>
        <v>1</v>
      </c>
      <c r="L161" s="281">
        <f t="shared" si="467"/>
        <v>1</v>
      </c>
      <c r="M161" s="281">
        <f t="shared" si="467"/>
        <v>1</v>
      </c>
      <c r="N161" s="281">
        <f t="shared" si="467"/>
        <v>1</v>
      </c>
      <c r="O161" s="281">
        <f t="shared" si="467"/>
        <v>0.97058823529411686</v>
      </c>
      <c r="P161" s="281">
        <f t="shared" si="467"/>
        <v>1</v>
      </c>
      <c r="Q161" s="281">
        <f t="shared" si="467"/>
        <v>1</v>
      </c>
      <c r="R161" s="281">
        <f t="shared" si="467"/>
        <v>1</v>
      </c>
      <c r="S161" s="281">
        <f t="shared" si="467"/>
        <v>0.57037037037037031</v>
      </c>
      <c r="T161" s="281">
        <f t="shared" si="467"/>
        <v>0.87364620938628146</v>
      </c>
      <c r="U161" s="281">
        <f t="shared" si="467"/>
        <v>0.3125</v>
      </c>
      <c r="V161" s="281">
        <f t="shared" si="467"/>
        <v>0.68055555555555558</v>
      </c>
      <c r="W161" s="281">
        <f t="shared" si="467"/>
        <v>0.49652777777777779</v>
      </c>
      <c r="X161" s="281">
        <f t="shared" si="467"/>
        <v>0.68141592920353977</v>
      </c>
      <c r="Y161" s="281">
        <f t="shared" si="467"/>
        <v>0.27142857142857141</v>
      </c>
      <c r="Z161" s="281">
        <f t="shared" si="467"/>
        <v>0.38356164383561647</v>
      </c>
      <c r="AA161" s="281">
        <f t="shared" si="467"/>
        <v>0.32867132867132864</v>
      </c>
      <c r="AB161" s="281">
        <f t="shared" si="467"/>
        <v>0.56923076923076921</v>
      </c>
      <c r="AC161" s="281">
        <f t="shared" si="467"/>
        <v>0.62837837837837873</v>
      </c>
      <c r="AD161" s="281">
        <f t="shared" si="467"/>
        <v>0.60071942446043181</v>
      </c>
      <c r="AE161" s="281">
        <f t="shared" si="467"/>
        <v>0.46276595744680854</v>
      </c>
      <c r="AF161" s="281">
        <f t="shared" si="467"/>
        <v>0.64666666666666661</v>
      </c>
      <c r="AG161" s="281">
        <f t="shared" si="467"/>
        <v>0.75675675675675669</v>
      </c>
      <c r="AH161" s="281">
        <f t="shared" si="467"/>
        <v>0.70134228187919445</v>
      </c>
      <c r="AI161" s="281">
        <f t="shared" si="467"/>
        <v>0.90506329113924089</v>
      </c>
      <c r="AJ161" s="281">
        <f t="shared" si="467"/>
        <v>0.95031055900621086</v>
      </c>
      <c r="AK161" s="281">
        <f t="shared" si="467"/>
        <v>0.92789968652037624</v>
      </c>
      <c r="AL161" s="281">
        <f t="shared" si="467"/>
        <v>0.81847649918962717</v>
      </c>
      <c r="AM161" s="281">
        <f t="shared" si="467"/>
        <v>0.87662337662337664</v>
      </c>
      <c r="AN161" s="289">
        <v>1</v>
      </c>
      <c r="AO161" s="289">
        <v>1</v>
      </c>
      <c r="AP161" s="289">
        <v>1</v>
      </c>
      <c r="AQ161" s="281">
        <f>-AQ112/AQ30</f>
        <v>0.82499999999999996</v>
      </c>
      <c r="AR161" s="281">
        <f>-AR112/AR30</f>
        <v>0.79937304075235105</v>
      </c>
      <c r="AS161" s="281">
        <f>-AS112/AS30</f>
        <v>0.79968203497615264</v>
      </c>
      <c r="AT161" s="289">
        <v>1</v>
      </c>
      <c r="AU161" s="289">
        <v>1</v>
      </c>
      <c r="AV161" s="289">
        <v>1</v>
      </c>
      <c r="AW161" s="289">
        <v>1</v>
      </c>
      <c r="AX161" s="289">
        <v>1</v>
      </c>
      <c r="AY161" s="289">
        <v>1</v>
      </c>
      <c r="AZ161" s="289">
        <v>1</v>
      </c>
      <c r="BA161" s="281">
        <f>-BA112/BA30</f>
        <v>0.9870129870129869</v>
      </c>
      <c r="BB161" s="289">
        <v>1</v>
      </c>
      <c r="BC161" s="289">
        <v>1</v>
      </c>
      <c r="BD161" s="289">
        <v>1</v>
      </c>
      <c r="BE161" s="289">
        <v>1</v>
      </c>
      <c r="BF161" s="289">
        <v>1</v>
      </c>
      <c r="BG161" s="289">
        <v>1</v>
      </c>
      <c r="BH161" s="289">
        <v>1</v>
      </c>
      <c r="BI161" s="289">
        <v>1</v>
      </c>
      <c r="BJ161" s="289">
        <v>1</v>
      </c>
      <c r="BK161" s="289">
        <v>1</v>
      </c>
      <c r="BL161" s="281"/>
      <c r="BM161" s="289">
        <v>1</v>
      </c>
      <c r="BN161" s="289">
        <v>1</v>
      </c>
      <c r="BO161" s="289">
        <v>1</v>
      </c>
      <c r="BP161" s="289">
        <v>1</v>
      </c>
      <c r="BQ161" s="289">
        <v>1</v>
      </c>
      <c r="BR161" s="289">
        <v>1</v>
      </c>
      <c r="BS161" s="289">
        <v>1</v>
      </c>
      <c r="BT161" s="289">
        <v>1</v>
      </c>
      <c r="BU161" s="289">
        <v>1</v>
      </c>
      <c r="BV161" s="289">
        <v>1</v>
      </c>
      <c r="BW161" s="289">
        <v>1</v>
      </c>
      <c r="BX161" s="289">
        <v>1</v>
      </c>
      <c r="BY161" s="289">
        <v>1</v>
      </c>
      <c r="BZ161" s="289">
        <v>1</v>
      </c>
      <c r="CA161" s="289">
        <v>1</v>
      </c>
      <c r="CB161" s="289">
        <v>1</v>
      </c>
      <c r="CC161" s="289">
        <v>1</v>
      </c>
      <c r="CD161" s="289">
        <v>1</v>
      </c>
      <c r="CE161" s="289">
        <v>1</v>
      </c>
      <c r="CF161" s="289">
        <v>1</v>
      </c>
      <c r="CG161" s="289">
        <v>1</v>
      </c>
      <c r="CH161" s="289">
        <v>1</v>
      </c>
      <c r="CI161" s="289">
        <v>1</v>
      </c>
      <c r="CJ161" s="401">
        <f t="shared" ref="CJ161:CX161" si="468">-CJ112/CJ30</f>
        <v>0.82568807339449524</v>
      </c>
      <c r="CK161" s="401">
        <f t="shared" si="468"/>
        <v>0.32051282051282021</v>
      </c>
      <c r="CL161" s="401">
        <f t="shared" si="468"/>
        <v>0.56415929203539816</v>
      </c>
      <c r="CM161" s="401">
        <f t="shared" si="468"/>
        <v>0.97008547008547075</v>
      </c>
      <c r="CN161" s="401">
        <f t="shared" si="468"/>
        <v>0.76923076923076927</v>
      </c>
      <c r="CO161" s="401">
        <f t="shared" si="468"/>
        <v>0.8696581196581199</v>
      </c>
      <c r="CP161" s="325">
        <f t="shared" si="468"/>
        <v>0.71956521739130452</v>
      </c>
      <c r="CQ161" s="325">
        <f t="shared" si="468"/>
        <v>0.65934065934065933</v>
      </c>
      <c r="CR161" s="325">
        <f t="shared" si="468"/>
        <v>0.58441558441558439</v>
      </c>
      <c r="CS161" s="325">
        <f t="shared" si="468"/>
        <v>0.61962134251290879</v>
      </c>
      <c r="CT161" s="325">
        <f t="shared" si="468"/>
        <v>0.73825503355704702</v>
      </c>
      <c r="CU161" s="325">
        <f t="shared" si="468"/>
        <v>0.65146579804560267</v>
      </c>
      <c r="CV161" s="325">
        <f t="shared" si="468"/>
        <v>0.69421487603305787</v>
      </c>
      <c r="CW161" s="325">
        <f t="shared" si="468"/>
        <v>0.65767284991568298</v>
      </c>
      <c r="CX161" s="325">
        <f t="shared" si="468"/>
        <v>1.1075949367088609</v>
      </c>
      <c r="CY161" s="325">
        <v>1</v>
      </c>
      <c r="CZ161" s="325">
        <v>1</v>
      </c>
      <c r="DA161" s="325">
        <v>1</v>
      </c>
      <c r="DB161" s="325">
        <f>-DB112/DB30</f>
        <v>0.45624999999999982</v>
      </c>
      <c r="DC161" s="325">
        <f>-DC112/DC30</f>
        <v>0.63665594855305452</v>
      </c>
      <c r="DD161" s="603">
        <f>-DD112/DD30</f>
        <v>0.84737678855325904</v>
      </c>
      <c r="DE161" s="325">
        <f>-DE112/DE30</f>
        <v>0.53525641025641013</v>
      </c>
      <c r="DF161" s="325">
        <v>1</v>
      </c>
      <c r="DG161" s="325">
        <v>1</v>
      </c>
      <c r="DH161" s="325">
        <v>1</v>
      </c>
      <c r="DI161" s="325">
        <f>-DI112/DI30</f>
        <v>0.46437994722955134</v>
      </c>
      <c r="DJ161" s="325">
        <f>-DJ112/DJ30</f>
        <v>0.56606397774687056</v>
      </c>
      <c r="DK161" s="603">
        <f>-DK112/DK30</f>
        <v>0.52814814814814814</v>
      </c>
      <c r="DL161" s="475">
        <f>-DL112/DL30</f>
        <v>0.77083333333333337</v>
      </c>
      <c r="DM161" s="325">
        <v>1</v>
      </c>
      <c r="DN161" s="325">
        <v>1</v>
      </c>
      <c r="DO161" s="325">
        <v>1</v>
      </c>
      <c r="DP161" s="325">
        <f>-DP112/DP30</f>
        <v>1.3427895981087465</v>
      </c>
      <c r="DQ161" s="325">
        <f>-DQ112/DQ30</f>
        <v>1.0970059880239518</v>
      </c>
      <c r="DR161" s="603">
        <f>-DR112/DR30</f>
        <v>0.99876390605686016</v>
      </c>
      <c r="DS161" s="325">
        <f>-DS112/DS30</f>
        <v>1.088888888888889</v>
      </c>
      <c r="DT161" s="325">
        <v>1</v>
      </c>
      <c r="DU161" s="325">
        <v>1</v>
      </c>
      <c r="DV161" s="325">
        <v>1</v>
      </c>
      <c r="DW161" s="325">
        <f>-DW112/DW30</f>
        <v>1.0804347826086962</v>
      </c>
      <c r="DX161" s="325">
        <f>-DX112/DX30</f>
        <v>1.2122905027932962</v>
      </c>
      <c r="DY161" s="603">
        <f>-DY112/DY30</f>
        <v>1.2334878331402086</v>
      </c>
      <c r="DZ161" s="325">
        <f>-DZ112/DZ30</f>
        <v>1.3853006681514475</v>
      </c>
      <c r="EA161" s="325">
        <v>1</v>
      </c>
      <c r="EB161" s="325">
        <v>1</v>
      </c>
      <c r="EC161" s="325">
        <v>1</v>
      </c>
      <c r="ED161" s="325">
        <f>-ED112/ED30</f>
        <v>0.69747899159663929</v>
      </c>
      <c r="EE161" s="325">
        <f>-EE112/EE30</f>
        <v>0.77955271565495221</v>
      </c>
      <c r="EF161" s="603">
        <f>-EF112/EF30</f>
        <v>0.97992403689636465</v>
      </c>
      <c r="EG161" s="325">
        <f>-EG112/EG30</f>
        <v>1.2871485943775103</v>
      </c>
      <c r="EH161" s="325">
        <v>1</v>
      </c>
      <c r="EI161" s="325">
        <v>1</v>
      </c>
      <c r="EJ161" s="325">
        <v>1</v>
      </c>
      <c r="EK161" s="325">
        <f>-EK112/EK30</f>
        <v>0.97979797979797956</v>
      </c>
      <c r="EL161" s="325">
        <f>-EL112/EL30</f>
        <v>1.187772925764192</v>
      </c>
      <c r="EM161" s="603">
        <f>-EM112/EM30</f>
        <v>1.1882516188714149</v>
      </c>
      <c r="EN161" s="325">
        <v>1</v>
      </c>
      <c r="EO161" s="325">
        <v>1</v>
      </c>
      <c r="EP161" s="325">
        <v>1</v>
      </c>
      <c r="EQ161" s="475">
        <v>1</v>
      </c>
      <c r="ER161" s="325">
        <v>1</v>
      </c>
      <c r="ES161" s="325">
        <v>1</v>
      </c>
      <c r="ET161" s="603">
        <v>1</v>
      </c>
      <c r="EU161" s="325">
        <v>1</v>
      </c>
      <c r="EV161" s="325">
        <v>1</v>
      </c>
      <c r="EW161" s="325">
        <v>1</v>
      </c>
      <c r="EX161" s="325">
        <v>1</v>
      </c>
      <c r="EY161" s="325">
        <v>1</v>
      </c>
      <c r="EZ161" s="325">
        <v>1</v>
      </c>
      <c r="FA161" s="603">
        <v>1</v>
      </c>
      <c r="FB161" s="325">
        <v>1</v>
      </c>
      <c r="FC161" s="325">
        <v>1</v>
      </c>
      <c r="FD161" s="325">
        <v>1</v>
      </c>
      <c r="FE161" s="325">
        <v>1</v>
      </c>
      <c r="FF161" s="325">
        <v>1</v>
      </c>
      <c r="FG161" s="325">
        <v>1</v>
      </c>
      <c r="FH161" s="603">
        <v>1</v>
      </c>
      <c r="FI161" s="325">
        <v>1</v>
      </c>
      <c r="FJ161" s="325">
        <v>1</v>
      </c>
      <c r="FK161" s="325">
        <v>1</v>
      </c>
      <c r="FL161" s="325">
        <v>1</v>
      </c>
      <c r="FM161" s="325">
        <v>1</v>
      </c>
      <c r="FN161" s="325">
        <v>1</v>
      </c>
      <c r="FO161" s="603">
        <v>1</v>
      </c>
      <c r="FP161" s="325">
        <v>1</v>
      </c>
      <c r="FQ161" s="325">
        <v>1</v>
      </c>
      <c r="FR161" s="325">
        <v>1</v>
      </c>
      <c r="FS161" s="325">
        <v>1</v>
      </c>
      <c r="FT161" s="325">
        <v>1</v>
      </c>
      <c r="FU161" s="325">
        <v>1</v>
      </c>
      <c r="FV161" s="603">
        <v>1</v>
      </c>
    </row>
    <row r="162" spans="1:280" outlineLevel="1" x14ac:dyDescent="0.3">
      <c r="C162" s="280"/>
      <c r="CP162" s="282"/>
      <c r="CQ162" s="282"/>
      <c r="CR162" s="282"/>
      <c r="CS162" s="282"/>
      <c r="CT162" s="282"/>
      <c r="CU162" s="282"/>
      <c r="CV162" s="282"/>
      <c r="CW162" s="282"/>
      <c r="CX162" s="282"/>
      <c r="CY162" s="282"/>
      <c r="CZ162" s="282"/>
      <c r="DA162" s="282"/>
      <c r="DB162" s="282"/>
      <c r="DC162" s="282"/>
      <c r="DD162" s="590"/>
      <c r="DE162" s="282"/>
      <c r="DF162" s="282"/>
      <c r="DG162" s="282"/>
      <c r="DH162" s="282"/>
      <c r="DI162" s="282"/>
      <c r="DJ162" s="282"/>
      <c r="DK162" s="590"/>
      <c r="DL162" s="284"/>
      <c r="DM162" s="282"/>
      <c r="DN162" s="282"/>
      <c r="DO162" s="282"/>
      <c r="DP162" s="282"/>
      <c r="DQ162" s="282"/>
      <c r="DR162" s="590"/>
      <c r="DS162" s="282"/>
      <c r="DT162" s="282"/>
      <c r="DU162" s="282"/>
      <c r="DV162" s="282"/>
      <c r="DW162" s="282"/>
      <c r="DX162" s="282"/>
      <c r="DY162" s="590"/>
      <c r="DZ162" s="282"/>
      <c r="EA162" s="282"/>
      <c r="EB162" s="282"/>
      <c r="EC162" s="282"/>
      <c r="ED162" s="282"/>
      <c r="EE162" s="282"/>
      <c r="EF162" s="590"/>
      <c r="EG162" s="282"/>
      <c r="EH162" s="282"/>
      <c r="EI162" s="282"/>
      <c r="EJ162" s="282"/>
      <c r="EK162" s="282"/>
      <c r="EL162" s="282"/>
      <c r="EM162" s="590"/>
      <c r="EN162" s="282"/>
      <c r="EO162" s="282"/>
      <c r="EP162" s="282"/>
      <c r="EQ162" s="284"/>
      <c r="ER162" s="282"/>
      <c r="ES162" s="282"/>
      <c r="ET162" s="590"/>
      <c r="EU162" s="282"/>
      <c r="EV162" s="282"/>
      <c r="EW162" s="282"/>
      <c r="EX162" s="282"/>
      <c r="EY162" s="282"/>
      <c r="EZ162" s="282"/>
      <c r="FA162" s="590"/>
      <c r="FB162" s="282"/>
      <c r="FC162" s="282"/>
      <c r="FD162" s="282"/>
      <c r="FE162" s="282"/>
      <c r="FF162" s="282"/>
      <c r="FG162" s="282"/>
      <c r="FH162" s="590"/>
      <c r="FI162" s="282"/>
      <c r="FJ162" s="282"/>
      <c r="FK162" s="282"/>
      <c r="FL162" s="282"/>
      <c r="FM162" s="282"/>
      <c r="FN162" s="282"/>
      <c r="FO162" s="590"/>
      <c r="FP162" s="282"/>
      <c r="FQ162" s="282"/>
      <c r="FR162" s="282"/>
      <c r="FS162" s="282"/>
      <c r="FT162" s="282"/>
      <c r="FU162" s="282"/>
      <c r="FV162" s="590"/>
    </row>
    <row r="163" spans="1:280" outlineLevel="1" x14ac:dyDescent="0.3">
      <c r="B163" s="396" t="s">
        <v>509</v>
      </c>
      <c r="C163" s="280"/>
      <c r="CJ163" s="281"/>
      <c r="CN163" s="281"/>
      <c r="CO163" s="281"/>
      <c r="CP163" s="282"/>
      <c r="CQ163" s="282"/>
      <c r="CR163" s="282"/>
      <c r="CS163" s="282"/>
      <c r="CT163" s="282"/>
      <c r="CU163" s="282"/>
      <c r="CV163" s="282"/>
      <c r="CW163" s="282"/>
      <c r="CX163" s="282"/>
      <c r="CY163" s="282"/>
      <c r="CZ163" s="282"/>
      <c r="DA163" s="282"/>
      <c r="DB163" s="282"/>
      <c r="DC163" s="282"/>
      <c r="DD163" s="590"/>
      <c r="DE163" s="282"/>
      <c r="DF163" s="282"/>
      <c r="DG163" s="282"/>
      <c r="DH163" s="282"/>
      <c r="DI163" s="282"/>
      <c r="DJ163" s="282"/>
      <c r="DK163" s="590"/>
      <c r="DL163" s="284"/>
      <c r="DM163" s="282"/>
      <c r="DN163" s="282"/>
      <c r="DO163" s="282"/>
      <c r="DP163" s="282"/>
      <c r="DQ163" s="282"/>
      <c r="DR163" s="590"/>
      <c r="DS163" s="282"/>
      <c r="DT163" s="282"/>
      <c r="DU163" s="282"/>
      <c r="DV163" s="282"/>
      <c r="DW163" s="282"/>
      <c r="DX163" s="282"/>
      <c r="DY163" s="590"/>
      <c r="DZ163" s="282"/>
      <c r="EA163" s="282"/>
      <c r="EB163" s="282"/>
      <c r="EC163" s="282"/>
      <c r="ED163" s="282"/>
      <c r="EE163" s="282"/>
      <c r="EF163" s="590"/>
      <c r="EG163" s="282"/>
      <c r="EH163" s="282"/>
      <c r="EI163" s="282"/>
      <c r="EJ163" s="282"/>
      <c r="EK163" s="282"/>
      <c r="EL163" s="282"/>
      <c r="EM163" s="590"/>
      <c r="EN163" s="282"/>
      <c r="EO163" s="282"/>
      <c r="EP163" s="282"/>
      <c r="EQ163" s="284"/>
      <c r="ER163" s="282"/>
      <c r="ES163" s="282"/>
      <c r="ET163" s="590"/>
      <c r="EU163" s="282"/>
      <c r="EV163" s="282"/>
      <c r="EW163" s="282"/>
      <c r="EX163" s="282"/>
      <c r="EY163" s="282"/>
      <c r="EZ163" s="282"/>
      <c r="FA163" s="590"/>
      <c r="FB163" s="282"/>
      <c r="FC163" s="282"/>
      <c r="FD163" s="282"/>
      <c r="FE163" s="282"/>
      <c r="FF163" s="282"/>
      <c r="FG163" s="282"/>
      <c r="FH163" s="590"/>
      <c r="FI163" s="282"/>
      <c r="FJ163" s="282"/>
      <c r="FK163" s="282"/>
      <c r="FL163" s="282"/>
      <c r="FM163" s="282"/>
      <c r="FN163" s="282"/>
      <c r="FO163" s="590"/>
      <c r="FP163" s="282"/>
      <c r="FQ163" s="282"/>
      <c r="FR163" s="282"/>
      <c r="FS163" s="282"/>
      <c r="FT163" s="282"/>
      <c r="FU163" s="282"/>
      <c r="FV163" s="590"/>
    </row>
    <row r="164" spans="1:280" outlineLevel="1" x14ac:dyDescent="0.3">
      <c r="B164" s="253" t="s">
        <v>510</v>
      </c>
      <c r="C164" s="280" t="s">
        <v>226</v>
      </c>
      <c r="D164" s="250">
        <f t="shared" ref="D164:AM164" si="469">-(D114+D115)</f>
        <v>34</v>
      </c>
      <c r="E164" s="250">
        <f t="shared" si="469"/>
        <v>41</v>
      </c>
      <c r="F164" s="250">
        <f t="shared" si="469"/>
        <v>75</v>
      </c>
      <c r="G164" s="250">
        <f t="shared" si="469"/>
        <v>48.8</v>
      </c>
      <c r="H164" s="250">
        <f t="shared" si="469"/>
        <v>38.200000000000003</v>
      </c>
      <c r="I164" s="250">
        <f t="shared" si="469"/>
        <v>87</v>
      </c>
      <c r="J164" s="250">
        <f t="shared" si="469"/>
        <v>162</v>
      </c>
      <c r="K164" s="250">
        <f t="shared" si="469"/>
        <v>35.5</v>
      </c>
      <c r="L164" s="250">
        <f t="shared" si="469"/>
        <v>25.9</v>
      </c>
      <c r="M164" s="250">
        <f t="shared" si="469"/>
        <v>61.4</v>
      </c>
      <c r="N164" s="250">
        <f t="shared" si="469"/>
        <v>18.000000000000007</v>
      </c>
      <c r="O164" s="250">
        <f t="shared" si="469"/>
        <v>13.199999999999989</v>
      </c>
      <c r="P164" s="250">
        <f t="shared" si="469"/>
        <v>31.199999999999996</v>
      </c>
      <c r="Q164" s="250">
        <f t="shared" si="469"/>
        <v>92.6</v>
      </c>
      <c r="R164" s="250">
        <f t="shared" si="469"/>
        <v>16.5</v>
      </c>
      <c r="S164" s="250">
        <f t="shared" si="469"/>
        <v>7.6999999999999993</v>
      </c>
      <c r="T164" s="250">
        <f t="shared" si="469"/>
        <v>24.2</v>
      </c>
      <c r="U164" s="250">
        <f t="shared" si="469"/>
        <v>4.5</v>
      </c>
      <c r="V164" s="250">
        <f t="shared" si="469"/>
        <v>9.8000000000000007</v>
      </c>
      <c r="W164" s="250">
        <f t="shared" si="469"/>
        <v>14.3</v>
      </c>
      <c r="X164" s="250">
        <f t="shared" si="469"/>
        <v>38.5</v>
      </c>
      <c r="Y164" s="250">
        <f t="shared" si="469"/>
        <v>3.8</v>
      </c>
      <c r="Z164" s="250">
        <f t="shared" si="469"/>
        <v>5.6000000000000005</v>
      </c>
      <c r="AA164" s="250">
        <f t="shared" si="469"/>
        <v>9.4</v>
      </c>
      <c r="AB164" s="250">
        <f t="shared" si="469"/>
        <v>7.3999999999999995</v>
      </c>
      <c r="AC164" s="250">
        <f t="shared" si="469"/>
        <v>9.3000000000000043</v>
      </c>
      <c r="AD164" s="250">
        <f t="shared" si="469"/>
        <v>16.700000000000003</v>
      </c>
      <c r="AE164" s="250">
        <f t="shared" si="469"/>
        <v>26.1</v>
      </c>
      <c r="AF164" s="250">
        <f t="shared" si="469"/>
        <v>9.6999999999999993</v>
      </c>
      <c r="AG164" s="250">
        <f t="shared" si="469"/>
        <v>11.2</v>
      </c>
      <c r="AH164" s="250">
        <f t="shared" si="469"/>
        <v>20.9</v>
      </c>
      <c r="AI164" s="250">
        <f t="shared" si="469"/>
        <v>14.300000000000004</v>
      </c>
      <c r="AJ164" s="250">
        <f t="shared" si="469"/>
        <v>15.299999999999997</v>
      </c>
      <c r="AK164" s="250">
        <f t="shared" si="469"/>
        <v>29.6</v>
      </c>
      <c r="AL164" s="250">
        <f t="shared" si="469"/>
        <v>50.5</v>
      </c>
      <c r="AM164" s="281">
        <f t="shared" si="469"/>
        <v>13.5</v>
      </c>
      <c r="AN164" s="281">
        <f>-(AN112+AN113+AN115)</f>
        <v>11.3</v>
      </c>
      <c r="AO164" s="281">
        <f>-(AO112+AO113+AO115)</f>
        <v>24.8</v>
      </c>
      <c r="AP164" s="281">
        <f>-(AP112+AP113+AP115)</f>
        <v>12.599999999999998</v>
      </c>
      <c r="AQ164" s="250">
        <f>-(AQ114+AQ115)</f>
        <v>13</v>
      </c>
      <c r="AR164" s="250">
        <f>-(AR114+AR115)</f>
        <v>25.499999999999996</v>
      </c>
      <c r="AS164" s="250">
        <f>-(AS114+AS115)</f>
        <v>50.3</v>
      </c>
      <c r="AT164" s="281">
        <f t="shared" ref="AT164:BK164" si="470">-(AT112+AT113+AT115)</f>
        <v>12.100000000000001</v>
      </c>
      <c r="AU164" s="281">
        <f t="shared" si="470"/>
        <v>6.2999999999999989</v>
      </c>
      <c r="AV164" s="281">
        <f t="shared" si="470"/>
        <v>18.399999999999999</v>
      </c>
      <c r="AW164" s="281">
        <f t="shared" si="470"/>
        <v>7.1000000000000023</v>
      </c>
      <c r="AX164" s="281">
        <f t="shared" si="470"/>
        <v>10.3</v>
      </c>
      <c r="AY164" s="281">
        <f t="shared" si="470"/>
        <v>17.400000000000002</v>
      </c>
      <c r="AZ164" s="281">
        <f t="shared" si="470"/>
        <v>35.799999999999997</v>
      </c>
      <c r="BA164" s="281">
        <f t="shared" si="470"/>
        <v>15.2</v>
      </c>
      <c r="BB164" s="281">
        <f t="shared" si="470"/>
        <v>10.3</v>
      </c>
      <c r="BC164" s="281">
        <f t="shared" si="470"/>
        <v>25.5</v>
      </c>
      <c r="BD164" s="281">
        <f t="shared" si="470"/>
        <v>16.300000000000004</v>
      </c>
      <c r="BE164" s="281">
        <f t="shared" si="470"/>
        <v>19.299999999999997</v>
      </c>
      <c r="BF164" s="281">
        <f t="shared" si="470"/>
        <v>35.6</v>
      </c>
      <c r="BG164" s="281">
        <f t="shared" si="470"/>
        <v>61.099999999999994</v>
      </c>
      <c r="BH164" s="281">
        <f t="shared" si="470"/>
        <v>26.1</v>
      </c>
      <c r="BI164" s="281">
        <f t="shared" si="470"/>
        <v>18.399999999999999</v>
      </c>
      <c r="BJ164" s="281">
        <f t="shared" si="470"/>
        <v>44.5</v>
      </c>
      <c r="BK164" s="281">
        <f t="shared" si="470"/>
        <v>28.1</v>
      </c>
      <c r="BL164" s="281"/>
      <c r="BM164" s="281">
        <f>+BL164+BK164</f>
        <v>28.1</v>
      </c>
      <c r="BN164" s="281">
        <f>+BM164+BJ164</f>
        <v>72.599999999999994</v>
      </c>
      <c r="BO164" s="281">
        <f t="shared" ref="BO164:DM164" si="471">-(BO112+BO113+BO115)</f>
        <v>48.6</v>
      </c>
      <c r="BP164" s="281">
        <f t="shared" si="471"/>
        <v>110.9</v>
      </c>
      <c r="BQ164" s="281">
        <f t="shared" si="471"/>
        <v>159.5</v>
      </c>
      <c r="BR164" s="281">
        <f t="shared" si="471"/>
        <v>80.900000000000006</v>
      </c>
      <c r="BS164" s="281">
        <f t="shared" si="471"/>
        <v>35.799999999999983</v>
      </c>
      <c r="BT164" s="281">
        <f t="shared" si="471"/>
        <v>116.69999999999999</v>
      </c>
      <c r="BU164" s="281">
        <f t="shared" si="471"/>
        <v>276.20000000000005</v>
      </c>
      <c r="BV164" s="281">
        <f t="shared" si="471"/>
        <v>19.5</v>
      </c>
      <c r="BW164" s="281">
        <f t="shared" si="471"/>
        <v>23.4</v>
      </c>
      <c r="BX164" s="281">
        <f t="shared" si="471"/>
        <v>42.900000000000006</v>
      </c>
      <c r="BY164" s="281">
        <f t="shared" si="471"/>
        <v>9.6999999999999957</v>
      </c>
      <c r="BZ164" s="281">
        <f t="shared" si="471"/>
        <v>21.200000000000003</v>
      </c>
      <c r="CA164" s="281">
        <f t="shared" si="471"/>
        <v>30.9</v>
      </c>
      <c r="CB164" s="281">
        <f t="shared" si="471"/>
        <v>73.8</v>
      </c>
      <c r="CC164" s="281">
        <f t="shared" si="471"/>
        <v>17.8</v>
      </c>
      <c r="CD164" s="281">
        <f t="shared" si="471"/>
        <v>17.8</v>
      </c>
      <c r="CE164" s="281">
        <f t="shared" si="471"/>
        <v>35.6</v>
      </c>
      <c r="CF164" s="281">
        <f t="shared" si="471"/>
        <v>22.9</v>
      </c>
      <c r="CG164" s="281">
        <f t="shared" si="471"/>
        <v>48.5</v>
      </c>
      <c r="CH164" s="281">
        <f t="shared" si="471"/>
        <v>71.399999999999991</v>
      </c>
      <c r="CI164" s="281">
        <f t="shared" si="471"/>
        <v>107</v>
      </c>
      <c r="CJ164" s="281">
        <f t="shared" si="471"/>
        <v>48.1</v>
      </c>
      <c r="CK164" s="281">
        <f t="shared" si="471"/>
        <v>35.499999999999993</v>
      </c>
      <c r="CL164" s="281">
        <f t="shared" si="471"/>
        <v>83.6</v>
      </c>
      <c r="CM164" s="281">
        <f t="shared" si="471"/>
        <v>65.200000000000017</v>
      </c>
      <c r="CN164" s="281">
        <f t="shared" si="471"/>
        <v>54.899999999999977</v>
      </c>
      <c r="CO164" s="281">
        <f t="shared" si="471"/>
        <v>120.1</v>
      </c>
      <c r="CP164" s="282">
        <f t="shared" si="471"/>
        <v>203.7</v>
      </c>
      <c r="CQ164" s="282">
        <f t="shared" si="471"/>
        <v>632.30000000000007</v>
      </c>
      <c r="CR164" s="282">
        <f t="shared" si="471"/>
        <v>66.400000000000006</v>
      </c>
      <c r="CS164" s="282">
        <f t="shared" si="471"/>
        <v>698.7</v>
      </c>
      <c r="CT164" s="282">
        <f t="shared" si="471"/>
        <v>84.699999999999989</v>
      </c>
      <c r="CU164" s="282">
        <f t="shared" si="471"/>
        <v>76.400000000000006</v>
      </c>
      <c r="CV164" s="282">
        <f t="shared" si="471"/>
        <v>161.1</v>
      </c>
      <c r="CW164" s="282">
        <f t="shared" si="471"/>
        <v>859.80000000000007</v>
      </c>
      <c r="CX164" s="282">
        <f t="shared" si="471"/>
        <v>63.3</v>
      </c>
      <c r="CY164" s="282">
        <f t="shared" si="471"/>
        <v>64.5</v>
      </c>
      <c r="CZ164" s="282">
        <f t="shared" si="471"/>
        <v>127.8</v>
      </c>
      <c r="DA164" s="282">
        <f t="shared" si="471"/>
        <v>33.600000000000009</v>
      </c>
      <c r="DB164" s="282">
        <f>-(DB112+DB113+DB115)</f>
        <v>32.399999999999991</v>
      </c>
      <c r="DC164" s="282">
        <f>-(DC112+DC113+DC115)</f>
        <v>66</v>
      </c>
      <c r="DD164" s="590">
        <f>-(DD112+DD113+DD115)</f>
        <v>193.8</v>
      </c>
      <c r="DE164" s="282">
        <f>-(DE112+DE113+DE115)</f>
        <v>27.1</v>
      </c>
      <c r="DF164" s="282">
        <f>-(DF112+DF113+DF115)</f>
        <v>17.600000000000001</v>
      </c>
      <c r="DG164" s="282">
        <f t="shared" si="471"/>
        <v>44.7</v>
      </c>
      <c r="DH164" s="282">
        <f t="shared" si="471"/>
        <v>32.300000000000004</v>
      </c>
      <c r="DI164" s="282">
        <f t="shared" si="471"/>
        <v>33.699999999999989</v>
      </c>
      <c r="DJ164" s="282">
        <f t="shared" si="471"/>
        <v>66</v>
      </c>
      <c r="DK164" s="590">
        <f t="shared" si="471"/>
        <v>110.69999999999999</v>
      </c>
      <c r="DL164" s="284">
        <f t="shared" si="471"/>
        <v>43.400000000000006</v>
      </c>
      <c r="DM164" s="282">
        <f t="shared" si="471"/>
        <v>64.7</v>
      </c>
      <c r="DN164" s="282">
        <f t="shared" ref="DN164:EM164" si="472">-(DN112+DN113+DN115)</f>
        <v>108.1</v>
      </c>
      <c r="DO164" s="282">
        <f t="shared" si="472"/>
        <v>66.400000000000006</v>
      </c>
      <c r="DP164" s="282">
        <f t="shared" si="472"/>
        <v>83.299999999999983</v>
      </c>
      <c r="DQ164" s="282">
        <f t="shared" si="472"/>
        <v>149.69999999999999</v>
      </c>
      <c r="DR164" s="590">
        <f t="shared" si="472"/>
        <v>257.8</v>
      </c>
      <c r="DS164" s="282">
        <f t="shared" si="472"/>
        <v>215</v>
      </c>
      <c r="DT164" s="282">
        <f t="shared" si="472"/>
        <v>95.1</v>
      </c>
      <c r="DU164" s="282">
        <f t="shared" si="472"/>
        <v>310.10000000000002</v>
      </c>
      <c r="DV164" s="282">
        <f t="shared" si="472"/>
        <v>140.59999999999997</v>
      </c>
      <c r="DW164" s="282">
        <f t="shared" si="472"/>
        <v>140.60000000000002</v>
      </c>
      <c r="DX164" s="282">
        <f t="shared" si="472"/>
        <v>281.2</v>
      </c>
      <c r="DY164" s="590">
        <f t="shared" si="472"/>
        <v>591.29999999999995</v>
      </c>
      <c r="DZ164" s="282">
        <f t="shared" si="472"/>
        <v>145.69999999999999</v>
      </c>
      <c r="EA164" s="282">
        <f t="shared" si="472"/>
        <v>86.9</v>
      </c>
      <c r="EB164" s="282">
        <f t="shared" si="472"/>
        <v>232.6</v>
      </c>
      <c r="EC164" s="282">
        <f t="shared" si="472"/>
        <v>95.6</v>
      </c>
      <c r="ED164" s="282">
        <f t="shared" si="472"/>
        <v>121.10000000000004</v>
      </c>
      <c r="EE164" s="282">
        <f t="shared" si="472"/>
        <v>216.70000000000005</v>
      </c>
      <c r="EF164" s="590">
        <f t="shared" si="472"/>
        <v>449.3</v>
      </c>
      <c r="EG164" s="282">
        <f t="shared" si="472"/>
        <v>133.60000000000002</v>
      </c>
      <c r="EH164" s="282">
        <f t="shared" si="472"/>
        <v>91.59999999999998</v>
      </c>
      <c r="EI164" s="282">
        <f t="shared" si="472"/>
        <v>225.2</v>
      </c>
      <c r="EJ164" s="282">
        <f t="shared" si="472"/>
        <v>107.80000000000001</v>
      </c>
      <c r="EK164" s="282">
        <f t="shared" si="472"/>
        <v>89.2</v>
      </c>
      <c r="EL164" s="282">
        <f t="shared" si="472"/>
        <v>197</v>
      </c>
      <c r="EM164" s="590">
        <f t="shared" si="472"/>
        <v>422.2</v>
      </c>
      <c r="EN164" s="282">
        <f t="shared" ref="EN164:EP164" si="473">-(EN112+EN113+EN115)</f>
        <v>103.2</v>
      </c>
      <c r="EO164" s="282">
        <f t="shared" si="473"/>
        <v>4012.5</v>
      </c>
      <c r="EP164" s="282">
        <f t="shared" si="473"/>
        <v>4115.7</v>
      </c>
      <c r="EQ164" s="284">
        <f t="shared" ref="EQ164" si="474">-(EQ112+EQ113+EQ115)</f>
        <v>106.9</v>
      </c>
      <c r="ER164" s="282">
        <f t="shared" ref="ER164:FV164" si="475">-(ER112+ER113+ER115)</f>
        <v>71.924200000000027</v>
      </c>
      <c r="ES164" s="282">
        <f t="shared" si="475"/>
        <v>178.82420000000005</v>
      </c>
      <c r="ET164" s="590">
        <f t="shared" si="475"/>
        <v>4294.5241999999998</v>
      </c>
      <c r="EU164" s="282">
        <f t="shared" si="475"/>
        <v>101.862944</v>
      </c>
      <c r="EV164" s="282">
        <f t="shared" si="475"/>
        <v>114.83101632</v>
      </c>
      <c r="EW164" s="282">
        <f t="shared" si="475"/>
        <v>216.69396032</v>
      </c>
      <c r="EX164" s="282">
        <f t="shared" si="475"/>
        <v>109.05116680960001</v>
      </c>
      <c r="EY164" s="282">
        <f t="shared" si="475"/>
        <v>107.29112181388801</v>
      </c>
      <c r="EZ164" s="282">
        <f t="shared" si="475"/>
        <v>216.342288623488</v>
      </c>
      <c r="FA164" s="590">
        <f t="shared" si="475"/>
        <v>433.03624894348798</v>
      </c>
      <c r="FB164" s="282">
        <f t="shared" si="475"/>
        <v>101.26586431999999</v>
      </c>
      <c r="FC164" s="282">
        <f t="shared" si="475"/>
        <v>114.44435680960001</v>
      </c>
      <c r="FD164" s="282">
        <f t="shared" si="475"/>
        <v>215.7102211296</v>
      </c>
      <c r="FE164" s="282">
        <f t="shared" si="475"/>
        <v>108.99421181388799</v>
      </c>
      <c r="FF164" s="282">
        <f t="shared" si="475"/>
        <v>107.19350366830466</v>
      </c>
      <c r="FG164" s="282">
        <f t="shared" si="475"/>
        <v>216.18771548219263</v>
      </c>
      <c r="FH164" s="590">
        <f t="shared" si="475"/>
        <v>431.8979366117926</v>
      </c>
      <c r="FI164" s="282">
        <f t="shared" si="475"/>
        <v>99.701693529599993</v>
      </c>
      <c r="FJ164" s="282">
        <f t="shared" si="475"/>
        <v>113.094207163888</v>
      </c>
      <c r="FK164" s="282">
        <f t="shared" si="475"/>
        <v>212.79590069348799</v>
      </c>
      <c r="FL164" s="282">
        <f t="shared" si="475"/>
        <v>107.98917091830464</v>
      </c>
      <c r="FM164" s="282">
        <f t="shared" si="475"/>
        <v>106.14688318335378</v>
      </c>
      <c r="FN164" s="282">
        <f t="shared" si="475"/>
        <v>214.13605410165843</v>
      </c>
      <c r="FO164" s="590">
        <f t="shared" si="475"/>
        <v>426.93195479514645</v>
      </c>
      <c r="FP164" s="282">
        <f t="shared" si="475"/>
        <v>101.17126908468799</v>
      </c>
      <c r="FQ164" s="282">
        <f t="shared" si="475"/>
        <v>114.78147138605463</v>
      </c>
      <c r="FR164" s="282">
        <f t="shared" si="475"/>
        <v>215.95274047074264</v>
      </c>
      <c r="FS164" s="282">
        <f t="shared" si="475"/>
        <v>110.03744211460376</v>
      </c>
      <c r="FT164" s="282">
        <f t="shared" si="475"/>
        <v>108.1526384439794</v>
      </c>
      <c r="FU164" s="282">
        <f t="shared" si="475"/>
        <v>218.19008055858316</v>
      </c>
      <c r="FV164" s="590">
        <f t="shared" si="475"/>
        <v>434.14282102932577</v>
      </c>
    </row>
    <row r="165" spans="1:280" outlineLevel="1" x14ac:dyDescent="0.3">
      <c r="B165" s="253" t="s">
        <v>511</v>
      </c>
      <c r="C165" s="280" t="s">
        <v>226</v>
      </c>
      <c r="D165" s="281">
        <f t="shared" ref="D165:BK165" si="476">-D116</f>
        <v>0</v>
      </c>
      <c r="E165" s="281">
        <f t="shared" si="476"/>
        <v>-2.9</v>
      </c>
      <c r="F165" s="281">
        <f t="shared" si="476"/>
        <v>-2.9</v>
      </c>
      <c r="G165" s="281">
        <f t="shared" si="476"/>
        <v>0</v>
      </c>
      <c r="H165" s="281">
        <f t="shared" si="476"/>
        <v>-5.0999999999999996</v>
      </c>
      <c r="I165" s="281">
        <f t="shared" si="476"/>
        <v>-5.0999999999999996</v>
      </c>
      <c r="J165" s="281">
        <f t="shared" si="476"/>
        <v>-8</v>
      </c>
      <c r="K165" s="281">
        <f t="shared" si="476"/>
        <v>0</v>
      </c>
      <c r="L165" s="281">
        <f t="shared" si="476"/>
        <v>0</v>
      </c>
      <c r="M165" s="281">
        <f t="shared" si="476"/>
        <v>0</v>
      </c>
      <c r="N165" s="281">
        <f t="shared" si="476"/>
        <v>0</v>
      </c>
      <c r="O165" s="281">
        <f t="shared" si="476"/>
        <v>0</v>
      </c>
      <c r="P165" s="281">
        <f t="shared" si="476"/>
        <v>0</v>
      </c>
      <c r="Q165" s="281">
        <f t="shared" si="476"/>
        <v>0</v>
      </c>
      <c r="R165" s="281">
        <f t="shared" si="476"/>
        <v>0</v>
      </c>
      <c r="S165" s="281">
        <f t="shared" si="476"/>
        <v>0</v>
      </c>
      <c r="T165" s="281">
        <f t="shared" si="476"/>
        <v>0</v>
      </c>
      <c r="U165" s="281">
        <f t="shared" si="476"/>
        <v>0</v>
      </c>
      <c r="V165" s="281">
        <f t="shared" si="476"/>
        <v>0</v>
      </c>
      <c r="W165" s="281">
        <f t="shared" si="476"/>
        <v>0</v>
      </c>
      <c r="X165" s="281">
        <f t="shared" si="476"/>
        <v>0</v>
      </c>
      <c r="Y165" s="281">
        <f t="shared" si="476"/>
        <v>0</v>
      </c>
      <c r="Z165" s="281">
        <f t="shared" si="476"/>
        <v>0</v>
      </c>
      <c r="AA165" s="281">
        <f t="shared" si="476"/>
        <v>0</v>
      </c>
      <c r="AB165" s="281">
        <f t="shared" si="476"/>
        <v>0</v>
      </c>
      <c r="AC165" s="281">
        <f t="shared" si="476"/>
        <v>0</v>
      </c>
      <c r="AD165" s="281">
        <f t="shared" si="476"/>
        <v>0</v>
      </c>
      <c r="AE165" s="281">
        <f t="shared" si="476"/>
        <v>0</v>
      </c>
      <c r="AF165" s="281">
        <f t="shared" si="476"/>
        <v>0</v>
      </c>
      <c r="AG165" s="281">
        <f t="shared" si="476"/>
        <v>0</v>
      </c>
      <c r="AH165" s="281">
        <f t="shared" si="476"/>
        <v>0</v>
      </c>
      <c r="AI165" s="281">
        <f t="shared" si="476"/>
        <v>0</v>
      </c>
      <c r="AJ165" s="281">
        <f t="shared" si="476"/>
        <v>0</v>
      </c>
      <c r="AK165" s="281">
        <f t="shared" si="476"/>
        <v>0</v>
      </c>
      <c r="AL165" s="281">
        <f t="shared" si="476"/>
        <v>0</v>
      </c>
      <c r="AM165" s="281">
        <f t="shared" si="476"/>
        <v>-0.2</v>
      </c>
      <c r="AN165" s="281">
        <f t="shared" si="476"/>
        <v>-0.39999999999999997</v>
      </c>
      <c r="AO165" s="281">
        <f t="shared" si="476"/>
        <v>-0.6</v>
      </c>
      <c r="AP165" s="281">
        <f t="shared" si="476"/>
        <v>0</v>
      </c>
      <c r="AQ165" s="281">
        <f t="shared" si="476"/>
        <v>-9.9999999999999978E-2</v>
      </c>
      <c r="AR165" s="281">
        <f t="shared" si="476"/>
        <v>-9.9999999999999978E-2</v>
      </c>
      <c r="AS165" s="281">
        <f t="shared" si="476"/>
        <v>-0.7</v>
      </c>
      <c r="AT165" s="281">
        <f t="shared" si="476"/>
        <v>-0.1</v>
      </c>
      <c r="AU165" s="281">
        <f t="shared" si="476"/>
        <v>-0.1</v>
      </c>
      <c r="AV165" s="281">
        <f t="shared" si="476"/>
        <v>-0.2</v>
      </c>
      <c r="AW165" s="281">
        <f t="shared" si="476"/>
        <v>0</v>
      </c>
      <c r="AX165" s="281">
        <f t="shared" si="476"/>
        <v>-9.9999999999999978E-2</v>
      </c>
      <c r="AY165" s="281">
        <f t="shared" si="476"/>
        <v>-9.9999999999999978E-2</v>
      </c>
      <c r="AZ165" s="281">
        <f t="shared" si="476"/>
        <v>-0.3</v>
      </c>
      <c r="BA165" s="281">
        <f t="shared" si="476"/>
        <v>0</v>
      </c>
      <c r="BB165" s="281">
        <f t="shared" si="476"/>
        <v>-0.1</v>
      </c>
      <c r="BC165" s="281">
        <f t="shared" si="476"/>
        <v>-0.1</v>
      </c>
      <c r="BD165" s="281">
        <f t="shared" si="476"/>
        <v>-0.4</v>
      </c>
      <c r="BE165" s="281">
        <f t="shared" si="476"/>
        <v>-0.8999999999999998</v>
      </c>
      <c r="BF165" s="281">
        <f t="shared" si="476"/>
        <v>-1.2999999999999998</v>
      </c>
      <c r="BG165" s="281">
        <f t="shared" si="476"/>
        <v>-1.4</v>
      </c>
      <c r="BH165" s="281">
        <f t="shared" si="476"/>
        <v>-0.4</v>
      </c>
      <c r="BI165" s="281">
        <f t="shared" si="476"/>
        <v>-9.9999999999999978E-2</v>
      </c>
      <c r="BJ165" s="281">
        <f t="shared" si="476"/>
        <v>-0.5</v>
      </c>
      <c r="BK165" s="281">
        <f t="shared" si="476"/>
        <v>-9.9999999999999978E-2</v>
      </c>
      <c r="BL165" s="281"/>
      <c r="BM165" s="281">
        <f t="shared" ref="BM165:DM165" si="477">-BM116</f>
        <v>-9.9999999999999978E-2</v>
      </c>
      <c r="BN165" s="281">
        <f t="shared" si="477"/>
        <v>-0.6</v>
      </c>
      <c r="BO165" s="281">
        <f t="shared" si="477"/>
        <v>0</v>
      </c>
      <c r="BP165" s="281">
        <f t="shared" si="477"/>
        <v>0</v>
      </c>
      <c r="BQ165" s="281">
        <f t="shared" si="477"/>
        <v>0</v>
      </c>
      <c r="BR165" s="281">
        <f t="shared" si="477"/>
        <v>0</v>
      </c>
      <c r="BS165" s="281">
        <f t="shared" si="477"/>
        <v>0</v>
      </c>
      <c r="BT165" s="281">
        <f t="shared" si="477"/>
        <v>0</v>
      </c>
      <c r="BU165" s="281">
        <f t="shared" si="477"/>
        <v>0</v>
      </c>
      <c r="BV165" s="281">
        <f t="shared" si="477"/>
        <v>-3.7</v>
      </c>
      <c r="BW165" s="281">
        <f t="shared" si="477"/>
        <v>-6.7</v>
      </c>
      <c r="BX165" s="281">
        <f t="shared" si="477"/>
        <v>-10.4</v>
      </c>
      <c r="BY165" s="281">
        <f t="shared" si="477"/>
        <v>0</v>
      </c>
      <c r="BZ165" s="281">
        <f t="shared" si="477"/>
        <v>0</v>
      </c>
      <c r="CA165" s="281">
        <f t="shared" si="477"/>
        <v>0</v>
      </c>
      <c r="CB165" s="281">
        <f t="shared" si="477"/>
        <v>-10.4</v>
      </c>
      <c r="CC165" s="281">
        <f t="shared" si="477"/>
        <v>0</v>
      </c>
      <c r="CD165" s="281">
        <f t="shared" si="477"/>
        <v>0</v>
      </c>
      <c r="CE165" s="281">
        <f t="shared" si="477"/>
        <v>0</v>
      </c>
      <c r="CF165" s="281">
        <f t="shared" si="477"/>
        <v>0</v>
      </c>
      <c r="CG165" s="281">
        <f t="shared" si="477"/>
        <v>0</v>
      </c>
      <c r="CH165" s="281">
        <f t="shared" si="477"/>
        <v>0</v>
      </c>
      <c r="CI165" s="281">
        <f t="shared" si="477"/>
        <v>0</v>
      </c>
      <c r="CJ165" s="281">
        <f t="shared" si="477"/>
        <v>-7.9</v>
      </c>
      <c r="CK165" s="281">
        <f t="shared" si="477"/>
        <v>0</v>
      </c>
      <c r="CL165" s="281">
        <f t="shared" si="477"/>
        <v>-7.9</v>
      </c>
      <c r="CM165" s="281">
        <f t="shared" si="477"/>
        <v>0</v>
      </c>
      <c r="CN165" s="281">
        <f t="shared" si="477"/>
        <v>0</v>
      </c>
      <c r="CO165" s="281">
        <f t="shared" si="477"/>
        <v>0</v>
      </c>
      <c r="CP165" s="282">
        <f t="shared" si="477"/>
        <v>-7.9</v>
      </c>
      <c r="CQ165" s="282">
        <f t="shared" si="477"/>
        <v>-38.4</v>
      </c>
      <c r="CR165" s="282">
        <f t="shared" si="477"/>
        <v>0</v>
      </c>
      <c r="CS165" s="282">
        <f t="shared" si="477"/>
        <v>-38.4</v>
      </c>
      <c r="CT165" s="282">
        <f t="shared" si="477"/>
        <v>0</v>
      </c>
      <c r="CU165" s="282">
        <f t="shared" si="477"/>
        <v>0</v>
      </c>
      <c r="CV165" s="282">
        <f t="shared" si="477"/>
        <v>0</v>
      </c>
      <c r="CW165" s="282">
        <f t="shared" si="477"/>
        <v>-38.4</v>
      </c>
      <c r="CX165" s="282">
        <f t="shared" si="477"/>
        <v>-4.5</v>
      </c>
      <c r="CY165" s="282">
        <f t="shared" si="477"/>
        <v>-3.5</v>
      </c>
      <c r="CZ165" s="282">
        <f t="shared" si="477"/>
        <v>-8</v>
      </c>
      <c r="DA165" s="282">
        <f t="shared" si="477"/>
        <v>0</v>
      </c>
      <c r="DB165" s="282">
        <f>-DB116</f>
        <v>0</v>
      </c>
      <c r="DC165" s="282">
        <f>-DC116</f>
        <v>0</v>
      </c>
      <c r="DD165" s="590">
        <f>-DD116</f>
        <v>-8</v>
      </c>
      <c r="DE165" s="282">
        <f>-DE116</f>
        <v>0</v>
      </c>
      <c r="DF165" s="282">
        <f>-DF116</f>
        <v>-1</v>
      </c>
      <c r="DG165" s="282">
        <f t="shared" si="477"/>
        <v>-1</v>
      </c>
      <c r="DH165" s="282">
        <f t="shared" si="477"/>
        <v>0</v>
      </c>
      <c r="DI165" s="282">
        <f t="shared" si="477"/>
        <v>-0.60000000000000009</v>
      </c>
      <c r="DJ165" s="282">
        <f t="shared" si="477"/>
        <v>-0.60000000000000009</v>
      </c>
      <c r="DK165" s="590">
        <f t="shared" si="477"/>
        <v>-1.6</v>
      </c>
      <c r="DL165" s="284">
        <f t="shared" si="477"/>
        <v>0</v>
      </c>
      <c r="DM165" s="282">
        <f t="shared" si="477"/>
        <v>0</v>
      </c>
      <c r="DN165" s="282">
        <f t="shared" ref="DN165:EM165" si="478">-DN116</f>
        <v>0</v>
      </c>
      <c r="DO165" s="282">
        <f t="shared" si="478"/>
        <v>0</v>
      </c>
      <c r="DP165" s="282">
        <f t="shared" si="478"/>
        <v>0</v>
      </c>
      <c r="DQ165" s="282">
        <f t="shared" si="478"/>
        <v>0</v>
      </c>
      <c r="DR165" s="590">
        <f t="shared" si="478"/>
        <v>0</v>
      </c>
      <c r="DS165" s="282">
        <f t="shared" si="478"/>
        <v>0</v>
      </c>
      <c r="DT165" s="282">
        <f t="shared" si="478"/>
        <v>-14.1</v>
      </c>
      <c r="DU165" s="282">
        <f t="shared" si="478"/>
        <v>-14.1</v>
      </c>
      <c r="DV165" s="282">
        <f t="shared" si="478"/>
        <v>0</v>
      </c>
      <c r="DW165" s="282">
        <f t="shared" si="478"/>
        <v>0</v>
      </c>
      <c r="DX165" s="282">
        <f t="shared" si="478"/>
        <v>0</v>
      </c>
      <c r="DY165" s="590">
        <f t="shared" si="478"/>
        <v>-14.1</v>
      </c>
      <c r="DZ165" s="282">
        <f t="shared" si="478"/>
        <v>0</v>
      </c>
      <c r="EA165" s="282">
        <f t="shared" si="478"/>
        <v>-4.0999999999999996</v>
      </c>
      <c r="EB165" s="282">
        <f t="shared" si="478"/>
        <v>-4.0999999999999996</v>
      </c>
      <c r="EC165" s="282">
        <f t="shared" si="478"/>
        <v>0</v>
      </c>
      <c r="ED165" s="282">
        <f t="shared" si="478"/>
        <v>0</v>
      </c>
      <c r="EE165" s="282">
        <f t="shared" si="478"/>
        <v>0</v>
      </c>
      <c r="EF165" s="590">
        <f t="shared" si="478"/>
        <v>-4.0999999999999996</v>
      </c>
      <c r="EG165" s="282">
        <f t="shared" si="478"/>
        <v>0</v>
      </c>
      <c r="EH165" s="282">
        <f t="shared" si="478"/>
        <v>0</v>
      </c>
      <c r="EI165" s="282">
        <f t="shared" si="478"/>
        <v>0</v>
      </c>
      <c r="EJ165" s="282">
        <f t="shared" si="478"/>
        <v>0</v>
      </c>
      <c r="EK165" s="282">
        <f t="shared" si="478"/>
        <v>-0.4</v>
      </c>
      <c r="EL165" s="282">
        <f t="shared" si="478"/>
        <v>-0.4</v>
      </c>
      <c r="EM165" s="590">
        <f t="shared" si="478"/>
        <v>-0.4</v>
      </c>
      <c r="EN165" s="282">
        <f t="shared" ref="EN165:EP165" si="479">-EN116</f>
        <v>0</v>
      </c>
      <c r="EO165" s="282">
        <f t="shared" si="479"/>
        <v>0</v>
      </c>
      <c r="EP165" s="282">
        <f t="shared" si="479"/>
        <v>0</v>
      </c>
      <c r="EQ165" s="284">
        <f t="shared" ref="EQ165" si="480">-EQ116</f>
        <v>-108.2</v>
      </c>
      <c r="ER165" s="282">
        <f t="shared" ref="ER165:FV165" si="481">-ER116</f>
        <v>0</v>
      </c>
      <c r="ES165" s="282">
        <f t="shared" si="481"/>
        <v>-108.2</v>
      </c>
      <c r="ET165" s="590">
        <f t="shared" si="481"/>
        <v>-108.2</v>
      </c>
      <c r="EU165" s="282">
        <f t="shared" si="481"/>
        <v>0</v>
      </c>
      <c r="EV165" s="282">
        <f t="shared" si="481"/>
        <v>0</v>
      </c>
      <c r="EW165" s="282">
        <f t="shared" si="481"/>
        <v>0</v>
      </c>
      <c r="EX165" s="282">
        <f t="shared" si="481"/>
        <v>0</v>
      </c>
      <c r="EY165" s="282">
        <f t="shared" si="481"/>
        <v>0</v>
      </c>
      <c r="EZ165" s="282">
        <f t="shared" si="481"/>
        <v>0</v>
      </c>
      <c r="FA165" s="590">
        <f t="shared" si="481"/>
        <v>0</v>
      </c>
      <c r="FB165" s="282">
        <f t="shared" si="481"/>
        <v>0</v>
      </c>
      <c r="FC165" s="282">
        <f t="shared" si="481"/>
        <v>0</v>
      </c>
      <c r="FD165" s="282">
        <f t="shared" si="481"/>
        <v>0</v>
      </c>
      <c r="FE165" s="282">
        <f t="shared" si="481"/>
        <v>0</v>
      </c>
      <c r="FF165" s="282">
        <f t="shared" si="481"/>
        <v>0</v>
      </c>
      <c r="FG165" s="282">
        <f t="shared" si="481"/>
        <v>0</v>
      </c>
      <c r="FH165" s="590">
        <f t="shared" si="481"/>
        <v>0</v>
      </c>
      <c r="FI165" s="282">
        <f t="shared" si="481"/>
        <v>0</v>
      </c>
      <c r="FJ165" s="282">
        <f t="shared" si="481"/>
        <v>0</v>
      </c>
      <c r="FK165" s="282">
        <f t="shared" si="481"/>
        <v>0</v>
      </c>
      <c r="FL165" s="282">
        <f t="shared" si="481"/>
        <v>0</v>
      </c>
      <c r="FM165" s="282">
        <f t="shared" si="481"/>
        <v>0</v>
      </c>
      <c r="FN165" s="282">
        <f t="shared" si="481"/>
        <v>0</v>
      </c>
      <c r="FO165" s="590">
        <f t="shared" si="481"/>
        <v>0</v>
      </c>
      <c r="FP165" s="282">
        <f t="shared" si="481"/>
        <v>0</v>
      </c>
      <c r="FQ165" s="282">
        <f t="shared" si="481"/>
        <v>0</v>
      </c>
      <c r="FR165" s="282">
        <f t="shared" si="481"/>
        <v>0</v>
      </c>
      <c r="FS165" s="282">
        <f t="shared" si="481"/>
        <v>0</v>
      </c>
      <c r="FT165" s="282">
        <f t="shared" si="481"/>
        <v>0</v>
      </c>
      <c r="FU165" s="282">
        <f t="shared" si="481"/>
        <v>0</v>
      </c>
      <c r="FV165" s="590">
        <f t="shared" si="481"/>
        <v>0</v>
      </c>
    </row>
    <row r="166" spans="1:280" outlineLevel="1" x14ac:dyDescent="0.3">
      <c r="B166" s="253" t="s">
        <v>512</v>
      </c>
      <c r="C166" s="280" t="s">
        <v>226</v>
      </c>
      <c r="D166" s="289">
        <v>0</v>
      </c>
      <c r="E166" s="289">
        <v>0</v>
      </c>
      <c r="F166" s="289">
        <v>0</v>
      </c>
      <c r="G166" s="289">
        <v>0</v>
      </c>
      <c r="H166" s="289">
        <v>0</v>
      </c>
      <c r="I166" s="289">
        <v>0</v>
      </c>
      <c r="J166" s="289">
        <v>0</v>
      </c>
      <c r="K166" s="289">
        <v>0</v>
      </c>
      <c r="L166" s="289">
        <v>0</v>
      </c>
      <c r="M166" s="289">
        <v>0</v>
      </c>
      <c r="N166" s="289">
        <v>0</v>
      </c>
      <c r="O166" s="289">
        <v>0</v>
      </c>
      <c r="P166" s="289">
        <v>0</v>
      </c>
      <c r="Q166" s="289">
        <v>0</v>
      </c>
      <c r="R166" s="289">
        <v>0</v>
      </c>
      <c r="S166" s="289">
        <v>0</v>
      </c>
      <c r="T166" s="289">
        <v>0</v>
      </c>
      <c r="U166" s="289">
        <v>0</v>
      </c>
      <c r="V166" s="289">
        <v>0</v>
      </c>
      <c r="W166" s="289">
        <v>0</v>
      </c>
      <c r="X166" s="289">
        <v>0</v>
      </c>
      <c r="Y166" s="289">
        <v>0</v>
      </c>
      <c r="Z166" s="289">
        <v>0</v>
      </c>
      <c r="AA166" s="289">
        <v>0</v>
      </c>
      <c r="AB166" s="289">
        <v>0</v>
      </c>
      <c r="AC166" s="289">
        <v>0</v>
      </c>
      <c r="AD166" s="289">
        <v>0</v>
      </c>
      <c r="AE166" s="289">
        <v>0</v>
      </c>
      <c r="AF166" s="289">
        <v>0</v>
      </c>
      <c r="AG166" s="289">
        <v>0</v>
      </c>
      <c r="AH166" s="289">
        <v>0</v>
      </c>
      <c r="AI166" s="289">
        <v>0</v>
      </c>
      <c r="AJ166" s="289">
        <v>0</v>
      </c>
      <c r="AK166" s="289">
        <v>0</v>
      </c>
      <c r="AL166" s="289">
        <v>0</v>
      </c>
      <c r="AM166" s="289">
        <v>0</v>
      </c>
      <c r="AN166" s="289">
        <v>0</v>
      </c>
      <c r="AO166" s="289">
        <v>0</v>
      </c>
      <c r="AP166" s="289">
        <v>0</v>
      </c>
      <c r="AQ166" s="289">
        <v>0</v>
      </c>
      <c r="AR166" s="289">
        <v>0</v>
      </c>
      <c r="AS166" s="289">
        <v>0</v>
      </c>
      <c r="AT166" s="289">
        <v>0</v>
      </c>
      <c r="AU166" s="289">
        <v>0</v>
      </c>
      <c r="AV166" s="289">
        <v>0</v>
      </c>
      <c r="AW166" s="289">
        <v>0</v>
      </c>
      <c r="AX166" s="289">
        <v>0</v>
      </c>
      <c r="AY166" s="289">
        <v>0</v>
      </c>
      <c r="AZ166" s="289">
        <v>0</v>
      </c>
      <c r="BA166" s="289">
        <v>0</v>
      </c>
      <c r="BB166" s="289">
        <v>0</v>
      </c>
      <c r="BC166" s="289">
        <v>0</v>
      </c>
      <c r="BD166" s="289">
        <v>0</v>
      </c>
      <c r="BE166" s="289">
        <v>0</v>
      </c>
      <c r="BF166" s="289">
        <v>0</v>
      </c>
      <c r="BG166" s="289">
        <v>0</v>
      </c>
      <c r="BH166" s="289">
        <v>0</v>
      </c>
      <c r="BI166" s="289">
        <v>0</v>
      </c>
      <c r="BJ166" s="289">
        <v>0</v>
      </c>
      <c r="BK166" s="289">
        <v>0</v>
      </c>
      <c r="BL166" s="281"/>
      <c r="BM166" s="289">
        <v>0</v>
      </c>
      <c r="BN166" s="289">
        <v>0</v>
      </c>
      <c r="BO166" s="289">
        <v>0</v>
      </c>
      <c r="BP166" s="289">
        <v>0</v>
      </c>
      <c r="BQ166" s="289">
        <v>0</v>
      </c>
      <c r="BR166" s="289">
        <v>0</v>
      </c>
      <c r="BS166" s="289">
        <v>0</v>
      </c>
      <c r="BT166" s="289">
        <v>0</v>
      </c>
      <c r="BU166" s="289">
        <v>0</v>
      </c>
      <c r="BV166" s="289">
        <v>0</v>
      </c>
      <c r="BW166" s="289">
        <v>0</v>
      </c>
      <c r="BX166" s="289">
        <v>0</v>
      </c>
      <c r="BY166" s="289">
        <v>0</v>
      </c>
      <c r="BZ166" s="289">
        <v>0</v>
      </c>
      <c r="CA166" s="289">
        <v>0</v>
      </c>
      <c r="CB166" s="289">
        <v>0</v>
      </c>
      <c r="CC166" s="289">
        <v>0</v>
      </c>
      <c r="CD166" s="289">
        <v>0</v>
      </c>
      <c r="CE166" s="289">
        <v>0</v>
      </c>
      <c r="CF166" s="289">
        <v>0</v>
      </c>
      <c r="CG166" s="289">
        <v>0</v>
      </c>
      <c r="CH166" s="289">
        <v>0</v>
      </c>
      <c r="CI166" s="289">
        <v>0</v>
      </c>
      <c r="CJ166" s="289">
        <v>0</v>
      </c>
      <c r="CK166" s="289">
        <v>0</v>
      </c>
      <c r="CL166" s="401">
        <v>0</v>
      </c>
      <c r="CM166" s="289">
        <v>0</v>
      </c>
      <c r="CN166" s="289">
        <v>0</v>
      </c>
      <c r="CO166" s="289">
        <v>0</v>
      </c>
      <c r="CP166" s="290">
        <v>0</v>
      </c>
      <c r="CQ166" s="290">
        <v>0</v>
      </c>
      <c r="CR166" s="290">
        <v>0</v>
      </c>
      <c r="CS166" s="325">
        <v>0</v>
      </c>
      <c r="CT166" s="290">
        <v>0</v>
      </c>
      <c r="CU166" s="325">
        <v>0</v>
      </c>
      <c r="CV166" s="325">
        <v>0</v>
      </c>
      <c r="CW166" s="325">
        <v>0</v>
      </c>
      <c r="CX166" s="290">
        <v>0</v>
      </c>
      <c r="CY166" s="290">
        <v>0</v>
      </c>
      <c r="CZ166" s="325">
        <v>0</v>
      </c>
      <c r="DA166" s="290">
        <v>0</v>
      </c>
      <c r="DB166" s="325">
        <v>0</v>
      </c>
      <c r="DC166" s="325">
        <v>0</v>
      </c>
      <c r="DD166" s="670">
        <v>0</v>
      </c>
      <c r="DE166" s="290">
        <v>0</v>
      </c>
      <c r="DF166" s="290">
        <v>0</v>
      </c>
      <c r="DG166" s="325">
        <v>0</v>
      </c>
      <c r="DH166" s="290">
        <v>0</v>
      </c>
      <c r="DI166" s="325">
        <v>0</v>
      </c>
      <c r="DJ166" s="325">
        <v>0</v>
      </c>
      <c r="DK166" s="670">
        <v>0</v>
      </c>
      <c r="DL166" s="292">
        <v>0</v>
      </c>
      <c r="DM166" s="290">
        <v>0</v>
      </c>
      <c r="DN166" s="325">
        <v>0</v>
      </c>
      <c r="DO166" s="290">
        <v>0</v>
      </c>
      <c r="DP166" s="325">
        <v>0</v>
      </c>
      <c r="DQ166" s="325">
        <v>0</v>
      </c>
      <c r="DR166" s="670">
        <v>0</v>
      </c>
      <c r="DS166" s="290">
        <v>0</v>
      </c>
      <c r="DT166" s="290">
        <v>0</v>
      </c>
      <c r="DU166" s="325">
        <v>0</v>
      </c>
      <c r="DV166" s="290">
        <v>0</v>
      </c>
      <c r="DW166" s="325">
        <v>0</v>
      </c>
      <c r="DX166" s="325">
        <v>0</v>
      </c>
      <c r="DY166" s="670">
        <v>0</v>
      </c>
      <c r="DZ166" s="290">
        <v>0</v>
      </c>
      <c r="EA166" s="290">
        <v>0</v>
      </c>
      <c r="EB166" s="325">
        <v>0</v>
      </c>
      <c r="EC166" s="290">
        <v>0</v>
      </c>
      <c r="ED166" s="325">
        <v>0</v>
      </c>
      <c r="EE166" s="325">
        <v>0</v>
      </c>
      <c r="EF166" s="670">
        <v>0</v>
      </c>
      <c r="EG166" s="290"/>
      <c r="EH166" s="290">
        <v>0</v>
      </c>
      <c r="EI166" s="325">
        <v>0</v>
      </c>
      <c r="EJ166" s="290">
        <v>0</v>
      </c>
      <c r="EK166" s="325">
        <v>0</v>
      </c>
      <c r="EL166" s="325">
        <v>0</v>
      </c>
      <c r="EM166" s="670">
        <v>0</v>
      </c>
      <c r="EN166" s="290"/>
      <c r="EO166" s="290">
        <v>0</v>
      </c>
      <c r="EP166" s="325">
        <v>0</v>
      </c>
      <c r="EQ166" s="292">
        <v>0</v>
      </c>
      <c r="ER166" s="325">
        <v>0</v>
      </c>
      <c r="ES166" s="325">
        <v>0</v>
      </c>
      <c r="ET166" s="603">
        <v>0</v>
      </c>
      <c r="EU166" s="325">
        <v>0</v>
      </c>
      <c r="EV166" s="325">
        <v>0</v>
      </c>
      <c r="EW166" s="325">
        <v>0</v>
      </c>
      <c r="EX166" s="325">
        <v>0</v>
      </c>
      <c r="EY166" s="325">
        <v>0</v>
      </c>
      <c r="EZ166" s="325">
        <v>0</v>
      </c>
      <c r="FA166" s="603">
        <v>0</v>
      </c>
      <c r="FB166" s="325">
        <v>0</v>
      </c>
      <c r="FC166" s="325">
        <v>0</v>
      </c>
      <c r="FD166" s="325">
        <v>0</v>
      </c>
      <c r="FE166" s="325">
        <v>0</v>
      </c>
      <c r="FF166" s="325">
        <v>0</v>
      </c>
      <c r="FG166" s="325">
        <v>0</v>
      </c>
      <c r="FH166" s="603">
        <v>0</v>
      </c>
      <c r="FI166" s="325">
        <v>0</v>
      </c>
      <c r="FJ166" s="325">
        <v>0</v>
      </c>
      <c r="FK166" s="325">
        <v>0</v>
      </c>
      <c r="FL166" s="325">
        <v>0</v>
      </c>
      <c r="FM166" s="325">
        <v>0</v>
      </c>
      <c r="FN166" s="325">
        <v>0</v>
      </c>
      <c r="FO166" s="603">
        <v>0</v>
      </c>
      <c r="FP166" s="325">
        <v>0</v>
      </c>
      <c r="FQ166" s="325">
        <v>0</v>
      </c>
      <c r="FR166" s="325">
        <v>0</v>
      </c>
      <c r="FS166" s="325">
        <v>0</v>
      </c>
      <c r="FT166" s="325">
        <v>0</v>
      </c>
      <c r="FU166" s="325">
        <v>0</v>
      </c>
      <c r="FV166" s="603">
        <v>0</v>
      </c>
    </row>
    <row r="167" spans="1:280" outlineLevel="1" x14ac:dyDescent="0.3">
      <c r="B167" s="253" t="s">
        <v>513</v>
      </c>
      <c r="C167" s="280" t="s">
        <v>226</v>
      </c>
      <c r="D167" s="281">
        <f t="shared" ref="D167:AI167" si="482">-D30</f>
        <v>-9.4</v>
      </c>
      <c r="E167" s="281">
        <f t="shared" si="482"/>
        <v>-13.099999999999998</v>
      </c>
      <c r="F167" s="281">
        <f t="shared" si="482"/>
        <v>-22.499999999999996</v>
      </c>
      <c r="G167" s="281">
        <f t="shared" si="482"/>
        <v>-11.299999999999999</v>
      </c>
      <c r="H167" s="281">
        <f t="shared" si="482"/>
        <v>-11.499999999999998</v>
      </c>
      <c r="I167" s="281">
        <f t="shared" si="482"/>
        <v>-22.799999999999997</v>
      </c>
      <c r="J167" s="281">
        <f t="shared" si="482"/>
        <v>-45.3</v>
      </c>
      <c r="K167" s="281">
        <f t="shared" si="482"/>
        <v>-11</v>
      </c>
      <c r="L167" s="281">
        <f t="shared" si="482"/>
        <v>-13.2</v>
      </c>
      <c r="M167" s="281">
        <f t="shared" si="482"/>
        <v>-24.2</v>
      </c>
      <c r="N167" s="281">
        <f t="shared" si="482"/>
        <v>-12.799999999999999</v>
      </c>
      <c r="O167" s="281">
        <f t="shared" si="482"/>
        <v>-13.6</v>
      </c>
      <c r="P167" s="281">
        <f t="shared" si="482"/>
        <v>-26.4</v>
      </c>
      <c r="Q167" s="281">
        <f t="shared" si="482"/>
        <v>-50.699999999999996</v>
      </c>
      <c r="R167" s="281">
        <f t="shared" si="482"/>
        <v>-14.2</v>
      </c>
      <c r="S167" s="281">
        <f t="shared" si="482"/>
        <v>-13.5</v>
      </c>
      <c r="T167" s="281">
        <f t="shared" si="482"/>
        <v>-27.700000000000003</v>
      </c>
      <c r="U167" s="281">
        <f t="shared" si="482"/>
        <v>-14.4</v>
      </c>
      <c r="V167" s="281">
        <f t="shared" si="482"/>
        <v>-14.4</v>
      </c>
      <c r="W167" s="281">
        <f t="shared" si="482"/>
        <v>-28.8</v>
      </c>
      <c r="X167" s="281">
        <f t="shared" si="482"/>
        <v>-56.5</v>
      </c>
      <c r="Y167" s="281">
        <f t="shared" si="482"/>
        <v>-14</v>
      </c>
      <c r="Z167" s="281">
        <f t="shared" si="482"/>
        <v>-14.6</v>
      </c>
      <c r="AA167" s="281">
        <f t="shared" si="482"/>
        <v>-28.6</v>
      </c>
      <c r="AB167" s="281">
        <f t="shared" si="482"/>
        <v>-13</v>
      </c>
      <c r="AC167" s="281">
        <f t="shared" si="482"/>
        <v>-14.799999999999999</v>
      </c>
      <c r="AD167" s="281">
        <f t="shared" si="482"/>
        <v>-27.799999999999997</v>
      </c>
      <c r="AE167" s="281">
        <f t="shared" si="482"/>
        <v>-56.4</v>
      </c>
      <c r="AF167" s="281">
        <f t="shared" si="482"/>
        <v>-15</v>
      </c>
      <c r="AG167" s="281">
        <f t="shared" si="482"/>
        <v>-14.8</v>
      </c>
      <c r="AH167" s="281">
        <f t="shared" si="482"/>
        <v>-29.800000000000004</v>
      </c>
      <c r="AI167" s="281">
        <f t="shared" si="482"/>
        <v>-15.799999999999999</v>
      </c>
      <c r="AJ167" s="281">
        <f t="shared" ref="AJ167:BK167" si="483">-AJ30</f>
        <v>-16.100000000000001</v>
      </c>
      <c r="AK167" s="281">
        <f t="shared" si="483"/>
        <v>-31.9</v>
      </c>
      <c r="AL167" s="281">
        <f t="shared" si="483"/>
        <v>-61.7</v>
      </c>
      <c r="AM167" s="281">
        <f t="shared" si="483"/>
        <v>-15.4</v>
      </c>
      <c r="AN167" s="281">
        <f t="shared" si="483"/>
        <v>-15.6</v>
      </c>
      <c r="AO167" s="281">
        <f t="shared" si="483"/>
        <v>-31</v>
      </c>
      <c r="AP167" s="281">
        <f t="shared" si="483"/>
        <v>-15.899999999999999</v>
      </c>
      <c r="AQ167" s="281">
        <f t="shared" si="483"/>
        <v>-16</v>
      </c>
      <c r="AR167" s="281">
        <f t="shared" si="483"/>
        <v>-31.9</v>
      </c>
      <c r="AS167" s="281">
        <f t="shared" si="483"/>
        <v>-62.9</v>
      </c>
      <c r="AT167" s="281">
        <f t="shared" si="483"/>
        <v>-16.2</v>
      </c>
      <c r="AU167" s="281">
        <f t="shared" si="483"/>
        <v>-14.6</v>
      </c>
      <c r="AV167" s="281">
        <f t="shared" si="483"/>
        <v>-30.799999999999997</v>
      </c>
      <c r="AW167" s="281">
        <f t="shared" si="483"/>
        <v>-17</v>
      </c>
      <c r="AX167" s="281">
        <f t="shared" si="483"/>
        <v>-17.399999999999999</v>
      </c>
      <c r="AY167" s="281">
        <f t="shared" si="483"/>
        <v>-34.400000000000006</v>
      </c>
      <c r="AZ167" s="281">
        <f t="shared" si="483"/>
        <v>-65.2</v>
      </c>
      <c r="BA167" s="281">
        <f t="shared" si="483"/>
        <v>-15.4</v>
      </c>
      <c r="BB167" s="281">
        <f t="shared" si="483"/>
        <v>-15.3</v>
      </c>
      <c r="BC167" s="281">
        <f t="shared" si="483"/>
        <v>-30.7</v>
      </c>
      <c r="BD167" s="281">
        <f t="shared" si="483"/>
        <v>-17.3</v>
      </c>
      <c r="BE167" s="281">
        <f t="shared" si="483"/>
        <v>-13.200000000000001</v>
      </c>
      <c r="BF167" s="281">
        <f t="shared" si="483"/>
        <v>-30.5</v>
      </c>
      <c r="BG167" s="281">
        <f t="shared" si="483"/>
        <v>-61.2</v>
      </c>
      <c r="BH167" s="281">
        <f t="shared" si="483"/>
        <v>-15.4</v>
      </c>
      <c r="BI167" s="281">
        <f t="shared" si="483"/>
        <v>-15.200000000000001</v>
      </c>
      <c r="BJ167" s="281">
        <f t="shared" si="483"/>
        <v>-30.6</v>
      </c>
      <c r="BK167" s="281">
        <f t="shared" si="483"/>
        <v>-15.6</v>
      </c>
      <c r="BL167" s="281"/>
      <c r="BM167" s="281">
        <f t="shared" ref="BM167:CR167" si="484">-BM30</f>
        <v>-30.8</v>
      </c>
      <c r="BN167" s="281">
        <f t="shared" si="484"/>
        <v>-61.400000000000006</v>
      </c>
      <c r="BO167" s="281">
        <f t="shared" si="484"/>
        <v>-16.600000000000001</v>
      </c>
      <c r="BP167" s="281">
        <f t="shared" si="484"/>
        <v>-17.5</v>
      </c>
      <c r="BQ167" s="281">
        <f t="shared" si="484"/>
        <v>-34.1</v>
      </c>
      <c r="BR167" s="281">
        <f t="shared" si="484"/>
        <v>-17.899999999999999</v>
      </c>
      <c r="BS167" s="281">
        <f t="shared" si="484"/>
        <v>-18.899999999999999</v>
      </c>
      <c r="BT167" s="281">
        <f t="shared" si="484"/>
        <v>-36.799999999999997</v>
      </c>
      <c r="BU167" s="281">
        <f t="shared" si="484"/>
        <v>-70.900000000000006</v>
      </c>
      <c r="BV167" s="281">
        <f t="shared" si="484"/>
        <v>-18.2</v>
      </c>
      <c r="BW167" s="281">
        <f t="shared" si="484"/>
        <v>-17.599999999999998</v>
      </c>
      <c r="BX167" s="281">
        <f t="shared" si="484"/>
        <v>-35.800000000000004</v>
      </c>
      <c r="BY167" s="281">
        <f t="shared" si="484"/>
        <v>-19.299999999999997</v>
      </c>
      <c r="BZ167" s="281">
        <f t="shared" si="484"/>
        <v>-26.900000000000006</v>
      </c>
      <c r="CA167" s="281">
        <f t="shared" si="484"/>
        <v>-46.2</v>
      </c>
      <c r="CB167" s="281">
        <f t="shared" si="484"/>
        <v>-82</v>
      </c>
      <c r="CC167" s="281">
        <f t="shared" si="484"/>
        <v>-19.5</v>
      </c>
      <c r="CD167" s="281">
        <f t="shared" si="484"/>
        <v>-20.3</v>
      </c>
      <c r="CE167" s="281">
        <f t="shared" si="484"/>
        <v>-39.800000000000004</v>
      </c>
      <c r="CF167" s="281">
        <f t="shared" si="484"/>
        <v>-22.6</v>
      </c>
      <c r="CG167" s="281">
        <f t="shared" si="484"/>
        <v>-20.7</v>
      </c>
      <c r="CH167" s="281">
        <f t="shared" si="484"/>
        <v>-43.3</v>
      </c>
      <c r="CI167" s="281">
        <f t="shared" si="484"/>
        <v>-83.1</v>
      </c>
      <c r="CJ167" s="281">
        <f t="shared" si="484"/>
        <v>-21.800000000000004</v>
      </c>
      <c r="CK167" s="281">
        <f t="shared" si="484"/>
        <v>-23.4</v>
      </c>
      <c r="CL167" s="281">
        <f t="shared" si="484"/>
        <v>-45.199999999999996</v>
      </c>
      <c r="CM167" s="281">
        <f t="shared" si="484"/>
        <v>-23.400000000000002</v>
      </c>
      <c r="CN167" s="281">
        <f t="shared" si="484"/>
        <v>-23.4</v>
      </c>
      <c r="CO167" s="281">
        <f t="shared" si="484"/>
        <v>-46.800000000000004</v>
      </c>
      <c r="CP167" s="282">
        <f t="shared" si="484"/>
        <v>-92</v>
      </c>
      <c r="CQ167" s="282">
        <f t="shared" si="484"/>
        <v>-27.3</v>
      </c>
      <c r="CR167" s="282">
        <f t="shared" si="484"/>
        <v>-30.8</v>
      </c>
      <c r="CS167" s="282">
        <f t="shared" ref="CS167:DX167" si="485">-CS30</f>
        <v>-58.1</v>
      </c>
      <c r="CT167" s="282">
        <f t="shared" si="485"/>
        <v>-29.799999999999997</v>
      </c>
      <c r="CU167" s="282">
        <f t="shared" si="485"/>
        <v>-30.7</v>
      </c>
      <c r="CV167" s="282">
        <f t="shared" si="485"/>
        <v>-60.5</v>
      </c>
      <c r="CW167" s="282">
        <f t="shared" si="485"/>
        <v>-118.6</v>
      </c>
      <c r="CX167" s="282">
        <f t="shared" si="485"/>
        <v>-31.599999999999998</v>
      </c>
      <c r="CY167" s="282">
        <f t="shared" si="485"/>
        <v>-32</v>
      </c>
      <c r="CZ167" s="282">
        <f t="shared" si="485"/>
        <v>-63.6</v>
      </c>
      <c r="DA167" s="282">
        <f t="shared" si="485"/>
        <v>-30.2</v>
      </c>
      <c r="DB167" s="282">
        <f t="shared" si="485"/>
        <v>-32</v>
      </c>
      <c r="DC167" s="282">
        <f t="shared" si="485"/>
        <v>-62.2</v>
      </c>
      <c r="DD167" s="590">
        <f t="shared" si="485"/>
        <v>-125.80000000000001</v>
      </c>
      <c r="DE167" s="282">
        <f t="shared" si="485"/>
        <v>-31.200000000000003</v>
      </c>
      <c r="DF167" s="282">
        <f t="shared" si="485"/>
        <v>-31.9</v>
      </c>
      <c r="DG167" s="282">
        <f t="shared" si="485"/>
        <v>-63.1</v>
      </c>
      <c r="DH167" s="282">
        <f t="shared" si="485"/>
        <v>-34</v>
      </c>
      <c r="DI167" s="282">
        <f t="shared" si="485"/>
        <v>-37.9</v>
      </c>
      <c r="DJ167" s="282">
        <f t="shared" si="485"/>
        <v>-71.900000000000006</v>
      </c>
      <c r="DK167" s="590">
        <f t="shared" si="485"/>
        <v>-135</v>
      </c>
      <c r="DL167" s="284">
        <f t="shared" si="485"/>
        <v>-38.4</v>
      </c>
      <c r="DM167" s="282">
        <f t="shared" si="485"/>
        <v>-39.9</v>
      </c>
      <c r="DN167" s="282">
        <f t="shared" si="485"/>
        <v>-78.3</v>
      </c>
      <c r="DO167" s="282">
        <f t="shared" si="485"/>
        <v>-41.199999999999996</v>
      </c>
      <c r="DP167" s="282">
        <f t="shared" si="485"/>
        <v>-42.300000000000011</v>
      </c>
      <c r="DQ167" s="282">
        <f t="shared" si="485"/>
        <v>-83.500000000000014</v>
      </c>
      <c r="DR167" s="590">
        <f t="shared" si="485"/>
        <v>-161.80000000000001</v>
      </c>
      <c r="DS167" s="282">
        <f t="shared" si="485"/>
        <v>-40.5</v>
      </c>
      <c r="DT167" s="282">
        <f t="shared" si="485"/>
        <v>-42.6</v>
      </c>
      <c r="DU167" s="282">
        <f t="shared" si="485"/>
        <v>-83.100000000000009</v>
      </c>
      <c r="DV167" s="282">
        <f t="shared" si="485"/>
        <v>-43.5</v>
      </c>
      <c r="DW167" s="282">
        <f t="shared" si="485"/>
        <v>-45.999999999999993</v>
      </c>
      <c r="DX167" s="282">
        <f t="shared" si="485"/>
        <v>-89.5</v>
      </c>
      <c r="DY167" s="590">
        <f t="shared" ref="DY167:FD167" si="486">-DY30</f>
        <v>-172.6</v>
      </c>
      <c r="DZ167" s="282">
        <f t="shared" si="486"/>
        <v>-44.900000000000006</v>
      </c>
      <c r="EA167" s="282">
        <f t="shared" si="486"/>
        <v>-45.5</v>
      </c>
      <c r="EB167" s="282">
        <f t="shared" si="486"/>
        <v>-90.399999999999991</v>
      </c>
      <c r="EC167" s="282">
        <f t="shared" si="486"/>
        <v>-46.300000000000004</v>
      </c>
      <c r="ED167" s="282">
        <f t="shared" si="486"/>
        <v>-47.600000000000023</v>
      </c>
      <c r="EE167" s="282">
        <f t="shared" si="486"/>
        <v>-93.90000000000002</v>
      </c>
      <c r="EF167" s="590">
        <f t="shared" si="486"/>
        <v>-184.3</v>
      </c>
      <c r="EG167" s="282">
        <f t="shared" si="486"/>
        <v>-49.8</v>
      </c>
      <c r="EH167" s="282">
        <f t="shared" si="486"/>
        <v>-51.900000000000006</v>
      </c>
      <c r="EI167" s="282">
        <f t="shared" si="486"/>
        <v>-101.7</v>
      </c>
      <c r="EJ167" s="282">
        <f t="shared" si="486"/>
        <v>-55.100000000000009</v>
      </c>
      <c r="EK167" s="282">
        <f t="shared" si="486"/>
        <v>-59.40000000000002</v>
      </c>
      <c r="EL167" s="282">
        <f t="shared" si="486"/>
        <v>-114.50000000000001</v>
      </c>
      <c r="EM167" s="590">
        <f t="shared" si="486"/>
        <v>-216.20000000000005</v>
      </c>
      <c r="EN167" s="282">
        <f t="shared" ref="EN167:EP167" si="487">-EN30</f>
        <v>-56.5</v>
      </c>
      <c r="EO167" s="282">
        <f t="shared" si="487"/>
        <v>-77.7</v>
      </c>
      <c r="EP167" s="282">
        <f t="shared" si="487"/>
        <v>-134.19999999999999</v>
      </c>
      <c r="EQ167" s="284">
        <f t="shared" ref="EQ167" si="488">-EQ30</f>
        <v>-89.999999999999972</v>
      </c>
      <c r="ER167" s="282">
        <f t="shared" si="486"/>
        <v>-95.268000000000043</v>
      </c>
      <c r="ES167" s="282">
        <f t="shared" si="486"/>
        <v>-185.268</v>
      </c>
      <c r="ET167" s="590">
        <f t="shared" si="486"/>
        <v>-319.46799999999996</v>
      </c>
      <c r="EU167" s="282">
        <f t="shared" si="486"/>
        <v>-83.578679999999991</v>
      </c>
      <c r="EV167" s="282">
        <f t="shared" si="486"/>
        <v>-99.78877039999999</v>
      </c>
      <c r="EW167" s="282">
        <f t="shared" si="486"/>
        <v>-183.3674504</v>
      </c>
      <c r="EX167" s="282">
        <f t="shared" si="486"/>
        <v>-92.563958511999999</v>
      </c>
      <c r="EY167" s="282">
        <f t="shared" si="486"/>
        <v>-90.363902267360004</v>
      </c>
      <c r="EZ167" s="282">
        <f t="shared" si="486"/>
        <v>-182.92786077936</v>
      </c>
      <c r="FA167" s="590">
        <f t="shared" si="486"/>
        <v>-366.29531117936</v>
      </c>
      <c r="FB167" s="282">
        <f t="shared" si="486"/>
        <v>-85.332330399999989</v>
      </c>
      <c r="FC167" s="282">
        <f t="shared" si="486"/>
        <v>-101.805446012</v>
      </c>
      <c r="FD167" s="282">
        <f t="shared" si="486"/>
        <v>-187.13777641199997</v>
      </c>
      <c r="FE167" s="282">
        <f t="shared" ref="FE167:FV167" si="489">-FE30</f>
        <v>-94.992764767359972</v>
      </c>
      <c r="FF167" s="282">
        <f t="shared" si="489"/>
        <v>-92.741879585380815</v>
      </c>
      <c r="FG167" s="282">
        <f t="shared" si="489"/>
        <v>-187.73464435274079</v>
      </c>
      <c r="FH167" s="590">
        <f t="shared" si="489"/>
        <v>-374.87242076474081</v>
      </c>
      <c r="FI167" s="282">
        <f t="shared" si="489"/>
        <v>-87.127116911999991</v>
      </c>
      <c r="FJ167" s="282">
        <f t="shared" si="489"/>
        <v>-103.86775895485999</v>
      </c>
      <c r="FK167" s="282">
        <f t="shared" si="489"/>
        <v>-190.99487586686001</v>
      </c>
      <c r="FL167" s="282">
        <f t="shared" si="489"/>
        <v>-97.486463647880782</v>
      </c>
      <c r="FM167" s="282">
        <f t="shared" si="489"/>
        <v>-95.183603979192227</v>
      </c>
      <c r="FN167" s="282">
        <f t="shared" si="489"/>
        <v>-192.67006762707302</v>
      </c>
      <c r="FO167" s="590">
        <f t="shared" si="489"/>
        <v>-383.66494349393304</v>
      </c>
      <c r="FP167" s="282">
        <f t="shared" si="489"/>
        <v>-88.96408635585999</v>
      </c>
      <c r="FQ167" s="282">
        <f t="shared" si="489"/>
        <v>-105.97683923256828</v>
      </c>
      <c r="FR167" s="282">
        <f t="shared" si="489"/>
        <v>-194.94092558842826</v>
      </c>
      <c r="FS167" s="282">
        <f t="shared" si="489"/>
        <v>-100.04680264325469</v>
      </c>
      <c r="FT167" s="282">
        <f t="shared" si="489"/>
        <v>-97.690798054974238</v>
      </c>
      <c r="FU167" s="282">
        <f t="shared" si="489"/>
        <v>-197.73760069822893</v>
      </c>
      <c r="FV167" s="590">
        <f t="shared" si="489"/>
        <v>-392.67852628665719</v>
      </c>
    </row>
    <row r="168" spans="1:280" outlineLevel="1" x14ac:dyDescent="0.3">
      <c r="B168" s="253" t="s">
        <v>514</v>
      </c>
      <c r="C168" s="280" t="s">
        <v>226</v>
      </c>
      <c r="D168" s="250">
        <f>D184</f>
        <v>700.6</v>
      </c>
      <c r="E168" s="250">
        <f>D168+SUM(E164:E167)</f>
        <v>725.6</v>
      </c>
      <c r="F168" s="250">
        <f>D168+SUM(F164:F167)</f>
        <v>750.2</v>
      </c>
      <c r="G168" s="250">
        <f>F168+SUM(G164:G167)</f>
        <v>787.7</v>
      </c>
      <c r="H168" s="250">
        <f>G168+SUM(H164:H167)</f>
        <v>809.30000000000007</v>
      </c>
      <c r="I168" s="250">
        <f>F168+SUM(I164:I167)</f>
        <v>809.30000000000007</v>
      </c>
      <c r="J168" s="250">
        <f>J184</f>
        <v>775.6</v>
      </c>
      <c r="K168" s="250">
        <f>K184</f>
        <v>801.8</v>
      </c>
      <c r="L168" s="250">
        <f>K168+SUM(L164:L167)</f>
        <v>814.5</v>
      </c>
      <c r="M168" s="250">
        <f>J168+SUM(M164:M167)</f>
        <v>812.80000000000007</v>
      </c>
      <c r="N168" s="250">
        <f>M168+SUM(N164:N167)</f>
        <v>818.00000000000011</v>
      </c>
      <c r="O168" s="250">
        <f>N168+SUM(O164:O167)</f>
        <v>817.60000000000014</v>
      </c>
      <c r="P168" s="250">
        <f>M168+SUM(P164:P167)</f>
        <v>817.6</v>
      </c>
      <c r="Q168" s="250">
        <f>Q184</f>
        <v>827.7</v>
      </c>
      <c r="R168" s="250">
        <f>R184</f>
        <v>839.6</v>
      </c>
      <c r="S168" s="250">
        <f>R168+SUM(S164:S167)</f>
        <v>833.80000000000007</v>
      </c>
      <c r="T168" s="250">
        <f>Q168+SUM(T164:T167)</f>
        <v>824.2</v>
      </c>
      <c r="U168" s="250">
        <f>T168+SUM(U164:U167)</f>
        <v>814.30000000000007</v>
      </c>
      <c r="V168" s="250">
        <f>U168+SUM(V164:V167)</f>
        <v>809.7</v>
      </c>
      <c r="W168" s="250">
        <f>T168+SUM(W164:W167)</f>
        <v>809.7</v>
      </c>
      <c r="X168" s="250">
        <f>X184</f>
        <v>756.4</v>
      </c>
      <c r="Y168" s="250">
        <f>Y184</f>
        <v>748.2</v>
      </c>
      <c r="Z168" s="250">
        <f>Y168+SUM(Z164:Z167)</f>
        <v>739.2</v>
      </c>
      <c r="AA168" s="250">
        <f>X168+SUM(AA164:AA167)</f>
        <v>737.19999999999993</v>
      </c>
      <c r="AB168" s="250">
        <f>AA168+SUM(AB164:AB167)</f>
        <v>731.59999999999991</v>
      </c>
      <c r="AC168" s="250">
        <f>AB168+SUM(AC164:AC167)</f>
        <v>726.09999999999991</v>
      </c>
      <c r="AD168" s="250">
        <f>AA168+SUM(AD164:AD167)</f>
        <v>726.09999999999991</v>
      </c>
      <c r="AE168" s="250">
        <f>AE184</f>
        <v>700.8</v>
      </c>
      <c r="AF168" s="250">
        <f>AF184</f>
        <v>706.6</v>
      </c>
      <c r="AG168" s="250">
        <f>AF168+SUM(AG164:AG167)</f>
        <v>703</v>
      </c>
      <c r="AH168" s="250">
        <f>AE168+SUM(AH164:AH167)</f>
        <v>691.9</v>
      </c>
      <c r="AI168" s="250">
        <f>AH168+SUM(AI164:AI167)</f>
        <v>690.4</v>
      </c>
      <c r="AJ168" s="250">
        <f>AI168+SUM(AJ164:AJ167)</f>
        <v>689.6</v>
      </c>
      <c r="AK168" s="250">
        <f>AH168+SUM(AK164:AK167)</f>
        <v>689.6</v>
      </c>
      <c r="AL168" s="250">
        <f>AL184</f>
        <v>710.6</v>
      </c>
      <c r="AM168" s="281">
        <f>AL168+SUM(AM164:AM167)</f>
        <v>708.5</v>
      </c>
      <c r="AN168" s="281">
        <f>AM168+SUM(AN164:AN167)</f>
        <v>703.8</v>
      </c>
      <c r="AO168" s="281">
        <f>AL168+SUM(AO164:AO167)</f>
        <v>703.80000000000007</v>
      </c>
      <c r="AP168" s="281">
        <f>AO168+SUM(AP164:AP167)</f>
        <v>700.50000000000011</v>
      </c>
      <c r="AQ168" s="250">
        <f>AP168+SUM(AQ164:AQ167)</f>
        <v>697.40000000000009</v>
      </c>
      <c r="AR168" s="250">
        <f>AO168+SUM(AR164:AR167)</f>
        <v>697.30000000000007</v>
      </c>
      <c r="AS168" s="250">
        <f>AS184</f>
        <v>707.7</v>
      </c>
      <c r="AT168" s="281">
        <f>AS168+SUM(AT164:AT167)</f>
        <v>703.5</v>
      </c>
      <c r="AU168" s="281">
        <f>AT168+SUM(AU164:AU167)</f>
        <v>695.1</v>
      </c>
      <c r="AV168" s="281">
        <f>AS168+SUM(AV164:AV167)</f>
        <v>695.1</v>
      </c>
      <c r="AW168" s="281">
        <f>AV168+SUM(AW164:AW167)</f>
        <v>685.2</v>
      </c>
      <c r="AX168" s="281">
        <f>AW168+SUM(AX164:AX167)</f>
        <v>678</v>
      </c>
      <c r="AY168" s="281">
        <f>AV168+SUM(AY164:AY167)</f>
        <v>678</v>
      </c>
      <c r="AZ168" s="281">
        <f>AS168+SUM(AZ164:AZ167)</f>
        <v>678</v>
      </c>
      <c r="BA168" s="281">
        <f>AZ168+SUM(BA164:BA167)</f>
        <v>677.8</v>
      </c>
      <c r="BB168" s="281">
        <f>BA168+SUM(BB164:BB167)</f>
        <v>672.69999999999993</v>
      </c>
      <c r="BC168" s="281">
        <f>AZ168+SUM(BC164:BC167)</f>
        <v>672.7</v>
      </c>
      <c r="BD168" s="281">
        <f>BC168+SUM(BD164:BD167)</f>
        <v>671.30000000000007</v>
      </c>
      <c r="BE168" s="281">
        <f>BD168+SUM(BE164:BE167)</f>
        <v>676.50000000000011</v>
      </c>
      <c r="BF168" s="281">
        <f>BC168+SUM(BF164:BF167)</f>
        <v>676.5</v>
      </c>
      <c r="BG168" s="281">
        <f>AZ168+SUM(BG164:BG167)</f>
        <v>676.5</v>
      </c>
      <c r="BH168" s="281">
        <f>BG168+SUM(BH164:BH167)</f>
        <v>686.8</v>
      </c>
      <c r="BI168" s="281">
        <f>BH168+SUM(BI164:BI167)</f>
        <v>689.9</v>
      </c>
      <c r="BJ168" s="281">
        <f>BG168+SUM(BJ164:BJ167)</f>
        <v>689.9</v>
      </c>
      <c r="BK168" s="281">
        <f>BJ168+SUM(BK164:BK167)</f>
        <v>702.3</v>
      </c>
      <c r="BL168" s="281"/>
      <c r="BM168" s="281">
        <f>BJ168+SUM(BM164:BM167)</f>
        <v>687.1</v>
      </c>
      <c r="BN168" s="281">
        <f>BG168+SUM(BN164:BN167)</f>
        <v>687.1</v>
      </c>
      <c r="BO168" s="281">
        <f>BN168+SUM(BO164:BO167)</f>
        <v>719.1</v>
      </c>
      <c r="BP168" s="281">
        <f>BO168+SUM(BP164:BP167)</f>
        <v>812.5</v>
      </c>
      <c r="BQ168" s="281">
        <f>BN168+SUM(BQ164:BQ167)</f>
        <v>812.5</v>
      </c>
      <c r="BR168" s="281">
        <f>BQ168+SUM(BR164:BR167)</f>
        <v>875.5</v>
      </c>
      <c r="BS168" s="281">
        <f>BR168+SUM(BS164:BS167)</f>
        <v>892.4</v>
      </c>
      <c r="BT168" s="281">
        <f>BQ168+SUM(BT164:BT167)</f>
        <v>892.4</v>
      </c>
      <c r="BU168" s="281">
        <f>BN168+SUM(BU164:BU167)</f>
        <v>892.40000000000009</v>
      </c>
      <c r="BV168" s="281">
        <f>BU168+SUM(BV164:BV167)</f>
        <v>890.00000000000011</v>
      </c>
      <c r="BW168" s="281">
        <f>BV168+SUM(BW164:BW167)</f>
        <v>889.10000000000014</v>
      </c>
      <c r="BX168" s="281">
        <f>BU168+SUM(BX164:BX167)</f>
        <v>889.10000000000014</v>
      </c>
      <c r="BY168" s="281">
        <f>BX168+SUM(BY164:BY167)</f>
        <v>879.50000000000011</v>
      </c>
      <c r="BZ168" s="281">
        <f>BY168+SUM(BZ164:BZ167)</f>
        <v>873.80000000000007</v>
      </c>
      <c r="CA168" s="281">
        <f>BX168+SUM(CA164:CA167)</f>
        <v>873.80000000000018</v>
      </c>
      <c r="CB168" s="281">
        <f>BU168+SUM(CB164:CB167)</f>
        <v>873.80000000000007</v>
      </c>
      <c r="CC168" s="281">
        <f t="shared" ref="CC168:CK168" si="490">CC184</f>
        <v>856</v>
      </c>
      <c r="CD168" s="281">
        <f t="shared" si="490"/>
        <v>852.9</v>
      </c>
      <c r="CE168" s="281">
        <f t="shared" si="490"/>
        <v>852.9</v>
      </c>
      <c r="CF168" s="281">
        <f t="shared" si="490"/>
        <v>839.9</v>
      </c>
      <c r="CG168" s="281">
        <f t="shared" si="490"/>
        <v>879</v>
      </c>
      <c r="CH168" s="281">
        <f t="shared" si="490"/>
        <v>879</v>
      </c>
      <c r="CI168" s="281">
        <f t="shared" si="490"/>
        <v>879</v>
      </c>
      <c r="CJ168" s="281">
        <f t="shared" si="490"/>
        <v>901.9</v>
      </c>
      <c r="CK168" s="281">
        <f t="shared" si="490"/>
        <v>922.1</v>
      </c>
      <c r="CL168" s="281">
        <f>CK168</f>
        <v>922.1</v>
      </c>
      <c r="CM168" s="281">
        <f t="shared" ref="CM168:CR168" si="491">CM184</f>
        <v>960.2</v>
      </c>
      <c r="CN168" s="281">
        <f t="shared" si="491"/>
        <v>992.1</v>
      </c>
      <c r="CO168" s="281">
        <f t="shared" si="491"/>
        <v>992.1</v>
      </c>
      <c r="CP168" s="282">
        <f t="shared" si="491"/>
        <v>992.1</v>
      </c>
      <c r="CQ168" s="282">
        <f t="shared" si="491"/>
        <v>1258.4000000000001</v>
      </c>
      <c r="CR168" s="282">
        <f t="shared" si="491"/>
        <v>1292.5999999999999</v>
      </c>
      <c r="CS168" s="282">
        <f>CR168</f>
        <v>1292.5999999999999</v>
      </c>
      <c r="CT168" s="282">
        <f t="shared" ref="CT168:CY168" si="492">CT184</f>
        <v>1338.6</v>
      </c>
      <c r="CU168" s="282">
        <f t="shared" si="492"/>
        <v>1388.4</v>
      </c>
      <c r="CV168" s="282">
        <f t="shared" si="492"/>
        <v>1388.4</v>
      </c>
      <c r="CW168" s="282">
        <f t="shared" si="492"/>
        <v>1388.4</v>
      </c>
      <c r="CX168" s="282">
        <f t="shared" si="492"/>
        <v>1417.2</v>
      </c>
      <c r="CY168" s="282">
        <f t="shared" si="492"/>
        <v>1415.7</v>
      </c>
      <c r="CZ168" s="282">
        <f>CY168</f>
        <v>1415.7</v>
      </c>
      <c r="DA168" s="282">
        <f t="shared" ref="DA168:DF168" si="493">DA184</f>
        <v>1431.7</v>
      </c>
      <c r="DB168" s="282">
        <f t="shared" si="493"/>
        <v>1383.9</v>
      </c>
      <c r="DC168" s="282">
        <f t="shared" si="493"/>
        <v>1383.9</v>
      </c>
      <c r="DD168" s="590">
        <f t="shared" si="493"/>
        <v>1383.9</v>
      </c>
      <c r="DE168" s="282">
        <f t="shared" si="493"/>
        <v>1355.4</v>
      </c>
      <c r="DF168" s="282">
        <f t="shared" si="493"/>
        <v>1360.1</v>
      </c>
      <c r="DG168" s="282">
        <f>DF168</f>
        <v>1360.1</v>
      </c>
      <c r="DH168" s="282">
        <f t="shared" ref="DH168:DM168" si="494">DH184</f>
        <v>1381.2</v>
      </c>
      <c r="DI168" s="282">
        <f t="shared" si="494"/>
        <v>1372.3</v>
      </c>
      <c r="DJ168" s="282">
        <f t="shared" si="494"/>
        <v>1372.3</v>
      </c>
      <c r="DK168" s="590">
        <f t="shared" si="494"/>
        <v>1372.3</v>
      </c>
      <c r="DL168" s="284">
        <f t="shared" si="494"/>
        <v>1373.2</v>
      </c>
      <c r="DM168" s="282">
        <f t="shared" si="494"/>
        <v>1385.8</v>
      </c>
      <c r="DN168" s="282">
        <f>DM168</f>
        <v>1385.8</v>
      </c>
      <c r="DO168" s="282">
        <f t="shared" ref="DO168:DT168" si="495">DO184</f>
        <v>1419.1</v>
      </c>
      <c r="DP168" s="282">
        <f t="shared" si="495"/>
        <v>1457</v>
      </c>
      <c r="DQ168" s="282">
        <f t="shared" si="495"/>
        <v>1457</v>
      </c>
      <c r="DR168" s="590">
        <f t="shared" si="495"/>
        <v>1457</v>
      </c>
      <c r="DS168" s="282">
        <f t="shared" si="495"/>
        <v>1564.7</v>
      </c>
      <c r="DT168" s="282">
        <f t="shared" si="495"/>
        <v>1620</v>
      </c>
      <c r="DU168" s="282">
        <f>DT168</f>
        <v>1620</v>
      </c>
      <c r="DV168" s="282">
        <f t="shared" ref="DV168:EA168" si="496">DV184</f>
        <v>1744.2</v>
      </c>
      <c r="DW168" s="282">
        <f t="shared" si="496"/>
        <v>1839.6</v>
      </c>
      <c r="DX168" s="282">
        <f t="shared" si="496"/>
        <v>1839.6</v>
      </c>
      <c r="DY168" s="590">
        <f t="shared" si="496"/>
        <v>1839.6</v>
      </c>
      <c r="DZ168" s="282">
        <f t="shared" si="496"/>
        <v>1898.9</v>
      </c>
      <c r="EA168" s="282">
        <f t="shared" si="496"/>
        <v>1861.7</v>
      </c>
      <c r="EB168" s="282">
        <f>EA168</f>
        <v>1861.7</v>
      </c>
      <c r="EC168" s="282">
        <f t="shared" ref="EC168:EH168" si="497">EC184</f>
        <v>1950.8</v>
      </c>
      <c r="ED168" s="282">
        <f t="shared" si="497"/>
        <v>2037.8</v>
      </c>
      <c r="EE168" s="282">
        <f t="shared" si="497"/>
        <v>2037.8</v>
      </c>
      <c r="EF168" s="590">
        <f t="shared" si="497"/>
        <v>2037.8</v>
      </c>
      <c r="EG168" s="282">
        <f t="shared" si="497"/>
        <v>2077.8000000000002</v>
      </c>
      <c r="EH168" s="282">
        <f t="shared" si="497"/>
        <v>2117</v>
      </c>
      <c r="EI168" s="282">
        <f>EH168</f>
        <v>2117</v>
      </c>
      <c r="EJ168" s="282">
        <f>EJ184</f>
        <v>2108.3000000000002</v>
      </c>
      <c r="EK168" s="282">
        <f>EK184</f>
        <v>2169</v>
      </c>
      <c r="EL168" s="282">
        <f>EL184</f>
        <v>2169</v>
      </c>
      <c r="EM168" s="590">
        <f>EM184</f>
        <v>2169</v>
      </c>
      <c r="EN168" s="282">
        <f t="shared" ref="EN168:EO168" si="498">EN184</f>
        <v>2230.1</v>
      </c>
      <c r="EO168" s="282">
        <f t="shared" si="498"/>
        <v>3047.9</v>
      </c>
      <c r="EP168" s="282">
        <f>EO168</f>
        <v>3047.9</v>
      </c>
      <c r="EQ168" s="284">
        <f t="shared" ref="EQ168" si="499">EQ184</f>
        <v>3095.4</v>
      </c>
      <c r="ER168" s="282">
        <f>EQ168+SUM(ER164:ER167)</f>
        <v>3072.0562</v>
      </c>
      <c r="ES168" s="282">
        <f>ER168</f>
        <v>3072.0562</v>
      </c>
      <c r="ET168" s="590">
        <f>ES168</f>
        <v>3072.0562</v>
      </c>
      <c r="EU168" s="282">
        <f>ET168+SUM(EU164:EU167)</f>
        <v>3090.3404639999999</v>
      </c>
      <c r="EV168" s="282">
        <f>EU168+SUM(EV164:EV167)</f>
        <v>3105.3827099199998</v>
      </c>
      <c r="EW168" s="282">
        <f>EV168</f>
        <v>3105.3827099199998</v>
      </c>
      <c r="EX168" s="282">
        <f>EW168+SUM(EX164:EX167)</f>
        <v>3121.8699182175997</v>
      </c>
      <c r="EY168" s="282">
        <f>EX168+SUM(EY164:EY167)</f>
        <v>3138.7971377641275</v>
      </c>
      <c r="EZ168" s="282">
        <f>EY168</f>
        <v>3138.7971377641275</v>
      </c>
      <c r="FA168" s="590">
        <f>EZ168</f>
        <v>3138.7971377641275</v>
      </c>
      <c r="FB168" s="282">
        <f>FA168+SUM(FB164:FB167)</f>
        <v>3154.7306716841276</v>
      </c>
      <c r="FC168" s="282">
        <f>FB168+SUM(FC164:FC167)</f>
        <v>3167.3695824817278</v>
      </c>
      <c r="FD168" s="282">
        <f>FC168</f>
        <v>3167.3695824817278</v>
      </c>
      <c r="FE168" s="282">
        <f>FD168+SUM(FE164:FE167)</f>
        <v>3181.3710295282558</v>
      </c>
      <c r="FF168" s="282">
        <f>FE168+SUM(FF164:FF167)</f>
        <v>3195.8226536111797</v>
      </c>
      <c r="FG168" s="282">
        <f>FF168</f>
        <v>3195.8226536111797</v>
      </c>
      <c r="FH168" s="590">
        <f>FG168</f>
        <v>3195.8226536111797</v>
      </c>
      <c r="FI168" s="282">
        <f>FH168+SUM(FI164:FI167)</f>
        <v>3208.3972302287798</v>
      </c>
      <c r="FJ168" s="282">
        <f>FI168+SUM(FJ164:FJ167)</f>
        <v>3217.6236784378079</v>
      </c>
      <c r="FK168" s="282">
        <f>FJ168</f>
        <v>3217.6236784378079</v>
      </c>
      <c r="FL168" s="282">
        <f>FK168+SUM(FL164:FL167)</f>
        <v>3228.1263857082317</v>
      </c>
      <c r="FM168" s="282">
        <f>FL168+SUM(FM164:FM167)</f>
        <v>3239.0896649123933</v>
      </c>
      <c r="FN168" s="282">
        <f>FM168</f>
        <v>3239.0896649123933</v>
      </c>
      <c r="FO168" s="590">
        <f>FN168</f>
        <v>3239.0896649123933</v>
      </c>
      <c r="FP168" s="282">
        <f>FO168+SUM(FP164:FP167)</f>
        <v>3251.2968476412216</v>
      </c>
      <c r="FQ168" s="282">
        <f>FP168+SUM(FQ164:FQ167)</f>
        <v>3260.1014797947078</v>
      </c>
      <c r="FR168" s="282">
        <f>FQ168</f>
        <v>3260.1014797947078</v>
      </c>
      <c r="FS168" s="282">
        <f>FR168+SUM(FS164:FS167)</f>
        <v>3270.0921192660567</v>
      </c>
      <c r="FT168" s="282">
        <f>FS168+SUM(FT164:FT167)</f>
        <v>3280.553959655062</v>
      </c>
      <c r="FU168" s="282">
        <f>FT168</f>
        <v>3280.553959655062</v>
      </c>
      <c r="FV168" s="590">
        <f>FU168</f>
        <v>3280.553959655062</v>
      </c>
    </row>
    <row r="169" spans="1:280" outlineLevel="1" x14ac:dyDescent="0.3">
      <c r="B169" s="253" t="s">
        <v>515</v>
      </c>
      <c r="C169" s="280" t="s">
        <v>413</v>
      </c>
      <c r="D169" s="349">
        <f>-D167/D168*4</f>
        <v>5.3668284327719099E-2</v>
      </c>
      <c r="E169" s="349">
        <f>-E167/E168*4</f>
        <v>7.2216097023153236E-2</v>
      </c>
      <c r="F169" s="349">
        <f>-F167/F168*2</f>
        <v>5.9984004265529182E-2</v>
      </c>
      <c r="G169" s="349">
        <f>-G167/G168*4</f>
        <v>5.7382252126444072E-2</v>
      </c>
      <c r="H169" s="349">
        <f>-H167/H168*4</f>
        <v>5.6839243790930423E-2</v>
      </c>
      <c r="I169" s="349">
        <f>-I167/I168*2</f>
        <v>5.6344989497096244E-2</v>
      </c>
      <c r="J169" s="349">
        <f>-J167/J168</f>
        <v>5.8406395048994322E-2</v>
      </c>
      <c r="K169" s="349">
        <f>-K167/K168*4</f>
        <v>5.4876527812422055E-2</v>
      </c>
      <c r="L169" s="349">
        <f>-L167/L168*4</f>
        <v>6.4825046040515644E-2</v>
      </c>
      <c r="M169" s="349">
        <f>-M167/M168*2</f>
        <v>5.954724409448818E-2</v>
      </c>
      <c r="N169" s="349">
        <f>-N167/N168*4</f>
        <v>6.2591687041564772E-2</v>
      </c>
      <c r="O169" s="349">
        <f>-O167/O168*4</f>
        <v>6.6536203522504875E-2</v>
      </c>
      <c r="P169" s="349">
        <f>-P167/P168*2</f>
        <v>6.4579256360078274E-2</v>
      </c>
      <c r="Q169" s="349">
        <f>-Q167/Q168</f>
        <v>6.1254077564334895E-2</v>
      </c>
      <c r="R169" s="349">
        <f>-R167/R168*4</f>
        <v>6.7651262505955212E-2</v>
      </c>
      <c r="S169" s="349">
        <f>-S167/S168*4</f>
        <v>6.4763732309906452E-2</v>
      </c>
      <c r="T169" s="349">
        <f>-T167/T168*2</f>
        <v>6.721669497694735E-2</v>
      </c>
      <c r="U169" s="349">
        <f>-U167/U168*4</f>
        <v>7.0735601129804732E-2</v>
      </c>
      <c r="V169" s="349">
        <f>-V167/V168*4</f>
        <v>7.1137458317895516E-2</v>
      </c>
      <c r="W169" s="349">
        <f>-W167/W168*2</f>
        <v>7.1137458317895516E-2</v>
      </c>
      <c r="X169" s="349">
        <f>-X167/X168</f>
        <v>7.4695928080380752E-2</v>
      </c>
      <c r="Y169" s="349">
        <f>-Y167/Y168*4</f>
        <v>7.4846297781341886E-2</v>
      </c>
      <c r="Z169" s="349">
        <f>-Z167/Z168*4</f>
        <v>7.9004329004328994E-2</v>
      </c>
      <c r="AA169" s="349">
        <f>-AA167/AA168*2</f>
        <v>7.7590884427563761E-2</v>
      </c>
      <c r="AB169" s="349">
        <f>-AB167/AB168*4</f>
        <v>7.1077091306725002E-2</v>
      </c>
      <c r="AC169" s="349">
        <f>-AC167/AC168*4</f>
        <v>8.1531469494559985E-2</v>
      </c>
      <c r="AD169" s="349">
        <f>-AD167/AD168*2</f>
        <v>7.65734747279989E-2</v>
      </c>
      <c r="AE169" s="349">
        <f>-AE167/AE168</f>
        <v>8.0479452054794523E-2</v>
      </c>
      <c r="AF169" s="349">
        <f>-AF167/AF168*4</f>
        <v>8.4913671101047264E-2</v>
      </c>
      <c r="AG169" s="349">
        <f>-AG167/AG168*4</f>
        <v>8.4210526315789472E-2</v>
      </c>
      <c r="AH169" s="349">
        <f>-AH167/AH168*2</f>
        <v>8.6139615551380277E-2</v>
      </c>
      <c r="AI169" s="349">
        <f>-AI167/AI168*4</f>
        <v>9.1541135573580526E-2</v>
      </c>
      <c r="AJ169" s="349">
        <f>-AJ167/AJ168*4</f>
        <v>9.3387470997679814E-2</v>
      </c>
      <c r="AK169" s="349">
        <f>-AK167/AK168*2</f>
        <v>9.2517401392111356E-2</v>
      </c>
      <c r="AL169" s="349">
        <f>-AL167/AL168</f>
        <v>8.6828032648466086E-2</v>
      </c>
      <c r="AM169" s="349">
        <f>-AM167/AM168*4</f>
        <v>8.6944248412138325E-2</v>
      </c>
      <c r="AN169" s="349">
        <f>-AN167/AN168*4</f>
        <v>8.8661551577152609E-2</v>
      </c>
      <c r="AO169" s="349">
        <f>-AO167/AO168*2</f>
        <v>8.8093208297811865E-2</v>
      </c>
      <c r="AP169" s="349">
        <f>-AP167/AP168*4</f>
        <v>9.0792291220556723E-2</v>
      </c>
      <c r="AQ169" s="349">
        <f>-AQ167/AQ168*4</f>
        <v>9.1769429308861478E-2</v>
      </c>
      <c r="AR169" s="349">
        <f>-AR167/AR168*2</f>
        <v>9.149576939624264E-2</v>
      </c>
      <c r="AS169" s="349">
        <f>-AS167/AS168</f>
        <v>8.8879468701427156E-2</v>
      </c>
      <c r="AT169" s="349">
        <f>-AT167/AT168*4</f>
        <v>9.2110874200426435E-2</v>
      </c>
      <c r="AU169" s="349">
        <f>-AU167/AU168*4</f>
        <v>8.401668824629549E-2</v>
      </c>
      <c r="AV169" s="349">
        <f>-AV167/AV168*2</f>
        <v>8.8620342396777435E-2</v>
      </c>
      <c r="AW169" s="349">
        <f>-AW167/AW168*4</f>
        <v>9.9241097489783991E-2</v>
      </c>
      <c r="AX169" s="349">
        <f>-AX167/AX168*4</f>
        <v>0.10265486725663715</v>
      </c>
      <c r="AY169" s="349">
        <f>-AY167/AY168*2</f>
        <v>0.10147492625368733</v>
      </c>
      <c r="AZ169" s="349">
        <f>-AZ167/AZ168</f>
        <v>9.6165191740412978E-2</v>
      </c>
      <c r="BA169" s="349">
        <f>-BA167/BA168*4</f>
        <v>9.088226615520803E-2</v>
      </c>
      <c r="BB169" s="349">
        <f>-BB167/BB168*4</f>
        <v>9.097666121599525E-2</v>
      </c>
      <c r="BC169" s="349">
        <f>-BC167/BC168*2</f>
        <v>9.1273970566374305E-2</v>
      </c>
      <c r="BD169" s="349">
        <f>-BD167/BD168*4</f>
        <v>0.10308356919410099</v>
      </c>
      <c r="BE169" s="349">
        <f>-BE167/BE168*4</f>
        <v>7.8048780487804878E-2</v>
      </c>
      <c r="BF169" s="349">
        <f>-BF167/BF168*2</f>
        <v>9.0169992609016994E-2</v>
      </c>
      <c r="BG169" s="349">
        <f>-BG167/BG168</f>
        <v>9.0465631929046567E-2</v>
      </c>
      <c r="BH169" s="349">
        <f>-BH167/BH168*4</f>
        <v>8.9691322073383817E-2</v>
      </c>
      <c r="BI169" s="349">
        <f>-BI167/BI168*4</f>
        <v>8.8128714306421232E-2</v>
      </c>
      <c r="BJ169" s="349">
        <f>-BJ167/BJ168*2</f>
        <v>8.8708508479489787E-2</v>
      </c>
      <c r="BK169" s="349">
        <f>-BK167/BK168*4</f>
        <v>8.8850918410935495E-2</v>
      </c>
      <c r="BL169" s="349"/>
      <c r="BM169" s="349">
        <f>-BM167/BM168*2</f>
        <v>8.9652161257458882E-2</v>
      </c>
      <c r="BN169" s="349">
        <f>-BN167/BN168</f>
        <v>8.9361082811817788E-2</v>
      </c>
      <c r="BO169" s="349">
        <f>-BO167/BO168*4</f>
        <v>9.2337644277569186E-2</v>
      </c>
      <c r="BP169" s="349">
        <f>-BP167/BP168*4</f>
        <v>8.615384615384615E-2</v>
      </c>
      <c r="BQ169" s="349">
        <f>-BQ167/BQ168*2</f>
        <v>8.3938461538461545E-2</v>
      </c>
      <c r="BR169" s="349">
        <f>-BR167/BR168*4</f>
        <v>8.1781838949171889E-2</v>
      </c>
      <c r="BS169" s="349">
        <f>-BS167/BS168*4</f>
        <v>8.4715374271627064E-2</v>
      </c>
      <c r="BT169" s="349">
        <f>-BT167/BT168*2</f>
        <v>8.247422680412371E-2</v>
      </c>
      <c r="BU169" s="349">
        <f>-BU167/BU168</f>
        <v>7.9448677722994174E-2</v>
      </c>
      <c r="BV169" s="349">
        <f>-BV167/BV168*4</f>
        <v>8.1797752808988752E-2</v>
      </c>
      <c r="BW169" s="349">
        <f>-BW167/BW168*4</f>
        <v>7.9181194466314234E-2</v>
      </c>
      <c r="BX169" s="349">
        <f>-BX167/BX168*2</f>
        <v>8.0530873917444609E-2</v>
      </c>
      <c r="BY169" s="349">
        <f>-BY167/BY168*4</f>
        <v>8.7777146105741874E-2</v>
      </c>
      <c r="BZ169" s="349">
        <f>-BZ167/BZ168*4</f>
        <v>0.12314030670634014</v>
      </c>
      <c r="CA169" s="349">
        <f>-CA167/CA168*2</f>
        <v>0.10574502174410619</v>
      </c>
      <c r="CB169" s="349">
        <f>-CB167/CB168</f>
        <v>9.384298466468298E-2</v>
      </c>
      <c r="CC169" s="349">
        <f>-CC167/CC168*4</f>
        <v>9.11214953271028E-2</v>
      </c>
      <c r="CD169" s="349">
        <f>-CD167/CD168*4</f>
        <v>9.5204596083948892E-2</v>
      </c>
      <c r="CE169" s="349">
        <f>-CE167/CE168*2</f>
        <v>9.332864345175286E-2</v>
      </c>
      <c r="CF169" s="349">
        <f>-CF167/CF168*4</f>
        <v>0.1076318609358257</v>
      </c>
      <c r="CG169" s="349">
        <f>-CG167/CG168*4</f>
        <v>9.4197952218430026E-2</v>
      </c>
      <c r="CH169" s="349">
        <f>-CH167/CH168*2</f>
        <v>9.8521046643913535E-2</v>
      </c>
      <c r="CI169" s="349">
        <f>-CI167/CI168</f>
        <v>9.4539249146757667E-2</v>
      </c>
      <c r="CJ169" s="349">
        <f>-CJ167/CJ168*4</f>
        <v>9.6684776582769735E-2</v>
      </c>
      <c r="CK169" s="349">
        <f>-CK167/CK168*4</f>
        <v>0.10150742869536926</v>
      </c>
      <c r="CL169" s="349">
        <f>-CL167/CL168*2</f>
        <v>9.8037089252792531E-2</v>
      </c>
      <c r="CM169" s="349">
        <f>-CM167/CM168*4</f>
        <v>9.7479691730889398E-2</v>
      </c>
      <c r="CN169" s="349">
        <f>-CN167/CN168*4</f>
        <v>9.4345328091926209E-2</v>
      </c>
      <c r="CO169" s="349">
        <f>-CO167/CO168*2</f>
        <v>9.4345328091926223E-2</v>
      </c>
      <c r="CP169" s="476">
        <f>-CP167/CP168</f>
        <v>9.273258744078218E-2</v>
      </c>
      <c r="CQ169" s="476">
        <f>-CQ167/CQ168*4</f>
        <v>8.6776859504132234E-2</v>
      </c>
      <c r="CR169" s="476">
        <f>-CR167/CR168*4</f>
        <v>9.5311774717623407E-2</v>
      </c>
      <c r="CS169" s="476">
        <f>-CS167/CS168*2</f>
        <v>8.9896332972303886E-2</v>
      </c>
      <c r="CT169" s="476">
        <f>-CT167/CT168*4</f>
        <v>8.9048259375466898E-2</v>
      </c>
      <c r="CU169" s="476">
        <f>-CU167/CU168*4</f>
        <v>8.8447133390953614E-2</v>
      </c>
      <c r="CV169" s="476">
        <f>-CV167/CV168*2</f>
        <v>8.7150677038317484E-2</v>
      </c>
      <c r="CW169" s="476">
        <f>-CW167/CW168</f>
        <v>8.5422068568135973E-2</v>
      </c>
      <c r="CX169" s="476">
        <f>-CX167/CX168*4</f>
        <v>8.9189952018063776E-2</v>
      </c>
      <c r="CY169" s="476">
        <f>-CY167/CY168*4</f>
        <v>9.0414635869181317E-2</v>
      </c>
      <c r="CZ169" s="476">
        <f>-CZ167/CZ168*2</f>
        <v>8.984954439499894E-2</v>
      </c>
      <c r="DA169" s="476">
        <f>-DA167/DA168*4</f>
        <v>8.4375218271984354E-2</v>
      </c>
      <c r="DB169" s="476">
        <f>-DB167/DB168*4</f>
        <v>9.2492232097694915E-2</v>
      </c>
      <c r="DC169" s="476">
        <f>-DC167/DC168*2</f>
        <v>8.9890888069947245E-2</v>
      </c>
      <c r="DD169" s="675">
        <f>-DD167/DD168</f>
        <v>9.0902521858515786E-2</v>
      </c>
      <c r="DE169" s="477">
        <f>-DE167/DE168*4</f>
        <v>9.2076139884904831E-2</v>
      </c>
      <c r="DF169" s="477">
        <f>-DF167/DF168*4</f>
        <v>9.3816631130063971E-2</v>
      </c>
      <c r="DG169" s="476">
        <f>-DG167/DG168*2</f>
        <v>9.2787295051834431E-2</v>
      </c>
      <c r="DH169" s="476">
        <f>-DH167/DH168*4</f>
        <v>9.8465102809151453E-2</v>
      </c>
      <c r="DI169" s="476">
        <f>-DI167/DI168*4</f>
        <v>0.11047147125264155</v>
      </c>
      <c r="DJ169" s="476">
        <f>-DJ167/DJ168*2</f>
        <v>0.10478758289003863</v>
      </c>
      <c r="DK169" s="675">
        <f>-DK167/DK168</f>
        <v>9.837499089120455E-2</v>
      </c>
      <c r="DL169" s="478">
        <f>-DL167/DL168*4</f>
        <v>0.11185551995339353</v>
      </c>
      <c r="DM169" s="477">
        <f>-DM167/DM168*4</f>
        <v>0.11516813392986001</v>
      </c>
      <c r="DN169" s="476">
        <f>-DN167/DN168*2</f>
        <v>0.11300331938230625</v>
      </c>
      <c r="DO169" s="477">
        <f>-DO167/DO168*4</f>
        <v>0.11612994151222605</v>
      </c>
      <c r="DP169" s="476">
        <f>-DP167/DP168*4</f>
        <v>0.11612903225806455</v>
      </c>
      <c r="DQ169" s="476">
        <f>-DQ167/DQ168*2</f>
        <v>0.11461908030199042</v>
      </c>
      <c r="DR169" s="675">
        <f>-DR167/DR168</f>
        <v>0.11105010295126974</v>
      </c>
      <c r="DS169" s="477">
        <f>-DS167/DS168*4</f>
        <v>0.10353422381287147</v>
      </c>
      <c r="DT169" s="477">
        <f>-DT167/DT168*4</f>
        <v>0.10518518518518519</v>
      </c>
      <c r="DU169" s="477">
        <f>-DU167/DU168*2</f>
        <v>0.1025925925925926</v>
      </c>
      <c r="DV169" s="477">
        <f>-DV167/DV168*4</f>
        <v>9.9759201926384586E-2</v>
      </c>
      <c r="DW169" s="476">
        <f>-DW167/DW168*4</f>
        <v>0.10002174385736029</v>
      </c>
      <c r="DX169" s="476">
        <f>-DX167/DX168*2</f>
        <v>9.730376168732334E-2</v>
      </c>
      <c r="DY169" s="675">
        <f>-DY167/DY168</f>
        <v>9.3824744509676011E-2</v>
      </c>
      <c r="DZ169" s="477">
        <f>-DZ167/DZ168*4</f>
        <v>9.4581073252935924E-2</v>
      </c>
      <c r="EA169" s="477">
        <f>-EA167/EA168*4</f>
        <v>9.7760111725841967E-2</v>
      </c>
      <c r="EB169" s="477">
        <f>-EB167/EB168*2</f>
        <v>9.7115539560616623E-2</v>
      </c>
      <c r="EC169" s="477">
        <f>-EC167/EC168*4</f>
        <v>9.4935411113389392E-2</v>
      </c>
      <c r="ED169" s="476">
        <f>-ED167/ED168*4</f>
        <v>9.3434095593286928E-2</v>
      </c>
      <c r="EE169" s="476">
        <f>-EE167/EE168*2</f>
        <v>9.2158209834134877E-2</v>
      </c>
      <c r="EF169" s="675">
        <f>-EF167/EF168</f>
        <v>9.0440671312199433E-2</v>
      </c>
      <c r="EG169" s="477">
        <f>-EG167/EG168*4</f>
        <v>9.587063239965346E-2</v>
      </c>
      <c r="EH169" s="477">
        <f>-EH167/EH168*4</f>
        <v>9.8063297118564013E-2</v>
      </c>
      <c r="EI169" s="477">
        <f>-EI167/EI168*2</f>
        <v>9.6079357581483227E-2</v>
      </c>
      <c r="EJ169" s="477">
        <f>-EJ167/EJ168*4</f>
        <v>0.10453920220082531</v>
      </c>
      <c r="EK169" s="477">
        <f>-EK167/EK168*4</f>
        <v>0.10954356846473033</v>
      </c>
      <c r="EL169" s="476">
        <f>-EL167/EL168*2</f>
        <v>0.10557860765329646</v>
      </c>
      <c r="EM169" s="675">
        <f>-EM167/EM168</f>
        <v>9.9677270631627499E-2</v>
      </c>
      <c r="EN169" s="477">
        <f>-EN167/EN168*4</f>
        <v>0.10134074705170172</v>
      </c>
      <c r="EO169" s="477">
        <f>-EO167/EO168*4</f>
        <v>0.10197184947012697</v>
      </c>
      <c r="EP169" s="477">
        <f>-EP167/EP168*2</f>
        <v>8.8060631910495735E-2</v>
      </c>
      <c r="EQ169" s="478">
        <f>-EQ167/EQ168*4</f>
        <v>0.11630160883892224</v>
      </c>
      <c r="ER169" s="476">
        <f>-ER167/ER168*4</f>
        <v>0.12404460569438806</v>
      </c>
      <c r="ES169" s="476">
        <f>-ES167/ES168*2</f>
        <v>0.12061498093687219</v>
      </c>
      <c r="ET169" s="612">
        <f>-ET167/ET168</f>
        <v>0.10399158713307392</v>
      </c>
      <c r="EU169" s="476">
        <f>-EU167/EU168*4</f>
        <v>0.10818054641373649</v>
      </c>
      <c r="EV169" s="476">
        <f>-EV167/EV168*4</f>
        <v>0.12853651832507398</v>
      </c>
      <c r="EW169" s="476">
        <f>-EW167/EW168*2</f>
        <v>0.11809652305607374</v>
      </c>
      <c r="EX169" s="476">
        <f>-EX167/EX168*4</f>
        <v>0.11860066042066027</v>
      </c>
      <c r="EY169" s="476">
        <f>-EY167/EY168*4</f>
        <v>0.11515736545080361</v>
      </c>
      <c r="EZ169" s="476">
        <f>-EZ167/EZ168*2</f>
        <v>0.11655921217620695</v>
      </c>
      <c r="FA169" s="612">
        <f>-FA167/FA168</f>
        <v>0.11669926252076446</v>
      </c>
      <c r="FB169" s="476">
        <f>-FB167/FB168*4</f>
        <v>0.10819602594404169</v>
      </c>
      <c r="FC169" s="476">
        <f>-FC167/FC168*4</f>
        <v>0.12856781422044525</v>
      </c>
      <c r="FD169" s="476">
        <f>-FD167/FD168*2</f>
        <v>0.11816605011744287</v>
      </c>
      <c r="FE169" s="476">
        <f>-FE167/FE168*4</f>
        <v>0.11943626051243172</v>
      </c>
      <c r="FF169" s="476">
        <f>-FF167/FF168*4</f>
        <v>0.1160788812615561</v>
      </c>
      <c r="FG169" s="476">
        <f>-FG167/FG168*2</f>
        <v>0.11748752337092705</v>
      </c>
      <c r="FH169" s="612">
        <f>-FH167/FH168</f>
        <v>0.11730075833248967</v>
      </c>
      <c r="FI169" s="476">
        <f>-FI167/FI168*4</f>
        <v>0.10862385254682103</v>
      </c>
      <c r="FJ169" s="476">
        <f>-FJ167/FJ168*4</f>
        <v>0.12912356364220809</v>
      </c>
      <c r="FK169" s="476">
        <f>-FK167/FK168*2</f>
        <v>0.11871797012607152</v>
      </c>
      <c r="FL169" s="476">
        <f>-FL167/FL168*4</f>
        <v>0.12079634066309065</v>
      </c>
      <c r="FM169" s="476">
        <f>-FM167/FM168*4</f>
        <v>0.11754364815555871</v>
      </c>
      <c r="FN169" s="476">
        <f>-FN167/FN168*2</f>
        <v>0.11896556598243112</v>
      </c>
      <c r="FO169" s="612">
        <f>-FO167/FO168</f>
        <v>0.11844838617775957</v>
      </c>
      <c r="FP169" s="476">
        <f>-FP167/FP168*4</f>
        <v>0.10945058605817849</v>
      </c>
      <c r="FQ169" s="476">
        <f>-FQ167/FQ168*4</f>
        <v>0.13002888393430226</v>
      </c>
      <c r="FR169" s="476">
        <f>-FR167/FR168*2</f>
        <v>0.11959193712013155</v>
      </c>
      <c r="FS169" s="476">
        <f>-FS167/FS168*4</f>
        <v>0.12237796244799283</v>
      </c>
      <c r="FT169" s="476">
        <f>-FT167/FT168*4</f>
        <v>0.11911500222998442</v>
      </c>
      <c r="FU169" s="476">
        <f>-FU167/FU168*2</f>
        <v>0.12055134780896595</v>
      </c>
      <c r="FV169" s="612">
        <f>-FV167/FV168</f>
        <v>0.11969884693740744</v>
      </c>
    </row>
    <row r="170" spans="1:280" x14ac:dyDescent="0.3">
      <c r="C170" s="280"/>
      <c r="CP170" s="282"/>
      <c r="CQ170" s="282"/>
      <c r="CR170" s="282"/>
      <c r="CS170" s="282"/>
      <c r="CT170" s="282"/>
      <c r="CU170" s="282"/>
      <c r="CV170" s="282"/>
      <c r="CW170" s="282"/>
      <c r="CX170" s="282"/>
      <c r="CY170" s="282"/>
      <c r="CZ170" s="282"/>
      <c r="DA170" s="282"/>
      <c r="DB170" s="282"/>
      <c r="DC170" s="282"/>
      <c r="DD170" s="590"/>
      <c r="DE170" s="282"/>
      <c r="DF170" s="282"/>
      <c r="DG170" s="282"/>
      <c r="DH170" s="282"/>
      <c r="DI170" s="282"/>
      <c r="DJ170" s="282"/>
      <c r="DK170" s="590"/>
      <c r="DL170" s="284"/>
      <c r="DM170" s="282"/>
      <c r="DN170" s="282"/>
      <c r="DO170" s="282"/>
      <c r="DP170" s="282"/>
      <c r="DQ170" s="282"/>
      <c r="DR170" s="590"/>
      <c r="DS170" s="282"/>
      <c r="DT170" s="282"/>
      <c r="DU170" s="282"/>
      <c r="DV170" s="282"/>
      <c r="DW170" s="282"/>
      <c r="DX170" s="282"/>
      <c r="DY170" s="590"/>
      <c r="DZ170" s="282"/>
      <c r="EA170" s="282"/>
      <c r="EB170" s="282"/>
      <c r="EC170" s="282"/>
      <c r="ED170" s="282"/>
      <c r="EE170" s="282"/>
      <c r="EF170" s="590"/>
      <c r="EG170" s="282"/>
      <c r="EH170" s="282"/>
      <c r="EI170" s="282"/>
      <c r="EJ170" s="282"/>
      <c r="EK170" s="282"/>
      <c r="EL170" s="282"/>
      <c r="EM170" s="590"/>
      <c r="EN170" s="282"/>
      <c r="EO170" s="282"/>
      <c r="EP170" s="282"/>
      <c r="EQ170" s="284"/>
      <c r="ER170" s="282"/>
      <c r="ES170" s="282"/>
      <c r="ET170" s="590"/>
      <c r="EU170" s="282"/>
      <c r="EV170" s="282"/>
      <c r="EW170" s="282"/>
      <c r="EX170" s="282"/>
      <c r="EY170" s="282"/>
      <c r="EZ170" s="282"/>
      <c r="FA170" s="590"/>
      <c r="FB170" s="282"/>
      <c r="FC170" s="282"/>
      <c r="FD170" s="282"/>
      <c r="FE170" s="282"/>
      <c r="FF170" s="282"/>
      <c r="FG170" s="282"/>
      <c r="FH170" s="590"/>
      <c r="FI170" s="282"/>
      <c r="FJ170" s="282"/>
      <c r="FK170" s="282"/>
      <c r="FL170" s="282"/>
      <c r="FM170" s="282"/>
      <c r="FN170" s="282"/>
      <c r="FO170" s="590"/>
      <c r="FP170" s="282"/>
      <c r="FQ170" s="282"/>
      <c r="FR170" s="282"/>
      <c r="FS170" s="282"/>
      <c r="FT170" s="282"/>
      <c r="FU170" s="282"/>
      <c r="FV170" s="590"/>
    </row>
    <row r="171" spans="1:280" s="263" customFormat="1" ht="12.05" customHeight="1" x14ac:dyDescent="0.3">
      <c r="A171" s="260" t="s">
        <v>516</v>
      </c>
      <c r="B171" s="269"/>
      <c r="C171" s="414"/>
      <c r="D171" s="271"/>
      <c r="E171" s="271"/>
      <c r="F171" s="271"/>
      <c r="G171" s="271"/>
      <c r="H171" s="271"/>
      <c r="I171" s="271"/>
      <c r="J171" s="271"/>
      <c r="K171" s="271"/>
      <c r="L171" s="261"/>
      <c r="M171" s="261"/>
      <c r="N171" s="261"/>
      <c r="O171" s="261"/>
      <c r="P171" s="261"/>
      <c r="Q171" s="261"/>
      <c r="R171" s="261"/>
      <c r="S171" s="261"/>
      <c r="T171" s="261"/>
      <c r="U171" s="261"/>
      <c r="V171" s="261"/>
      <c r="W171" s="261"/>
      <c r="X171" s="261"/>
      <c r="Y171" s="261"/>
      <c r="Z171" s="261"/>
      <c r="AA171" s="261"/>
      <c r="AB171" s="261"/>
      <c r="AC171" s="261"/>
      <c r="AD171" s="261"/>
      <c r="AE171" s="261"/>
      <c r="AF171" s="261"/>
      <c r="AG171" s="261"/>
      <c r="AH171" s="261"/>
      <c r="AI171" s="261"/>
      <c r="AJ171" s="261"/>
      <c r="AK171" s="261"/>
      <c r="AL171" s="261"/>
      <c r="AM171" s="261"/>
      <c r="AN171" s="261"/>
      <c r="AO171" s="261"/>
      <c r="AP171" s="261"/>
      <c r="AQ171" s="261"/>
      <c r="AR171" s="261"/>
      <c r="AS171" s="261"/>
      <c r="AT171" s="261"/>
      <c r="AU171" s="261"/>
      <c r="AV171" s="261"/>
      <c r="AW171" s="261"/>
      <c r="AX171" s="261"/>
      <c r="AY171" s="261"/>
      <c r="AZ171" s="261"/>
      <c r="BA171" s="261"/>
      <c r="BB171" s="261"/>
      <c r="BC171" s="261"/>
      <c r="BD171" s="261"/>
      <c r="BE171" s="261"/>
      <c r="BF171" s="261"/>
      <c r="BG171" s="261"/>
      <c r="BH171" s="261"/>
      <c r="BI171" s="261"/>
      <c r="BJ171" s="261"/>
      <c r="BK171" s="261"/>
      <c r="BL171" s="261"/>
      <c r="BM171" s="261"/>
      <c r="BN171" s="261"/>
      <c r="BO171" s="261"/>
      <c r="BP171" s="261"/>
      <c r="BQ171" s="261"/>
      <c r="BR171" s="261"/>
      <c r="BS171" s="261"/>
      <c r="BT171" s="261"/>
      <c r="BU171" s="261"/>
      <c r="BV171" s="261"/>
      <c r="BW171" s="261"/>
      <c r="BX171" s="261"/>
      <c r="BY171" s="261"/>
      <c r="BZ171" s="261"/>
      <c r="CA171" s="261"/>
      <c r="CB171" s="271"/>
      <c r="CC171" s="271"/>
      <c r="CD171" s="271"/>
      <c r="CE171" s="271"/>
      <c r="CF171" s="271"/>
      <c r="CG171" s="271"/>
      <c r="CH171" s="271"/>
      <c r="CI171" s="271"/>
      <c r="CJ171" s="271"/>
      <c r="CK171" s="271"/>
      <c r="CL171" s="271"/>
      <c r="CM171" s="261"/>
      <c r="CN171" s="271"/>
      <c r="CO171" s="271"/>
      <c r="CP171" s="479"/>
      <c r="CQ171" s="479"/>
      <c r="CR171" s="479"/>
      <c r="CS171" s="479"/>
      <c r="CT171" s="479"/>
      <c r="CU171" s="479"/>
      <c r="CV171" s="479"/>
      <c r="CW171" s="479"/>
      <c r="CX171" s="479"/>
      <c r="CY171" s="479"/>
      <c r="CZ171" s="479"/>
      <c r="DA171" s="479"/>
      <c r="DB171" s="479"/>
      <c r="DC171" s="479"/>
      <c r="DD171" s="479"/>
      <c r="DE171" s="479"/>
      <c r="DF171" s="479"/>
      <c r="DG171" s="479"/>
      <c r="DH171" s="479"/>
      <c r="DI171" s="479"/>
      <c r="DJ171" s="479"/>
      <c r="DK171" s="479"/>
      <c r="DL171" s="480"/>
      <c r="DM171" s="479"/>
      <c r="DN171" s="479"/>
      <c r="DO171" s="479"/>
      <c r="DP171" s="479"/>
      <c r="DQ171" s="479"/>
      <c r="DR171" s="479"/>
      <c r="DS171" s="479"/>
      <c r="DT171" s="479"/>
      <c r="DU171" s="479"/>
      <c r="DV171" s="479"/>
      <c r="DW171" s="479"/>
      <c r="DX171" s="479"/>
      <c r="DY171" s="479"/>
      <c r="DZ171" s="479"/>
      <c r="EA171" s="479"/>
      <c r="EB171" s="479"/>
      <c r="EC171" s="479"/>
      <c r="ED171" s="479"/>
      <c r="EE171" s="479"/>
      <c r="EF171" s="479"/>
      <c r="EG171" s="479"/>
      <c r="EH171" s="479"/>
      <c r="EI171" s="479"/>
      <c r="EJ171" s="479"/>
      <c r="EK171" s="479"/>
      <c r="EL171" s="479"/>
      <c r="EM171" s="479"/>
      <c r="EN171" s="479"/>
      <c r="EO171" s="479"/>
      <c r="EP171" s="479"/>
      <c r="EQ171" s="480"/>
      <c r="ER171" s="479"/>
      <c r="ES171" s="479"/>
      <c r="ET171" s="479"/>
      <c r="EU171" s="479"/>
      <c r="EV171" s="479"/>
      <c r="EW171" s="479"/>
      <c r="EX171" s="479"/>
      <c r="EY171" s="479"/>
      <c r="EZ171" s="479"/>
      <c r="FA171" s="479"/>
      <c r="FB171" s="479"/>
      <c r="FC171" s="479"/>
      <c r="FD171" s="479"/>
      <c r="FE171" s="479"/>
      <c r="FF171" s="479"/>
      <c r="FG171" s="479"/>
      <c r="FH171" s="479"/>
      <c r="FI171" s="479"/>
      <c r="FJ171" s="479"/>
      <c r="FK171" s="479"/>
      <c r="FL171" s="479"/>
      <c r="FM171" s="479"/>
      <c r="FN171" s="479"/>
      <c r="FO171" s="479"/>
      <c r="FP171" s="479"/>
      <c r="FQ171" s="479"/>
      <c r="FR171" s="479"/>
      <c r="FS171" s="479"/>
      <c r="FT171" s="479"/>
      <c r="FU171" s="479"/>
      <c r="FV171" s="479"/>
      <c r="FW171" s="268"/>
      <c r="FX171" s="268"/>
      <c r="FY171" s="268"/>
      <c r="FZ171" s="268"/>
      <c r="GA171" s="268"/>
      <c r="GB171"/>
      <c r="GC171"/>
      <c r="GD171"/>
      <c r="GE171"/>
      <c r="GF171"/>
      <c r="GG171"/>
      <c r="GH171" s="268"/>
      <c r="GI171" s="268"/>
      <c r="GJ171" s="268"/>
      <c r="GK171" s="268"/>
      <c r="GL171" s="268"/>
      <c r="GM171" s="268"/>
      <c r="GN171" s="268"/>
      <c r="GO171" s="268"/>
      <c r="GP171" s="268"/>
      <c r="GQ171" s="268"/>
      <c r="GR171" s="268"/>
      <c r="GS171" s="268"/>
      <c r="GT171" s="268"/>
      <c r="GU171" s="268"/>
      <c r="GV171" s="268"/>
      <c r="GW171" s="268"/>
      <c r="GX171" s="268"/>
      <c r="GY171" s="268"/>
      <c r="GZ171" s="268"/>
      <c r="HA171" s="268"/>
      <c r="HB171" s="268"/>
      <c r="HC171" s="268"/>
      <c r="HD171" s="268"/>
      <c r="HE171" s="268"/>
      <c r="HF171" s="268"/>
      <c r="HG171" s="268"/>
      <c r="HH171" s="268"/>
      <c r="HI171" s="268"/>
      <c r="HJ171" s="268"/>
      <c r="HK171" s="268"/>
      <c r="HL171" s="268"/>
      <c r="HM171" s="268"/>
      <c r="HN171" s="268"/>
      <c r="HO171" s="268"/>
      <c r="HP171" s="268"/>
      <c r="HQ171" s="268"/>
      <c r="HR171" s="268"/>
      <c r="HS171" s="268"/>
      <c r="HT171" s="268"/>
      <c r="HU171" s="268"/>
      <c r="HV171" s="268"/>
      <c r="HW171" s="268"/>
      <c r="HX171" s="268"/>
      <c r="HY171" s="268"/>
      <c r="HZ171" s="268"/>
      <c r="IA171" s="268"/>
      <c r="IB171" s="268"/>
      <c r="IC171" s="268"/>
      <c r="ID171" s="268"/>
      <c r="IE171" s="268"/>
      <c r="IF171" s="268"/>
      <c r="IG171" s="268"/>
      <c r="IH171" s="268"/>
      <c r="II171" s="268"/>
      <c r="IJ171" s="268"/>
      <c r="IK171" s="268"/>
      <c r="IL171" s="268"/>
      <c r="IM171" s="268"/>
      <c r="IN171" s="268"/>
      <c r="IO171" s="268"/>
      <c r="IP171" s="268"/>
      <c r="IQ171" s="268"/>
      <c r="IR171" s="268"/>
      <c r="IS171" s="268"/>
      <c r="IT171" s="268"/>
      <c r="IU171" s="268"/>
      <c r="IV171" s="268"/>
      <c r="IW171" s="268"/>
      <c r="IX171" s="268"/>
      <c r="IY171" s="268"/>
      <c r="IZ171" s="268"/>
      <c r="JA171" s="268"/>
      <c r="JB171" s="268"/>
      <c r="JC171" s="268"/>
      <c r="JD171" s="268"/>
      <c r="JE171" s="268"/>
      <c r="JF171" s="268"/>
      <c r="JG171" s="268"/>
      <c r="JH171" s="268"/>
      <c r="JI171" s="268"/>
      <c r="JJ171" s="268"/>
      <c r="JK171" s="268"/>
      <c r="JL171" s="268"/>
      <c r="JM171" s="268"/>
      <c r="JN171" s="268"/>
      <c r="JO171" s="268"/>
      <c r="JP171" s="268"/>
      <c r="JQ171" s="268"/>
      <c r="JR171" s="268"/>
      <c r="JS171" s="268"/>
      <c r="JT171" s="268"/>
    </row>
    <row r="172" spans="1:280" outlineLevel="1" x14ac:dyDescent="0.3">
      <c r="B172" s="273" t="s">
        <v>517</v>
      </c>
      <c r="C172" s="415"/>
      <c r="D172" s="273"/>
      <c r="E172" s="273"/>
      <c r="F172" s="273"/>
      <c r="G172" s="273"/>
      <c r="H172" s="273"/>
      <c r="I172" s="273"/>
      <c r="J172" s="273"/>
      <c r="K172" s="273"/>
      <c r="L172" s="273"/>
      <c r="M172" s="273"/>
      <c r="N172" s="273"/>
      <c r="O172" s="273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3"/>
      <c r="AG172" s="273"/>
      <c r="AH172" s="273"/>
      <c r="AI172" s="273"/>
      <c r="AJ172" s="273"/>
      <c r="AK172" s="273"/>
      <c r="AL172" s="273"/>
      <c r="AM172" s="273"/>
      <c r="AN172" s="273"/>
      <c r="AO172" s="273"/>
      <c r="AP172" s="273"/>
      <c r="AQ172" s="273"/>
      <c r="AR172" s="273"/>
      <c r="AS172" s="273"/>
      <c r="AT172" s="273"/>
      <c r="AU172" s="273"/>
      <c r="AV172" s="273"/>
      <c r="AW172" s="273"/>
      <c r="AX172" s="273"/>
      <c r="AY172" s="273"/>
      <c r="AZ172" s="273"/>
      <c r="BA172" s="273"/>
      <c r="BB172" s="273"/>
      <c r="BC172" s="273"/>
      <c r="BD172" s="273"/>
      <c r="BE172" s="273"/>
      <c r="BF172" s="273"/>
      <c r="BG172" s="273"/>
      <c r="BH172" s="273"/>
      <c r="BI172" s="273"/>
      <c r="BJ172" s="273"/>
      <c r="BK172" s="273"/>
      <c r="BL172" s="273"/>
      <c r="BM172" s="273"/>
      <c r="BN172" s="273"/>
      <c r="BO172" s="273"/>
      <c r="BP172" s="273"/>
      <c r="BQ172" s="273"/>
      <c r="BR172" s="273"/>
      <c r="BS172" s="273"/>
      <c r="BT172" s="273"/>
      <c r="BU172" s="273"/>
      <c r="BV172" s="273"/>
      <c r="BW172" s="273"/>
      <c r="BX172" s="273"/>
      <c r="BY172" s="273"/>
      <c r="BZ172" s="273"/>
      <c r="CA172" s="273"/>
      <c r="CB172" s="273"/>
      <c r="CC172" s="273"/>
      <c r="CD172" s="273"/>
      <c r="CE172" s="273"/>
      <c r="CF172" s="273"/>
      <c r="CG172" s="273"/>
      <c r="CH172" s="273"/>
      <c r="CI172" s="273"/>
      <c r="CJ172" s="273"/>
      <c r="CK172" s="273"/>
      <c r="CL172" s="273"/>
      <c r="CM172" s="273"/>
      <c r="CN172" s="273"/>
      <c r="CO172" s="273"/>
      <c r="CP172" s="273"/>
      <c r="CQ172" s="273"/>
      <c r="CR172" s="273"/>
      <c r="CS172" s="273"/>
      <c r="CT172" s="273"/>
      <c r="CU172" s="273"/>
      <c r="CV172" s="273"/>
      <c r="CW172" s="273"/>
      <c r="CX172" s="273"/>
      <c r="CY172" s="273"/>
      <c r="CZ172" s="273"/>
      <c r="DA172" s="273"/>
      <c r="DB172" s="273"/>
      <c r="DC172" s="273"/>
      <c r="DD172" s="602"/>
      <c r="DE172" s="481"/>
      <c r="DF172" s="273"/>
      <c r="DG172" s="273"/>
      <c r="DH172" s="273"/>
      <c r="DI172" s="273"/>
      <c r="DJ172" s="273"/>
      <c r="DK172" s="602"/>
      <c r="DL172" s="482"/>
      <c r="DM172" s="273"/>
      <c r="DN172" s="273"/>
      <c r="DO172" s="481"/>
      <c r="DP172" s="273"/>
      <c r="DQ172" s="273"/>
      <c r="DR172" s="602"/>
      <c r="DS172" s="481"/>
      <c r="DT172" s="483"/>
      <c r="DU172" s="273"/>
      <c r="DV172" s="481"/>
      <c r="DW172" s="273"/>
      <c r="DX172" s="273"/>
      <c r="DY172" s="602"/>
      <c r="DZ172" s="481"/>
      <c r="EA172" s="483"/>
      <c r="EB172" s="273"/>
      <c r="EC172" s="481"/>
      <c r="ED172" s="273"/>
      <c r="EE172" s="273"/>
      <c r="EF172" s="602"/>
      <c r="EG172" s="481"/>
      <c r="EH172" s="483"/>
      <c r="EI172" s="273"/>
      <c r="EJ172" s="481"/>
      <c r="EK172" s="273"/>
      <c r="EL172" s="273"/>
      <c r="EM172" s="602"/>
      <c r="EN172" s="481"/>
      <c r="EO172" s="483"/>
      <c r="EP172" s="273"/>
      <c r="EQ172" s="482"/>
      <c r="ER172" s="273"/>
      <c r="ES172" s="273"/>
      <c r="ET172" s="602"/>
      <c r="EU172" s="273"/>
      <c r="EV172" s="273"/>
      <c r="EW172" s="273"/>
      <c r="EX172" s="273"/>
      <c r="EY172" s="273"/>
      <c r="EZ172" s="273"/>
      <c r="FA172" s="602"/>
      <c r="FB172" s="273"/>
      <c r="FC172" s="273"/>
      <c r="FD172" s="273"/>
      <c r="FE172" s="273"/>
      <c r="FF172" s="273"/>
      <c r="FG172" s="273"/>
      <c r="FH172" s="602"/>
      <c r="FI172" s="273"/>
      <c r="FJ172" s="273"/>
      <c r="FK172" s="273"/>
      <c r="FL172" s="273"/>
      <c r="FM172" s="273"/>
      <c r="FN172" s="273"/>
      <c r="FO172" s="602"/>
      <c r="FP172" s="273"/>
      <c r="FQ172" s="273"/>
      <c r="FR172" s="273"/>
      <c r="FS172" s="273"/>
      <c r="FT172" s="273"/>
      <c r="FU172" s="273"/>
      <c r="FV172" s="602"/>
    </row>
    <row r="173" spans="1:280" outlineLevel="1" x14ac:dyDescent="0.3">
      <c r="B173" s="279" t="s">
        <v>518</v>
      </c>
      <c r="C173" s="280" t="s">
        <v>226</v>
      </c>
      <c r="D173" s="320">
        <f t="shared" ref="D173:J173" si="500">D175</f>
        <v>161.6</v>
      </c>
      <c r="E173" s="320">
        <f t="shared" si="500"/>
        <v>170.9</v>
      </c>
      <c r="F173" s="320">
        <f t="shared" si="500"/>
        <v>170.9</v>
      </c>
      <c r="G173" s="320">
        <f t="shared" si="500"/>
        <v>149</v>
      </c>
      <c r="H173" s="320">
        <f t="shared" si="500"/>
        <v>315.10000000000002</v>
      </c>
      <c r="I173" s="320">
        <f t="shared" si="500"/>
        <v>315.10000000000002</v>
      </c>
      <c r="J173" s="281">
        <f t="shared" si="500"/>
        <v>315.10000000000002</v>
      </c>
      <c r="K173" s="281">
        <f>K175</f>
        <v>175.4</v>
      </c>
      <c r="L173" s="281">
        <f>M173</f>
        <v>47.3</v>
      </c>
      <c r="M173" s="289">
        <v>47.3</v>
      </c>
      <c r="N173" s="289">
        <v>65.3</v>
      </c>
      <c r="O173" s="281">
        <f>P173</f>
        <v>34.1</v>
      </c>
      <c r="P173" s="281">
        <f>Q173</f>
        <v>34.1</v>
      </c>
      <c r="Q173" s="289">
        <v>34.1</v>
      </c>
      <c r="R173" s="289">
        <v>80.599999999999994</v>
      </c>
      <c r="S173" s="281">
        <f>T173</f>
        <v>33.1</v>
      </c>
      <c r="T173" s="289">
        <v>33.1</v>
      </c>
      <c r="U173" s="289">
        <v>69.900000000000006</v>
      </c>
      <c r="V173" s="281">
        <f>W173</f>
        <v>35.4</v>
      </c>
      <c r="W173" s="281">
        <f>X173</f>
        <v>35.4</v>
      </c>
      <c r="X173" s="289">
        <v>35.4</v>
      </c>
      <c r="Y173" s="289">
        <v>171.3</v>
      </c>
      <c r="Z173" s="281">
        <f>AA173</f>
        <v>91.9</v>
      </c>
      <c r="AA173" s="289">
        <v>91.9</v>
      </c>
      <c r="AB173" s="289">
        <v>58.4</v>
      </c>
      <c r="AC173" s="281">
        <f>AD173</f>
        <v>42.4</v>
      </c>
      <c r="AD173" s="281">
        <f>AE173</f>
        <v>42.4</v>
      </c>
      <c r="AE173" s="289">
        <v>42.4</v>
      </c>
      <c r="AF173" s="289">
        <v>42.7</v>
      </c>
      <c r="AG173" s="281">
        <f>AH173</f>
        <v>45.8</v>
      </c>
      <c r="AH173" s="289">
        <v>45.8</v>
      </c>
      <c r="AI173" s="289">
        <v>51.2</v>
      </c>
      <c r="AJ173" s="281">
        <f>AK173</f>
        <v>19.2</v>
      </c>
      <c r="AK173" s="281">
        <f>AL173</f>
        <v>19.2</v>
      </c>
      <c r="AL173" s="289">
        <v>19.2</v>
      </c>
      <c r="AM173" s="289">
        <v>43.1</v>
      </c>
      <c r="AN173" s="281">
        <f>AO173</f>
        <v>17.600000000000001</v>
      </c>
      <c r="AO173" s="289">
        <v>17.600000000000001</v>
      </c>
      <c r="AP173" s="289">
        <v>24.2</v>
      </c>
      <c r="AQ173" s="281">
        <f>AR173</f>
        <v>18.600000000000001</v>
      </c>
      <c r="AR173" s="281">
        <f>AS173</f>
        <v>18.600000000000001</v>
      </c>
      <c r="AS173" s="289">
        <v>18.600000000000001</v>
      </c>
      <c r="AT173" s="289">
        <v>76.099999999999994</v>
      </c>
      <c r="AU173" s="281">
        <f t="shared" ref="AU173:AU178" si="501">+AV173</f>
        <v>23.3</v>
      </c>
      <c r="AV173" s="289">
        <v>23.3</v>
      </c>
      <c r="AW173" s="289">
        <v>38.799999999999997</v>
      </c>
      <c r="AX173" s="289">
        <v>265.39999999999998</v>
      </c>
      <c r="AY173" s="281">
        <f t="shared" ref="AY173:AZ175" si="502">AX173</f>
        <v>265.39999999999998</v>
      </c>
      <c r="AZ173" s="281">
        <f t="shared" si="502"/>
        <v>265.39999999999998</v>
      </c>
      <c r="BA173" s="289">
        <v>297.60000000000002</v>
      </c>
      <c r="BB173" s="281">
        <f>+BC173</f>
        <v>77.3</v>
      </c>
      <c r="BC173" s="289">
        <v>77.3</v>
      </c>
      <c r="BD173" s="289">
        <v>159.5</v>
      </c>
      <c r="BE173" s="281">
        <f t="shared" ref="BE173:BF178" si="503">+BF173</f>
        <v>153.69999999999999</v>
      </c>
      <c r="BF173" s="281">
        <f t="shared" si="503"/>
        <v>153.69999999999999</v>
      </c>
      <c r="BG173" s="289">
        <v>153.69999999999999</v>
      </c>
      <c r="BH173" s="289">
        <v>198.1</v>
      </c>
      <c r="BI173" s="281">
        <f>+BJ173</f>
        <v>126.6</v>
      </c>
      <c r="BJ173" s="289">
        <v>126.6</v>
      </c>
      <c r="BK173" s="289">
        <v>185.2</v>
      </c>
      <c r="BL173" s="289">
        <v>167.5</v>
      </c>
      <c r="BM173" s="281">
        <f>BL173</f>
        <v>167.5</v>
      </c>
      <c r="BN173" s="281">
        <f>BM173</f>
        <v>167.5</v>
      </c>
      <c r="BO173" s="289">
        <v>32.1</v>
      </c>
      <c r="BP173" s="289">
        <v>60.5</v>
      </c>
      <c r="BQ173" s="281">
        <f>+BP173</f>
        <v>60.5</v>
      </c>
      <c r="BR173" s="289">
        <v>62.3</v>
      </c>
      <c r="BS173" s="289">
        <v>67</v>
      </c>
      <c r="BT173" s="281">
        <f t="shared" ref="BT173:BU178" si="504">BS173</f>
        <v>67</v>
      </c>
      <c r="BU173" s="281">
        <f t="shared" si="504"/>
        <v>67</v>
      </c>
      <c r="BV173" s="289">
        <f>92.3</f>
        <v>92.3</v>
      </c>
      <c r="BW173" s="289">
        <v>83.6</v>
      </c>
      <c r="BX173" s="281">
        <f t="shared" ref="BX173:BX178" si="505">BW173</f>
        <v>83.6</v>
      </c>
      <c r="BY173" s="289">
        <v>94.5</v>
      </c>
      <c r="BZ173" s="289">
        <v>107.1</v>
      </c>
      <c r="CA173" s="281">
        <f t="shared" ref="CA173:CB178" si="506">BZ173</f>
        <v>107.1</v>
      </c>
      <c r="CB173" s="281">
        <f t="shared" si="506"/>
        <v>107.1</v>
      </c>
      <c r="CC173" s="289">
        <v>94.8</v>
      </c>
      <c r="CD173" s="289">
        <v>84.7</v>
      </c>
      <c r="CE173" s="281">
        <f t="shared" ref="CE173:CE178" si="507">CD173</f>
        <v>84.7</v>
      </c>
      <c r="CF173" s="289">
        <v>88.1</v>
      </c>
      <c r="CG173" s="289">
        <v>78.900000000000006</v>
      </c>
      <c r="CH173" s="281">
        <f t="shared" ref="CH173:CI178" si="508">CG173</f>
        <v>78.900000000000006</v>
      </c>
      <c r="CI173" s="281">
        <f t="shared" si="508"/>
        <v>78.900000000000006</v>
      </c>
      <c r="CJ173" s="289">
        <f>112.3</f>
        <v>112.3</v>
      </c>
      <c r="CK173" s="289">
        <v>78.8</v>
      </c>
      <c r="CL173" s="281">
        <f t="shared" ref="CL173:CL178" si="509">CK173</f>
        <v>78.8</v>
      </c>
      <c r="CM173" s="289">
        <v>231.3</v>
      </c>
      <c r="CN173" s="289">
        <v>281.60000000000002</v>
      </c>
      <c r="CO173" s="281">
        <f t="shared" ref="CO173:CP178" si="510">CN173</f>
        <v>281.60000000000002</v>
      </c>
      <c r="CP173" s="282">
        <f t="shared" si="510"/>
        <v>281.60000000000002</v>
      </c>
      <c r="CQ173" s="290">
        <v>182.7</v>
      </c>
      <c r="CR173" s="290">
        <v>108.9</v>
      </c>
      <c r="CS173" s="282">
        <f t="shared" ref="CS173:CS178" si="511">CR173</f>
        <v>108.9</v>
      </c>
      <c r="CT173" s="290">
        <v>118.5</v>
      </c>
      <c r="CU173" s="290">
        <v>78.7</v>
      </c>
      <c r="CV173" s="282">
        <f t="shared" ref="CV173:CW178" si="512">CU173</f>
        <v>78.7</v>
      </c>
      <c r="CW173" s="282">
        <f t="shared" si="512"/>
        <v>78.7</v>
      </c>
      <c r="CX173" s="291">
        <v>96.1</v>
      </c>
      <c r="CY173" s="290">
        <v>95.6</v>
      </c>
      <c r="CZ173" s="282">
        <f t="shared" ref="CZ173:CZ178" si="513">CY173</f>
        <v>95.6</v>
      </c>
      <c r="DA173" s="290">
        <v>148.9</v>
      </c>
      <c r="DB173" s="290">
        <v>144.4</v>
      </c>
      <c r="DC173" s="282">
        <f t="shared" ref="DC173:DD178" si="514">DB173</f>
        <v>144.4</v>
      </c>
      <c r="DD173" s="670">
        <f t="shared" si="514"/>
        <v>144.4</v>
      </c>
      <c r="DE173" s="290">
        <v>197.8</v>
      </c>
      <c r="DF173" s="290">
        <v>390.6</v>
      </c>
      <c r="DG173" s="282">
        <f t="shared" ref="DG173:DG178" si="515">DF173</f>
        <v>390.6</v>
      </c>
      <c r="DH173" s="290">
        <v>601.79999999999995</v>
      </c>
      <c r="DI173" s="290">
        <v>208.5</v>
      </c>
      <c r="DJ173" s="282">
        <f t="shared" ref="DJ173:DK178" si="516">DI173</f>
        <v>208.5</v>
      </c>
      <c r="DK173" s="670">
        <f t="shared" si="516"/>
        <v>208.5</v>
      </c>
      <c r="DL173" s="292">
        <v>131.1</v>
      </c>
      <c r="DM173" s="290">
        <v>132.80000000000001</v>
      </c>
      <c r="DN173" s="282">
        <f t="shared" ref="DN173:DN178" si="517">DM173</f>
        <v>132.80000000000001</v>
      </c>
      <c r="DO173" s="290">
        <v>131.5</v>
      </c>
      <c r="DP173" s="282">
        <f>+DQ173</f>
        <v>125</v>
      </c>
      <c r="DQ173" s="282">
        <f>+DR173</f>
        <v>125</v>
      </c>
      <c r="DR173" s="670">
        <v>125</v>
      </c>
      <c r="DS173" s="290">
        <v>137.30000000000001</v>
      </c>
      <c r="DT173" s="290">
        <v>90.7</v>
      </c>
      <c r="DU173" s="282">
        <f t="shared" ref="DU173:DU178" si="518">DT173</f>
        <v>90.7</v>
      </c>
      <c r="DV173" s="290">
        <v>110</v>
      </c>
      <c r="DW173" s="282">
        <f t="shared" ref="DW173:DX178" si="519">+DX173</f>
        <v>113</v>
      </c>
      <c r="DX173" s="282">
        <f t="shared" si="519"/>
        <v>113</v>
      </c>
      <c r="DY173" s="670">
        <v>113</v>
      </c>
      <c r="DZ173" s="290">
        <v>137</v>
      </c>
      <c r="EA173" s="290">
        <v>154.30000000000001</v>
      </c>
      <c r="EB173" s="282">
        <f t="shared" ref="EB173:EB178" si="520">EA173</f>
        <v>154.30000000000001</v>
      </c>
      <c r="EC173" s="290">
        <v>433.8</v>
      </c>
      <c r="ED173" s="282">
        <f t="shared" ref="ED173:EE178" si="521">+EE173</f>
        <v>365</v>
      </c>
      <c r="EE173" s="282">
        <f t="shared" si="521"/>
        <v>365</v>
      </c>
      <c r="EF173" s="670">
        <v>365</v>
      </c>
      <c r="EG173" s="290">
        <v>360.1</v>
      </c>
      <c r="EH173" s="290">
        <v>368.1</v>
      </c>
      <c r="EI173" s="282">
        <f t="shared" ref="EI173:EI178" si="522">EH173</f>
        <v>368.1</v>
      </c>
      <c r="EJ173" s="290">
        <v>539.1</v>
      </c>
      <c r="EK173" s="282">
        <f t="shared" ref="EK173:EL178" si="523">+EL173</f>
        <v>562.70000000000005</v>
      </c>
      <c r="EL173" s="282">
        <f t="shared" si="523"/>
        <v>562.70000000000005</v>
      </c>
      <c r="EM173" s="670">
        <v>562.70000000000005</v>
      </c>
      <c r="EN173" s="290">
        <v>391.6</v>
      </c>
      <c r="EO173" s="290">
        <v>566.70000000000005</v>
      </c>
      <c r="EP173" s="282">
        <f t="shared" ref="EP173:EP178" si="524">EO173</f>
        <v>566.70000000000005</v>
      </c>
      <c r="EQ173" s="725">
        <v>344.2</v>
      </c>
      <c r="ER173" s="282">
        <f t="shared" ref="ER173:FA178" si="525">EQ173</f>
        <v>344.2</v>
      </c>
      <c r="ES173" s="282">
        <f t="shared" si="525"/>
        <v>344.2</v>
      </c>
      <c r="ET173" s="732">
        <f t="shared" si="525"/>
        <v>344.2</v>
      </c>
      <c r="EU173" s="282">
        <f t="shared" si="525"/>
        <v>344.2</v>
      </c>
      <c r="EV173" s="282">
        <f t="shared" si="525"/>
        <v>344.2</v>
      </c>
      <c r="EW173" s="282">
        <f t="shared" si="525"/>
        <v>344.2</v>
      </c>
      <c r="EX173" s="282">
        <f t="shared" si="525"/>
        <v>344.2</v>
      </c>
      <c r="EY173" s="282">
        <f t="shared" si="525"/>
        <v>344.2</v>
      </c>
      <c r="EZ173" s="282">
        <f t="shared" si="525"/>
        <v>344.2</v>
      </c>
      <c r="FA173" s="590">
        <f t="shared" si="525"/>
        <v>344.2</v>
      </c>
      <c r="FB173" s="282">
        <f t="shared" ref="FB173:FV173" si="526">FA173</f>
        <v>344.2</v>
      </c>
      <c r="FC173" s="282">
        <f t="shared" si="526"/>
        <v>344.2</v>
      </c>
      <c r="FD173" s="282">
        <f t="shared" si="526"/>
        <v>344.2</v>
      </c>
      <c r="FE173" s="282">
        <f t="shared" si="526"/>
        <v>344.2</v>
      </c>
      <c r="FF173" s="282">
        <f t="shared" si="526"/>
        <v>344.2</v>
      </c>
      <c r="FG173" s="282">
        <f t="shared" si="526"/>
        <v>344.2</v>
      </c>
      <c r="FH173" s="590">
        <f t="shared" si="526"/>
        <v>344.2</v>
      </c>
      <c r="FI173" s="282">
        <f t="shared" si="526"/>
        <v>344.2</v>
      </c>
      <c r="FJ173" s="282">
        <f t="shared" si="526"/>
        <v>344.2</v>
      </c>
      <c r="FK173" s="282">
        <f t="shared" si="526"/>
        <v>344.2</v>
      </c>
      <c r="FL173" s="282">
        <f t="shared" si="526"/>
        <v>344.2</v>
      </c>
      <c r="FM173" s="282">
        <f t="shared" si="526"/>
        <v>344.2</v>
      </c>
      <c r="FN173" s="282">
        <f t="shared" si="526"/>
        <v>344.2</v>
      </c>
      <c r="FO173" s="590">
        <f t="shared" si="526"/>
        <v>344.2</v>
      </c>
      <c r="FP173" s="282">
        <f t="shared" si="526"/>
        <v>344.2</v>
      </c>
      <c r="FQ173" s="282">
        <f t="shared" si="526"/>
        <v>344.2</v>
      </c>
      <c r="FR173" s="282">
        <f t="shared" si="526"/>
        <v>344.2</v>
      </c>
      <c r="FS173" s="282">
        <f t="shared" si="526"/>
        <v>344.2</v>
      </c>
      <c r="FT173" s="282">
        <f t="shared" si="526"/>
        <v>344.2</v>
      </c>
      <c r="FU173" s="282">
        <f t="shared" si="526"/>
        <v>344.2</v>
      </c>
      <c r="FV173" s="590">
        <f t="shared" si="526"/>
        <v>344.2</v>
      </c>
    </row>
    <row r="174" spans="1:280" outlineLevel="1" x14ac:dyDescent="0.3">
      <c r="B174" s="279" t="s">
        <v>519</v>
      </c>
      <c r="C174" s="280" t="s">
        <v>226</v>
      </c>
      <c r="D174" s="320"/>
      <c r="E174" s="320"/>
      <c r="F174" s="320"/>
      <c r="G174" s="320"/>
      <c r="H174" s="320"/>
      <c r="I174" s="320"/>
      <c r="J174" s="281"/>
      <c r="K174" s="281"/>
      <c r="L174" s="281">
        <f t="shared" ref="L174:AP174" si="527">L175-L173</f>
        <v>5</v>
      </c>
      <c r="M174" s="281">
        <f t="shared" si="527"/>
        <v>5</v>
      </c>
      <c r="N174" s="281">
        <f t="shared" si="527"/>
        <v>5</v>
      </c>
      <c r="O174" s="281">
        <f t="shared" si="527"/>
        <v>151.9</v>
      </c>
      <c r="P174" s="281">
        <f t="shared" si="527"/>
        <v>151.9</v>
      </c>
      <c r="Q174" s="281">
        <f t="shared" si="527"/>
        <v>151.9</v>
      </c>
      <c r="R174" s="281">
        <f t="shared" si="527"/>
        <v>149.69999999999999</v>
      </c>
      <c r="S174" s="281">
        <f t="shared" si="527"/>
        <v>145.1</v>
      </c>
      <c r="T174" s="281">
        <f t="shared" si="527"/>
        <v>145.1</v>
      </c>
      <c r="U174" s="281">
        <f t="shared" si="527"/>
        <v>130.1</v>
      </c>
      <c r="V174" s="281">
        <f t="shared" si="527"/>
        <v>120.1</v>
      </c>
      <c r="W174" s="281">
        <f t="shared" si="527"/>
        <v>120.1</v>
      </c>
      <c r="X174" s="281">
        <f t="shared" si="527"/>
        <v>120.1</v>
      </c>
      <c r="Y174" s="281">
        <f t="shared" si="527"/>
        <v>104</v>
      </c>
      <c r="Z174" s="281">
        <f t="shared" si="527"/>
        <v>93.799999999999983</v>
      </c>
      <c r="AA174" s="281">
        <f t="shared" si="527"/>
        <v>93.799999999999983</v>
      </c>
      <c r="AB174" s="281">
        <f t="shared" si="527"/>
        <v>78.299999999999983</v>
      </c>
      <c r="AC174" s="281">
        <f t="shared" si="527"/>
        <v>98.6</v>
      </c>
      <c r="AD174" s="281">
        <f t="shared" si="527"/>
        <v>98.6</v>
      </c>
      <c r="AE174" s="281">
        <f t="shared" si="527"/>
        <v>98.6</v>
      </c>
      <c r="AF174" s="281">
        <f t="shared" si="527"/>
        <v>107.39999999999999</v>
      </c>
      <c r="AG174" s="281">
        <f t="shared" si="527"/>
        <v>94.59999999999998</v>
      </c>
      <c r="AH174" s="281">
        <f t="shared" si="527"/>
        <v>94.59999999999998</v>
      </c>
      <c r="AI174" s="281">
        <f t="shared" si="527"/>
        <v>70.600000000000009</v>
      </c>
      <c r="AJ174" s="281">
        <f t="shared" si="527"/>
        <v>58.399999999999991</v>
      </c>
      <c r="AK174" s="281">
        <f t="shared" si="527"/>
        <v>58.399999999999991</v>
      </c>
      <c r="AL174" s="281">
        <f t="shared" si="527"/>
        <v>58.399999999999991</v>
      </c>
      <c r="AM174" s="281">
        <f t="shared" si="527"/>
        <v>112.79999999999998</v>
      </c>
      <c r="AN174" s="281">
        <f t="shared" si="527"/>
        <v>104</v>
      </c>
      <c r="AO174" s="281">
        <f t="shared" si="527"/>
        <v>104</v>
      </c>
      <c r="AP174" s="281">
        <f t="shared" si="527"/>
        <v>87.199999999999989</v>
      </c>
      <c r="AQ174" s="281">
        <f>AQ175-AQ173</f>
        <v>62.699999999999996</v>
      </c>
      <c r="AR174" s="281">
        <f>AR175-AR173</f>
        <v>62.699999999999996</v>
      </c>
      <c r="AS174" s="281">
        <f>AS175-AS173</f>
        <v>62.699999999999996</v>
      </c>
      <c r="AT174" s="281">
        <f>+AT175-AT173</f>
        <v>48.599999999999994</v>
      </c>
      <c r="AU174" s="281">
        <f t="shared" si="501"/>
        <v>74.499999999999986</v>
      </c>
      <c r="AV174" s="289">
        <f>+AV175-AV173</f>
        <v>74.499999999999986</v>
      </c>
      <c r="AW174" s="281">
        <f>1.6+51.6+5.6</f>
        <v>58.800000000000004</v>
      </c>
      <c r="AX174" s="289">
        <f>140.4+59+6</f>
        <v>205.4</v>
      </c>
      <c r="AY174" s="281">
        <f t="shared" si="502"/>
        <v>205.4</v>
      </c>
      <c r="AZ174" s="281">
        <f t="shared" si="502"/>
        <v>205.4</v>
      </c>
      <c r="BA174" s="326">
        <f>2.6+31.7+112.8</f>
        <v>147.1</v>
      </c>
      <c r="BB174" s="281">
        <f>+BC174</f>
        <v>182.4</v>
      </c>
      <c r="BC174" s="289">
        <f>2.4+63.2+116.8</f>
        <v>182.4</v>
      </c>
      <c r="BD174" s="289">
        <f>2.4+150+7</f>
        <v>159.4</v>
      </c>
      <c r="BE174" s="281">
        <f t="shared" si="503"/>
        <v>136</v>
      </c>
      <c r="BF174" s="281">
        <f t="shared" si="503"/>
        <v>136</v>
      </c>
      <c r="BG174" s="289">
        <f>2.5+126.4+7.1</f>
        <v>136</v>
      </c>
      <c r="BH174" s="289">
        <f>3.2+82.9+6.3</f>
        <v>92.4</v>
      </c>
      <c r="BI174" s="281">
        <f>+BJ174</f>
        <v>70.300000000000011</v>
      </c>
      <c r="BJ174" s="289">
        <f>3.2+60.7+6.4</f>
        <v>70.300000000000011</v>
      </c>
      <c r="BK174" s="289">
        <f>3.2+61.9</f>
        <v>65.099999999999994</v>
      </c>
      <c r="BL174" s="281">
        <f>3.2+60.2+0.1</f>
        <v>63.500000000000007</v>
      </c>
      <c r="BM174" s="281">
        <f>BL174</f>
        <v>63.500000000000007</v>
      </c>
      <c r="BN174" s="281">
        <f>BM174</f>
        <v>63.500000000000007</v>
      </c>
      <c r="BO174" s="289">
        <f>3.2+48.7+0.3</f>
        <v>52.2</v>
      </c>
      <c r="BP174" s="289">
        <f>3.2+78.5</f>
        <v>81.7</v>
      </c>
      <c r="BQ174" s="281">
        <f>+BP174</f>
        <v>81.7</v>
      </c>
      <c r="BR174" s="289">
        <f>2.5+39.9</f>
        <v>42.4</v>
      </c>
      <c r="BS174" s="289">
        <f>5+22</f>
        <v>27</v>
      </c>
      <c r="BT174" s="281">
        <f t="shared" si="504"/>
        <v>27</v>
      </c>
      <c r="BU174" s="281">
        <f t="shared" si="504"/>
        <v>27</v>
      </c>
      <c r="BV174" s="289">
        <f>5+10</f>
        <v>15</v>
      </c>
      <c r="BW174" s="289">
        <f>5+20.9</f>
        <v>25.9</v>
      </c>
      <c r="BX174" s="281">
        <f t="shared" si="505"/>
        <v>25.9</v>
      </c>
      <c r="BY174" s="289">
        <f>5+17.1</f>
        <v>22.1</v>
      </c>
      <c r="BZ174" s="289">
        <f>5+17</f>
        <v>22</v>
      </c>
      <c r="CA174" s="281">
        <f t="shared" si="506"/>
        <v>22</v>
      </c>
      <c r="CB174" s="281">
        <f t="shared" si="506"/>
        <v>22</v>
      </c>
      <c r="CC174" s="289">
        <f>5+20.3</f>
        <v>25.3</v>
      </c>
      <c r="CD174" s="289">
        <f>5+44.6</f>
        <v>49.6</v>
      </c>
      <c r="CE174" s="281">
        <f t="shared" si="507"/>
        <v>49.6</v>
      </c>
      <c r="CF174" s="289">
        <f>5+24.3</f>
        <v>29.3</v>
      </c>
      <c r="CG174" s="289">
        <f>5+108.9</f>
        <v>113.9</v>
      </c>
      <c r="CH174" s="281">
        <f t="shared" si="508"/>
        <v>113.9</v>
      </c>
      <c r="CI174" s="281">
        <f t="shared" si="508"/>
        <v>113.9</v>
      </c>
      <c r="CJ174" s="289">
        <f>36.8+5</f>
        <v>41.8</v>
      </c>
      <c r="CK174" s="289">
        <f>41.7+5</f>
        <v>46.7</v>
      </c>
      <c r="CL174" s="281">
        <f t="shared" si="509"/>
        <v>46.7</v>
      </c>
      <c r="CM174" s="289">
        <f>5+13+78</f>
        <v>96</v>
      </c>
      <c r="CN174" s="289">
        <f>5+26.6+38.4</f>
        <v>70</v>
      </c>
      <c r="CO174" s="281">
        <f t="shared" si="510"/>
        <v>70</v>
      </c>
      <c r="CP174" s="282">
        <f t="shared" si="510"/>
        <v>70</v>
      </c>
      <c r="CQ174" s="290">
        <f>5+38.9</f>
        <v>43.9</v>
      </c>
      <c r="CR174" s="290">
        <f>5.1+19.7+86.5</f>
        <v>111.3</v>
      </c>
      <c r="CS174" s="282">
        <f t="shared" si="511"/>
        <v>111.3</v>
      </c>
      <c r="CT174" s="290">
        <f>5.1+25.6+52.9</f>
        <v>83.6</v>
      </c>
      <c r="CU174" s="290">
        <f>5.1+39.8+17.7</f>
        <v>62.599999999999994</v>
      </c>
      <c r="CV174" s="282">
        <f t="shared" si="512"/>
        <v>62.599999999999994</v>
      </c>
      <c r="CW174" s="282">
        <f t="shared" si="512"/>
        <v>62.599999999999994</v>
      </c>
      <c r="CX174" s="291">
        <f>5.1+35.8</f>
        <v>40.9</v>
      </c>
      <c r="CY174" s="290">
        <f>5.2+38.1+74.3</f>
        <v>117.6</v>
      </c>
      <c r="CZ174" s="282">
        <f t="shared" si="513"/>
        <v>117.6</v>
      </c>
      <c r="DA174" s="290">
        <f>5.2+28.9+63.1</f>
        <v>97.2</v>
      </c>
      <c r="DB174" s="290">
        <f>5+36.4+21.6</f>
        <v>63</v>
      </c>
      <c r="DC174" s="282">
        <f t="shared" si="514"/>
        <v>63</v>
      </c>
      <c r="DD174" s="670">
        <f t="shared" si="514"/>
        <v>63</v>
      </c>
      <c r="DE174" s="290">
        <f>5+37.9</f>
        <v>42.9</v>
      </c>
      <c r="DF174" s="290">
        <f>5+55.8</f>
        <v>60.8</v>
      </c>
      <c r="DG174" s="282">
        <f t="shared" si="515"/>
        <v>60.8</v>
      </c>
      <c r="DH174" s="290">
        <f>5+49+27</f>
        <v>81</v>
      </c>
      <c r="DI174" s="290">
        <f>5+104.9+26.6</f>
        <v>136.5</v>
      </c>
      <c r="DJ174" s="282">
        <f t="shared" si="516"/>
        <v>136.5</v>
      </c>
      <c r="DK174" s="670">
        <f t="shared" si="516"/>
        <v>136.5</v>
      </c>
      <c r="DL174" s="292">
        <f>5+82.1+26.3</f>
        <v>113.39999999999999</v>
      </c>
      <c r="DM174" s="290">
        <f>133.7+5</f>
        <v>138.69999999999999</v>
      </c>
      <c r="DN174" s="282">
        <f t="shared" si="517"/>
        <v>138.69999999999999</v>
      </c>
      <c r="DO174" s="290">
        <f>5+139.1+21.8</f>
        <v>165.9</v>
      </c>
      <c r="DP174" s="282">
        <f t="shared" ref="DP174:DQ178" si="528">+DQ174</f>
        <v>266.60000000000002</v>
      </c>
      <c r="DQ174" s="282">
        <f t="shared" si="528"/>
        <v>266.60000000000002</v>
      </c>
      <c r="DR174" s="670">
        <f>5+141.9+119.7</f>
        <v>266.60000000000002</v>
      </c>
      <c r="DS174" s="290">
        <f>5+67.3+69</f>
        <v>141.30000000000001</v>
      </c>
      <c r="DT174" s="290">
        <f>5+30.9+97.2</f>
        <v>133.1</v>
      </c>
      <c r="DU174" s="282">
        <f t="shared" si="518"/>
        <v>133.1</v>
      </c>
      <c r="DV174" s="290">
        <f>5+28.4+122</f>
        <v>155.4</v>
      </c>
      <c r="DW174" s="282">
        <f t="shared" si="519"/>
        <v>213.5</v>
      </c>
      <c r="DX174" s="282">
        <f t="shared" si="519"/>
        <v>213.5</v>
      </c>
      <c r="DY174" s="670">
        <f>5+67.6+140.9</f>
        <v>213.5</v>
      </c>
      <c r="DZ174" s="290">
        <f>5+15+194.9</f>
        <v>214.9</v>
      </c>
      <c r="EA174" s="290">
        <f>5+20.1+183.4</f>
        <v>208.5</v>
      </c>
      <c r="EB174" s="282">
        <f t="shared" si="520"/>
        <v>208.5</v>
      </c>
      <c r="EC174" s="290">
        <f>5+12.2+194.3</f>
        <v>211.5</v>
      </c>
      <c r="ED174" s="282">
        <f t="shared" si="521"/>
        <v>229.2</v>
      </c>
      <c r="EE174" s="282">
        <f t="shared" si="521"/>
        <v>229.2</v>
      </c>
      <c r="EF174" s="670">
        <f>5+45.8+178.4</f>
        <v>229.2</v>
      </c>
      <c r="EG174" s="290">
        <f>5+18.2+185.5</f>
        <v>208.7</v>
      </c>
      <c r="EH174" s="290">
        <f>5+12.7+194.1</f>
        <v>211.79999999999998</v>
      </c>
      <c r="EI174" s="283">
        <f t="shared" si="522"/>
        <v>211.79999999999998</v>
      </c>
      <c r="EJ174" s="290">
        <f>5+13.4+174.1</f>
        <v>192.5</v>
      </c>
      <c r="EK174" s="282">
        <f t="shared" si="523"/>
        <v>218.70000000000002</v>
      </c>
      <c r="EL174" s="282">
        <f t="shared" si="523"/>
        <v>218.70000000000002</v>
      </c>
      <c r="EM174" s="670">
        <f>5+37.9+175.8</f>
        <v>218.70000000000002</v>
      </c>
      <c r="EN174" s="290">
        <f>1707.8+12.4+183.2</f>
        <v>1903.4</v>
      </c>
      <c r="EO174" s="290">
        <f>5+15.3+185</f>
        <v>205.3</v>
      </c>
      <c r="EP174" s="283">
        <f t="shared" si="524"/>
        <v>205.3</v>
      </c>
      <c r="EQ174" s="292">
        <f>5+25.7+187.3</f>
        <v>218</v>
      </c>
      <c r="ER174" s="282">
        <f t="shared" si="525"/>
        <v>218</v>
      </c>
      <c r="ES174" s="282">
        <f t="shared" si="525"/>
        <v>218</v>
      </c>
      <c r="ET174" s="590">
        <f t="shared" si="525"/>
        <v>218</v>
      </c>
      <c r="EU174" s="282">
        <f t="shared" si="525"/>
        <v>218</v>
      </c>
      <c r="EV174" s="282">
        <f t="shared" si="525"/>
        <v>218</v>
      </c>
      <c r="EW174" s="282">
        <f t="shared" si="525"/>
        <v>218</v>
      </c>
      <c r="EX174" s="282">
        <f t="shared" si="525"/>
        <v>218</v>
      </c>
      <c r="EY174" s="282">
        <f t="shared" si="525"/>
        <v>218</v>
      </c>
      <c r="EZ174" s="282">
        <f t="shared" si="525"/>
        <v>218</v>
      </c>
      <c r="FA174" s="590">
        <f t="shared" si="525"/>
        <v>218</v>
      </c>
      <c r="FB174" s="282">
        <f t="shared" ref="FB174:FV174" si="529">FA174</f>
        <v>218</v>
      </c>
      <c r="FC174" s="282">
        <f t="shared" si="529"/>
        <v>218</v>
      </c>
      <c r="FD174" s="282">
        <f t="shared" si="529"/>
        <v>218</v>
      </c>
      <c r="FE174" s="282">
        <f t="shared" si="529"/>
        <v>218</v>
      </c>
      <c r="FF174" s="282">
        <f t="shared" si="529"/>
        <v>218</v>
      </c>
      <c r="FG174" s="282">
        <f t="shared" si="529"/>
        <v>218</v>
      </c>
      <c r="FH174" s="590">
        <f t="shared" si="529"/>
        <v>218</v>
      </c>
      <c r="FI174" s="282">
        <f t="shared" si="529"/>
        <v>218</v>
      </c>
      <c r="FJ174" s="282">
        <f t="shared" si="529"/>
        <v>218</v>
      </c>
      <c r="FK174" s="282">
        <f t="shared" si="529"/>
        <v>218</v>
      </c>
      <c r="FL174" s="282">
        <f t="shared" si="529"/>
        <v>218</v>
      </c>
      <c r="FM174" s="282">
        <f t="shared" si="529"/>
        <v>218</v>
      </c>
      <c r="FN174" s="282">
        <f t="shared" si="529"/>
        <v>218</v>
      </c>
      <c r="FO174" s="590">
        <f t="shared" si="529"/>
        <v>218</v>
      </c>
      <c r="FP174" s="282">
        <f t="shared" si="529"/>
        <v>218</v>
      </c>
      <c r="FQ174" s="282">
        <f t="shared" si="529"/>
        <v>218</v>
      </c>
      <c r="FR174" s="282">
        <f t="shared" si="529"/>
        <v>218</v>
      </c>
      <c r="FS174" s="282">
        <f t="shared" si="529"/>
        <v>218</v>
      </c>
      <c r="FT174" s="282">
        <f t="shared" si="529"/>
        <v>218</v>
      </c>
      <c r="FU174" s="282">
        <f t="shared" si="529"/>
        <v>218</v>
      </c>
      <c r="FV174" s="590">
        <f t="shared" si="529"/>
        <v>218</v>
      </c>
    </row>
    <row r="175" spans="1:280" outlineLevel="1" x14ac:dyDescent="0.3">
      <c r="B175" s="279" t="s">
        <v>520</v>
      </c>
      <c r="C175" s="280" t="s">
        <v>226</v>
      </c>
      <c r="D175" s="340">
        <v>161.6</v>
      </c>
      <c r="E175" s="320">
        <f>F175</f>
        <v>170.9</v>
      </c>
      <c r="F175" s="340">
        <v>170.9</v>
      </c>
      <c r="G175" s="340">
        <v>149</v>
      </c>
      <c r="H175" s="320">
        <f t="shared" ref="H175:I178" si="530">I175</f>
        <v>315.10000000000002</v>
      </c>
      <c r="I175" s="320">
        <f t="shared" si="530"/>
        <v>315.10000000000002</v>
      </c>
      <c r="J175" s="289">
        <v>315.10000000000002</v>
      </c>
      <c r="K175" s="289">
        <v>175.4</v>
      </c>
      <c r="L175" s="281">
        <f>M175</f>
        <v>52.3</v>
      </c>
      <c r="M175" s="326">
        <f>47.3+5</f>
        <v>52.3</v>
      </c>
      <c r="N175" s="326">
        <f>65.3+5</f>
        <v>70.3</v>
      </c>
      <c r="O175" s="281">
        <f t="shared" ref="O175:P178" si="531">P175</f>
        <v>186</v>
      </c>
      <c r="P175" s="281">
        <f t="shared" si="531"/>
        <v>186</v>
      </c>
      <c r="Q175" s="326">
        <f>34.1+5+146.9</f>
        <v>186</v>
      </c>
      <c r="R175" s="326">
        <f>80.6+149.7</f>
        <v>230.29999999999998</v>
      </c>
      <c r="S175" s="281">
        <f>T175</f>
        <v>178.2</v>
      </c>
      <c r="T175" s="326">
        <f>33.1+5+61.6+78.5</f>
        <v>178.2</v>
      </c>
      <c r="U175" s="326">
        <f>69.9+5+47.7+77.4</f>
        <v>200</v>
      </c>
      <c r="V175" s="281">
        <f t="shared" ref="V175:W178" si="532">W175</f>
        <v>155.5</v>
      </c>
      <c r="W175" s="281">
        <f t="shared" si="532"/>
        <v>155.5</v>
      </c>
      <c r="X175" s="326">
        <f>35.4+5+37.4+77.7</f>
        <v>155.5</v>
      </c>
      <c r="Y175" s="326">
        <f>171.3+5.2+16.5+82.3</f>
        <v>275.3</v>
      </c>
      <c r="Z175" s="281">
        <f>AA175</f>
        <v>185.7</v>
      </c>
      <c r="AA175" s="326">
        <f>91.9+5.2+21.9+66.7</f>
        <v>185.7</v>
      </c>
      <c r="AB175" s="326">
        <f>58.4+5.2+18.4+54.7</f>
        <v>136.69999999999999</v>
      </c>
      <c r="AC175" s="281">
        <f t="shared" ref="AC175:AD178" si="533">AD175</f>
        <v>141</v>
      </c>
      <c r="AD175" s="281">
        <f t="shared" si="533"/>
        <v>141</v>
      </c>
      <c r="AE175" s="289">
        <f>42.4+0.3+45.4+52.9</f>
        <v>141</v>
      </c>
      <c r="AF175" s="289">
        <f>42.7+5.3+43+59.1</f>
        <v>150.1</v>
      </c>
      <c r="AG175" s="281">
        <f>AH175</f>
        <v>140.39999999999998</v>
      </c>
      <c r="AH175" s="289">
        <f>45.8+5.3+45.8+43.5</f>
        <v>140.39999999999998</v>
      </c>
      <c r="AI175" s="289">
        <f>51.2+0.2+43.5+26.9</f>
        <v>121.80000000000001</v>
      </c>
      <c r="AJ175" s="281">
        <f t="shared" ref="AJ175:AK178" si="534">AK175</f>
        <v>77.599999999999994</v>
      </c>
      <c r="AK175" s="281">
        <f t="shared" si="534"/>
        <v>77.599999999999994</v>
      </c>
      <c r="AL175" s="289">
        <f>19.2+0.6+44.5+13.3</f>
        <v>77.599999999999994</v>
      </c>
      <c r="AM175" s="289">
        <f>43.1+64.3+43.8+4.7</f>
        <v>155.89999999999998</v>
      </c>
      <c r="AN175" s="281">
        <f>AO175</f>
        <v>121.6</v>
      </c>
      <c r="AO175" s="289">
        <f>17.6+0.6+98.1+5.3</f>
        <v>121.6</v>
      </c>
      <c r="AP175" s="289">
        <f>24.2+0.7+80.8+5.7</f>
        <v>111.39999999999999</v>
      </c>
      <c r="AQ175" s="281">
        <f t="shared" ref="AQ175:AR178" si="535">AR175</f>
        <v>81.3</v>
      </c>
      <c r="AR175" s="281">
        <f t="shared" si="535"/>
        <v>81.3</v>
      </c>
      <c r="AS175" s="289">
        <f>18.6+0.8+56.1+5.8</f>
        <v>81.3</v>
      </c>
      <c r="AT175" s="289">
        <f>76.1+1.1+41.5+6</f>
        <v>124.69999999999999</v>
      </c>
      <c r="AU175" s="281">
        <f t="shared" si="501"/>
        <v>97.799999999999983</v>
      </c>
      <c r="AV175" s="289">
        <f>23.3+1.8+67.1+5.6</f>
        <v>97.799999999999983</v>
      </c>
      <c r="AW175" s="281">
        <f>+AW174+AW173</f>
        <v>97.6</v>
      </c>
      <c r="AX175" s="281">
        <f>+AX174+AX173</f>
        <v>470.79999999999995</v>
      </c>
      <c r="AY175" s="281">
        <f t="shared" si="502"/>
        <v>470.79999999999995</v>
      </c>
      <c r="AZ175" s="281">
        <f t="shared" si="502"/>
        <v>470.79999999999995</v>
      </c>
      <c r="BA175" s="281">
        <f>+BA174+BA173</f>
        <v>444.70000000000005</v>
      </c>
      <c r="BB175" s="281">
        <f>+BB174+BB173</f>
        <v>259.7</v>
      </c>
      <c r="BC175" s="281">
        <f>+BC174+BC173</f>
        <v>259.7</v>
      </c>
      <c r="BD175" s="281">
        <f>+BD174+BD173</f>
        <v>318.89999999999998</v>
      </c>
      <c r="BE175" s="281">
        <f t="shared" si="503"/>
        <v>289.7</v>
      </c>
      <c r="BF175" s="281">
        <f t="shared" si="503"/>
        <v>289.7</v>
      </c>
      <c r="BG175" s="281">
        <f>+BG174+BG173</f>
        <v>289.7</v>
      </c>
      <c r="BH175" s="281">
        <f>+BH174+BH173</f>
        <v>290.5</v>
      </c>
      <c r="BI175" s="281">
        <f>+BI174+BI173</f>
        <v>196.9</v>
      </c>
      <c r="BJ175" s="281">
        <f>BI175</f>
        <v>196.9</v>
      </c>
      <c r="BK175" s="281">
        <f>+BK174+BK173</f>
        <v>250.29999999999998</v>
      </c>
      <c r="BL175" s="281">
        <f>+BL174+BL173</f>
        <v>231</v>
      </c>
      <c r="BM175" s="281">
        <f t="shared" ref="BM175:BN177" si="536">BL175</f>
        <v>231</v>
      </c>
      <c r="BN175" s="281">
        <f t="shared" si="536"/>
        <v>231</v>
      </c>
      <c r="BO175" s="281">
        <f>+BO174+BO173</f>
        <v>84.300000000000011</v>
      </c>
      <c r="BP175" s="281">
        <f>+BP174+BP173</f>
        <v>142.19999999999999</v>
      </c>
      <c r="BQ175" s="281">
        <f>BP175</f>
        <v>142.19999999999999</v>
      </c>
      <c r="BR175" s="281">
        <f>+BR174+BR173</f>
        <v>104.69999999999999</v>
      </c>
      <c r="BS175" s="281">
        <f>+BS174+BS173</f>
        <v>94</v>
      </c>
      <c r="BT175" s="281">
        <f t="shared" si="504"/>
        <v>94</v>
      </c>
      <c r="BU175" s="281">
        <f t="shared" si="504"/>
        <v>94</v>
      </c>
      <c r="BV175" s="281">
        <f>+BV174+BV173</f>
        <v>107.3</v>
      </c>
      <c r="BW175" s="281">
        <f>SUM(BW173:BW174)</f>
        <v>109.5</v>
      </c>
      <c r="BX175" s="281">
        <f t="shared" si="505"/>
        <v>109.5</v>
      </c>
      <c r="BY175" s="281">
        <f>+BY174+BY173</f>
        <v>116.6</v>
      </c>
      <c r="BZ175" s="281">
        <f>+BZ174+BZ173</f>
        <v>129.1</v>
      </c>
      <c r="CA175" s="281">
        <f t="shared" si="506"/>
        <v>129.1</v>
      </c>
      <c r="CB175" s="281">
        <f t="shared" si="506"/>
        <v>129.1</v>
      </c>
      <c r="CC175" s="281">
        <f>+CC174+CC173</f>
        <v>120.1</v>
      </c>
      <c r="CD175" s="281">
        <f>+CD174+CD173</f>
        <v>134.30000000000001</v>
      </c>
      <c r="CE175" s="281">
        <f t="shared" si="507"/>
        <v>134.30000000000001</v>
      </c>
      <c r="CF175" s="281">
        <f>+CF174+CF173</f>
        <v>117.39999999999999</v>
      </c>
      <c r="CG175" s="281">
        <f>+CG174+CG173</f>
        <v>192.8</v>
      </c>
      <c r="CH175" s="281">
        <f t="shared" si="508"/>
        <v>192.8</v>
      </c>
      <c r="CI175" s="281">
        <f t="shared" si="508"/>
        <v>192.8</v>
      </c>
      <c r="CJ175" s="281">
        <f>+CJ174+CJ173</f>
        <v>154.1</v>
      </c>
      <c r="CK175" s="289">
        <f>SUM(CK173:CK174)</f>
        <v>125.5</v>
      </c>
      <c r="CL175" s="281">
        <f t="shared" si="509"/>
        <v>125.5</v>
      </c>
      <c r="CM175" s="281">
        <f>+CM174+CM173</f>
        <v>327.3</v>
      </c>
      <c r="CN175" s="281">
        <f>+CN174+CN173</f>
        <v>351.6</v>
      </c>
      <c r="CO175" s="281">
        <f t="shared" si="510"/>
        <v>351.6</v>
      </c>
      <c r="CP175" s="282">
        <f t="shared" si="510"/>
        <v>351.6</v>
      </c>
      <c r="CQ175" s="282">
        <f>+CQ174+CQ173</f>
        <v>226.6</v>
      </c>
      <c r="CR175" s="282">
        <f>+CR174+CR173</f>
        <v>220.2</v>
      </c>
      <c r="CS175" s="282">
        <f t="shared" si="511"/>
        <v>220.2</v>
      </c>
      <c r="CT175" s="282">
        <f>+CT174+CT173</f>
        <v>202.1</v>
      </c>
      <c r="CU175" s="282">
        <f>+CU174+CU173</f>
        <v>141.30000000000001</v>
      </c>
      <c r="CV175" s="282">
        <f t="shared" si="512"/>
        <v>141.30000000000001</v>
      </c>
      <c r="CW175" s="282">
        <f t="shared" si="512"/>
        <v>141.30000000000001</v>
      </c>
      <c r="CX175" s="282">
        <f>+CX174+CX173</f>
        <v>137</v>
      </c>
      <c r="CY175" s="282">
        <f>+CY174+CY173</f>
        <v>213.2</v>
      </c>
      <c r="CZ175" s="282">
        <f t="shared" si="513"/>
        <v>213.2</v>
      </c>
      <c r="DA175" s="282">
        <f>+DA174+DA173</f>
        <v>246.10000000000002</v>
      </c>
      <c r="DB175" s="282">
        <f>+DB174+DB173</f>
        <v>207.4</v>
      </c>
      <c r="DC175" s="282">
        <f t="shared" si="514"/>
        <v>207.4</v>
      </c>
      <c r="DD175" s="590">
        <f t="shared" si="514"/>
        <v>207.4</v>
      </c>
      <c r="DE175" s="282">
        <f>+DE174+DE173</f>
        <v>240.70000000000002</v>
      </c>
      <c r="DF175" s="282">
        <f>+DF174+DF173</f>
        <v>451.40000000000003</v>
      </c>
      <c r="DG175" s="282">
        <f t="shared" si="515"/>
        <v>451.40000000000003</v>
      </c>
      <c r="DH175" s="282">
        <f>+DH174+DH173</f>
        <v>682.8</v>
      </c>
      <c r="DI175" s="282">
        <f>+DI174+DI173</f>
        <v>345</v>
      </c>
      <c r="DJ175" s="282">
        <f t="shared" si="516"/>
        <v>345</v>
      </c>
      <c r="DK175" s="590">
        <f>DJ175</f>
        <v>345</v>
      </c>
      <c r="DL175" s="284">
        <f>+DL174+DL173</f>
        <v>244.5</v>
      </c>
      <c r="DM175" s="282">
        <f>+DM174+DM173</f>
        <v>271.5</v>
      </c>
      <c r="DN175" s="282">
        <f t="shared" si="517"/>
        <v>271.5</v>
      </c>
      <c r="DO175" s="282">
        <f>+DO174+DO173</f>
        <v>297.39999999999998</v>
      </c>
      <c r="DP175" s="282">
        <f t="shared" si="528"/>
        <v>391.6</v>
      </c>
      <c r="DQ175" s="282">
        <f t="shared" si="528"/>
        <v>391.6</v>
      </c>
      <c r="DR175" s="590">
        <f>+DR174+DR173</f>
        <v>391.6</v>
      </c>
      <c r="DS175" s="282">
        <f>+DS174+DS173</f>
        <v>278.60000000000002</v>
      </c>
      <c r="DT175" s="282">
        <f>+DT174+DT173</f>
        <v>223.8</v>
      </c>
      <c r="DU175" s="282">
        <f t="shared" si="518"/>
        <v>223.8</v>
      </c>
      <c r="DV175" s="282">
        <f>+DV174+DV173</f>
        <v>265.39999999999998</v>
      </c>
      <c r="DW175" s="282">
        <f t="shared" si="519"/>
        <v>326.5</v>
      </c>
      <c r="DX175" s="282">
        <f t="shared" si="519"/>
        <v>326.5</v>
      </c>
      <c r="DY175" s="590">
        <f>+DY174+DY173</f>
        <v>326.5</v>
      </c>
      <c r="DZ175" s="282">
        <f>+DZ174+DZ173</f>
        <v>351.9</v>
      </c>
      <c r="EA175" s="282">
        <f>+EA174+EA173</f>
        <v>362.8</v>
      </c>
      <c r="EB175" s="282">
        <f t="shared" si="520"/>
        <v>362.8</v>
      </c>
      <c r="EC175" s="282">
        <f>+EC174+EC173</f>
        <v>645.29999999999995</v>
      </c>
      <c r="ED175" s="282">
        <f t="shared" si="521"/>
        <v>594.20000000000005</v>
      </c>
      <c r="EE175" s="282">
        <f t="shared" si="521"/>
        <v>594.20000000000005</v>
      </c>
      <c r="EF175" s="590">
        <f>+EF174+EF173</f>
        <v>594.20000000000005</v>
      </c>
      <c r="EG175" s="282">
        <f>+EG174+EG173</f>
        <v>568.79999999999995</v>
      </c>
      <c r="EH175" s="282">
        <f>+EH174+EH173</f>
        <v>579.9</v>
      </c>
      <c r="EI175" s="282">
        <f t="shared" si="522"/>
        <v>579.9</v>
      </c>
      <c r="EJ175" s="282">
        <f>+EJ174+EJ173</f>
        <v>731.6</v>
      </c>
      <c r="EK175" s="282">
        <f t="shared" si="523"/>
        <v>781.40000000000009</v>
      </c>
      <c r="EL175" s="282">
        <f t="shared" si="523"/>
        <v>781.40000000000009</v>
      </c>
      <c r="EM175" s="590">
        <f>+EM174+EM173</f>
        <v>781.40000000000009</v>
      </c>
      <c r="EN175" s="282">
        <f>+EN174+EN173</f>
        <v>2295</v>
      </c>
      <c r="EO175" s="282">
        <f>+EO174+EO173</f>
        <v>772</v>
      </c>
      <c r="EP175" s="282">
        <f t="shared" si="524"/>
        <v>772</v>
      </c>
      <c r="EQ175" s="284">
        <f>+EQ174+EQ173</f>
        <v>562.20000000000005</v>
      </c>
      <c r="ER175" s="282">
        <f>EQ175+ER127</f>
        <v>562.20000000000005</v>
      </c>
      <c r="ES175" s="282">
        <f t="shared" si="525"/>
        <v>562.20000000000005</v>
      </c>
      <c r="ET175" s="590">
        <f t="shared" si="525"/>
        <v>562.20000000000005</v>
      </c>
      <c r="EU175" s="282">
        <f>ET175+EU127</f>
        <v>562.20000000000005</v>
      </c>
      <c r="EV175" s="282">
        <f>EU175+EV127</f>
        <v>562.20000000000005</v>
      </c>
      <c r="EW175" s="282">
        <f>EV175</f>
        <v>562.20000000000005</v>
      </c>
      <c r="EX175" s="282">
        <f>EW175+EX127</f>
        <v>562.20000000000005</v>
      </c>
      <c r="EY175" s="282">
        <f>EX175+EY127</f>
        <v>562.20000000000005</v>
      </c>
      <c r="EZ175" s="282">
        <f t="shared" si="525"/>
        <v>562.20000000000005</v>
      </c>
      <c r="FA175" s="590">
        <f t="shared" si="525"/>
        <v>562.20000000000005</v>
      </c>
      <c r="FB175" s="282">
        <f>FA175+FB127</f>
        <v>562.20000000000005</v>
      </c>
      <c r="FC175" s="282">
        <f>FB175+FC127</f>
        <v>562.20000000000005</v>
      </c>
      <c r="FD175" s="282">
        <f>FC175</f>
        <v>562.20000000000005</v>
      </c>
      <c r="FE175" s="282">
        <f>FD175+FE127</f>
        <v>562.20000000000005</v>
      </c>
      <c r="FF175" s="282">
        <f>FE175+FF127</f>
        <v>562.20000000000005</v>
      </c>
      <c r="FG175" s="282">
        <f t="shared" ref="FG175:FH178" si="537">FF175</f>
        <v>562.20000000000005</v>
      </c>
      <c r="FH175" s="590">
        <f t="shared" si="537"/>
        <v>562.20000000000005</v>
      </c>
      <c r="FI175" s="282">
        <f>FH175+FI127</f>
        <v>562.20000000000005</v>
      </c>
      <c r="FJ175" s="282">
        <f>FI175+FJ127</f>
        <v>562.20000000000005</v>
      </c>
      <c r="FK175" s="282">
        <f>FJ175</f>
        <v>562.20000000000005</v>
      </c>
      <c r="FL175" s="282">
        <f>FK175+FL127</f>
        <v>562.20000000000005</v>
      </c>
      <c r="FM175" s="282">
        <f>FL175+FM127</f>
        <v>562.20000000000005</v>
      </c>
      <c r="FN175" s="282">
        <f t="shared" ref="FN175:FO178" si="538">FM175</f>
        <v>562.20000000000005</v>
      </c>
      <c r="FO175" s="590">
        <f t="shared" si="538"/>
        <v>562.20000000000005</v>
      </c>
      <c r="FP175" s="282">
        <f>FO175+FP127</f>
        <v>562.20000000000005</v>
      </c>
      <c r="FQ175" s="282">
        <f>FP175+FQ127</f>
        <v>562.20000000000005</v>
      </c>
      <c r="FR175" s="282">
        <f>FQ175</f>
        <v>562.20000000000005</v>
      </c>
      <c r="FS175" s="282">
        <f>FR175+FS127</f>
        <v>562.20000000000005</v>
      </c>
      <c r="FT175" s="282">
        <f>FS175+FT127</f>
        <v>562.20000000000005</v>
      </c>
      <c r="FU175" s="282">
        <f t="shared" ref="FU175:FV178" si="539">FT175</f>
        <v>562.20000000000005</v>
      </c>
      <c r="FV175" s="590">
        <f t="shared" si="539"/>
        <v>562.20000000000005</v>
      </c>
    </row>
    <row r="176" spans="1:280" outlineLevel="1" x14ac:dyDescent="0.3">
      <c r="B176" s="279" t="s">
        <v>521</v>
      </c>
      <c r="C176" s="280" t="s">
        <v>226</v>
      </c>
      <c r="D176" s="340">
        <v>139</v>
      </c>
      <c r="E176" s="320">
        <f>F176</f>
        <v>131.9</v>
      </c>
      <c r="F176" s="340">
        <v>131.9</v>
      </c>
      <c r="G176" s="340">
        <v>125.1</v>
      </c>
      <c r="H176" s="320">
        <f t="shared" si="530"/>
        <v>153.19999999999999</v>
      </c>
      <c r="I176" s="320">
        <f t="shared" si="530"/>
        <v>153.19999999999999</v>
      </c>
      <c r="J176" s="289">
        <v>153.19999999999999</v>
      </c>
      <c r="K176" s="289">
        <v>158</v>
      </c>
      <c r="L176" s="281">
        <f>M176</f>
        <v>157.6</v>
      </c>
      <c r="M176" s="289">
        <v>157.6</v>
      </c>
      <c r="N176" s="289">
        <v>123.3</v>
      </c>
      <c r="O176" s="281">
        <f t="shared" si="531"/>
        <v>163.4</v>
      </c>
      <c r="P176" s="281">
        <f t="shared" si="531"/>
        <v>163.4</v>
      </c>
      <c r="Q176" s="289">
        <v>163.4</v>
      </c>
      <c r="R176" s="289">
        <v>168.2</v>
      </c>
      <c r="S176" s="281">
        <f>T176</f>
        <v>171.1</v>
      </c>
      <c r="T176" s="289">
        <v>171.1</v>
      </c>
      <c r="U176" s="289">
        <v>131.80000000000001</v>
      </c>
      <c r="V176" s="281">
        <f t="shared" si="532"/>
        <v>131.4</v>
      </c>
      <c r="W176" s="281">
        <f t="shared" si="532"/>
        <v>131.4</v>
      </c>
      <c r="X176" s="289">
        <v>131.4</v>
      </c>
      <c r="Y176" s="289">
        <v>140.6</v>
      </c>
      <c r="Z176" s="281">
        <f>AA176</f>
        <v>124.9</v>
      </c>
      <c r="AA176" s="289">
        <v>124.9</v>
      </c>
      <c r="AB176" s="289">
        <v>88.9</v>
      </c>
      <c r="AC176" s="281">
        <f t="shared" si="533"/>
        <v>111.4</v>
      </c>
      <c r="AD176" s="281">
        <f t="shared" si="533"/>
        <v>111.4</v>
      </c>
      <c r="AE176" s="289">
        <v>111.4</v>
      </c>
      <c r="AF176" s="289">
        <v>123.1</v>
      </c>
      <c r="AG176" s="281">
        <f>AH176</f>
        <v>127.6</v>
      </c>
      <c r="AH176" s="289">
        <v>127.6</v>
      </c>
      <c r="AI176" s="289">
        <v>114.7</v>
      </c>
      <c r="AJ176" s="281">
        <f t="shared" si="534"/>
        <v>155</v>
      </c>
      <c r="AK176" s="281">
        <f t="shared" si="534"/>
        <v>155</v>
      </c>
      <c r="AL176" s="289">
        <v>155</v>
      </c>
      <c r="AM176" s="289">
        <v>119.1</v>
      </c>
      <c r="AN176" s="281">
        <f>AO176</f>
        <v>137.19999999999999</v>
      </c>
      <c r="AO176" s="289">
        <v>137.19999999999999</v>
      </c>
      <c r="AP176" s="289">
        <v>100.9</v>
      </c>
      <c r="AQ176" s="281">
        <f t="shared" si="535"/>
        <v>138.1</v>
      </c>
      <c r="AR176" s="281">
        <f t="shared" si="535"/>
        <v>138.1</v>
      </c>
      <c r="AS176" s="289">
        <v>138.1</v>
      </c>
      <c r="AT176" s="289">
        <v>131.9</v>
      </c>
      <c r="AU176" s="281">
        <f t="shared" si="501"/>
        <v>137.6</v>
      </c>
      <c r="AV176" s="289">
        <v>137.6</v>
      </c>
      <c r="AW176" s="281">
        <f>AW229</f>
        <v>110.4</v>
      </c>
      <c r="AX176" s="289">
        <v>137.69999999999999</v>
      </c>
      <c r="AY176" s="281">
        <f>+AX176</f>
        <v>137.69999999999999</v>
      </c>
      <c r="AZ176" s="281">
        <f>+AY176</f>
        <v>137.69999999999999</v>
      </c>
      <c r="BA176" s="289">
        <v>146</v>
      </c>
      <c r="BB176" s="281">
        <f>+BC176</f>
        <v>142</v>
      </c>
      <c r="BC176" s="289">
        <v>142</v>
      </c>
      <c r="BD176" s="289">
        <v>110.7</v>
      </c>
      <c r="BE176" s="281">
        <f t="shared" si="503"/>
        <v>143.4</v>
      </c>
      <c r="BF176" s="281">
        <f t="shared" si="503"/>
        <v>143.4</v>
      </c>
      <c r="BG176" s="289">
        <v>143.4</v>
      </c>
      <c r="BH176" s="289">
        <v>141.69999999999999</v>
      </c>
      <c r="BI176" s="281">
        <f>+BJ176</f>
        <v>133.6</v>
      </c>
      <c r="BJ176" s="289">
        <v>133.6</v>
      </c>
      <c r="BK176" s="289">
        <f>113+0.1</f>
        <v>113.1</v>
      </c>
      <c r="BL176" s="289">
        <v>139.19999999999999</v>
      </c>
      <c r="BM176" s="281">
        <f t="shared" si="536"/>
        <v>139.19999999999999</v>
      </c>
      <c r="BN176" s="281">
        <f t="shared" si="536"/>
        <v>139.19999999999999</v>
      </c>
      <c r="BO176" s="289">
        <v>141.4</v>
      </c>
      <c r="BP176" s="289">
        <v>142.19999999999999</v>
      </c>
      <c r="BQ176" s="281">
        <f>+BP176</f>
        <v>142.19999999999999</v>
      </c>
      <c r="BR176" s="289">
        <v>109.8</v>
      </c>
      <c r="BS176" s="289">
        <v>133.30000000000001</v>
      </c>
      <c r="BT176" s="281">
        <f t="shared" si="504"/>
        <v>133.30000000000001</v>
      </c>
      <c r="BU176" s="281">
        <f t="shared" si="504"/>
        <v>133.30000000000001</v>
      </c>
      <c r="BV176" s="289">
        <f>153.9</f>
        <v>153.9</v>
      </c>
      <c r="BW176" s="289">
        <v>151.6</v>
      </c>
      <c r="BX176" s="281">
        <f t="shared" si="505"/>
        <v>151.6</v>
      </c>
      <c r="BY176" s="289">
        <v>122.9</v>
      </c>
      <c r="BZ176" s="289">
        <v>173.3</v>
      </c>
      <c r="CA176" s="281">
        <f t="shared" si="506"/>
        <v>173.3</v>
      </c>
      <c r="CB176" s="281">
        <f t="shared" si="506"/>
        <v>173.3</v>
      </c>
      <c r="CC176" s="289">
        <v>172.5</v>
      </c>
      <c r="CD176" s="289">
        <v>172.1</v>
      </c>
      <c r="CE176" s="281">
        <f t="shared" si="507"/>
        <v>172.1</v>
      </c>
      <c r="CF176" s="289">
        <v>140.6</v>
      </c>
      <c r="CG176" s="289">
        <v>199.5</v>
      </c>
      <c r="CH176" s="281">
        <f t="shared" si="508"/>
        <v>199.5</v>
      </c>
      <c r="CI176" s="281">
        <f t="shared" si="508"/>
        <v>199.5</v>
      </c>
      <c r="CJ176" s="289">
        <v>188.6</v>
      </c>
      <c r="CK176" s="289">
        <v>191.9</v>
      </c>
      <c r="CL176" s="281">
        <f t="shared" si="509"/>
        <v>191.9</v>
      </c>
      <c r="CM176" s="289">
        <f>157.3</f>
        <v>157.30000000000001</v>
      </c>
      <c r="CN176" s="289">
        <v>202.7</v>
      </c>
      <c r="CO176" s="281">
        <f t="shared" si="510"/>
        <v>202.7</v>
      </c>
      <c r="CP176" s="282">
        <f t="shared" si="510"/>
        <v>202.7</v>
      </c>
      <c r="CQ176" s="290">
        <v>225.6</v>
      </c>
      <c r="CR176" s="290">
        <v>238</v>
      </c>
      <c r="CS176" s="282">
        <f t="shared" si="511"/>
        <v>238</v>
      </c>
      <c r="CT176" s="290">
        <v>171.6</v>
      </c>
      <c r="CU176" s="290">
        <v>254.6</v>
      </c>
      <c r="CV176" s="282">
        <f t="shared" si="512"/>
        <v>254.6</v>
      </c>
      <c r="CW176" s="282">
        <f t="shared" si="512"/>
        <v>254.6</v>
      </c>
      <c r="CX176" s="291">
        <v>258.3</v>
      </c>
      <c r="CY176" s="290">
        <v>240.8</v>
      </c>
      <c r="CZ176" s="282">
        <f t="shared" si="513"/>
        <v>240.8</v>
      </c>
      <c r="DA176" s="290">
        <v>203.1</v>
      </c>
      <c r="DB176" s="290">
        <v>363.3</v>
      </c>
      <c r="DC176" s="282">
        <f t="shared" si="514"/>
        <v>363.3</v>
      </c>
      <c r="DD176" s="670">
        <f t="shared" si="514"/>
        <v>363.3</v>
      </c>
      <c r="DE176" s="290">
        <v>330</v>
      </c>
      <c r="DF176" s="290">
        <v>305.5</v>
      </c>
      <c r="DG176" s="282">
        <f t="shared" si="515"/>
        <v>305.5</v>
      </c>
      <c r="DH176" s="290">
        <v>272</v>
      </c>
      <c r="DI176" s="290">
        <v>333.2</v>
      </c>
      <c r="DJ176" s="282">
        <f t="shared" si="516"/>
        <v>333.2</v>
      </c>
      <c r="DK176" s="670">
        <f t="shared" si="516"/>
        <v>333.2</v>
      </c>
      <c r="DL176" s="292">
        <v>338</v>
      </c>
      <c r="DM176" s="290">
        <v>333.9</v>
      </c>
      <c r="DN176" s="282">
        <f t="shared" si="517"/>
        <v>333.9</v>
      </c>
      <c r="DO176" s="290">
        <v>325.60000000000002</v>
      </c>
      <c r="DP176" s="282">
        <f t="shared" si="528"/>
        <v>398.4</v>
      </c>
      <c r="DQ176" s="282">
        <f t="shared" si="528"/>
        <v>398.4</v>
      </c>
      <c r="DR176" s="670">
        <v>398.4</v>
      </c>
      <c r="DS176" s="290">
        <v>371.8</v>
      </c>
      <c r="DT176" s="290">
        <v>343.4</v>
      </c>
      <c r="DU176" s="282">
        <f t="shared" si="518"/>
        <v>343.4</v>
      </c>
      <c r="DV176" s="290">
        <v>286.2</v>
      </c>
      <c r="DW176" s="282">
        <f t="shared" si="519"/>
        <v>354.8</v>
      </c>
      <c r="DX176" s="282">
        <f t="shared" si="519"/>
        <v>354.8</v>
      </c>
      <c r="DY176" s="670">
        <v>354.8</v>
      </c>
      <c r="DZ176" s="290">
        <v>359.3</v>
      </c>
      <c r="EA176" s="290">
        <v>357.9</v>
      </c>
      <c r="EB176" s="282">
        <f t="shared" si="520"/>
        <v>357.9</v>
      </c>
      <c r="EC176" s="290">
        <v>311.60000000000002</v>
      </c>
      <c r="ED176" s="282">
        <f t="shared" si="521"/>
        <v>366.1</v>
      </c>
      <c r="EE176" s="282">
        <f t="shared" si="521"/>
        <v>366.1</v>
      </c>
      <c r="EF176" s="670">
        <v>366.1</v>
      </c>
      <c r="EG176" s="290">
        <v>366</v>
      </c>
      <c r="EH176" s="290">
        <v>346.8</v>
      </c>
      <c r="EI176" s="282">
        <f t="shared" si="522"/>
        <v>346.8</v>
      </c>
      <c r="EJ176" s="290">
        <v>270.60000000000002</v>
      </c>
      <c r="EK176" s="282">
        <f t="shared" si="523"/>
        <v>391.8</v>
      </c>
      <c r="EL176" s="282">
        <f t="shared" si="523"/>
        <v>391.8</v>
      </c>
      <c r="EM176" s="670">
        <v>391.8</v>
      </c>
      <c r="EN176" s="290">
        <v>323.2</v>
      </c>
      <c r="EO176" s="290">
        <v>359.7</v>
      </c>
      <c r="EP176" s="282">
        <f t="shared" si="524"/>
        <v>359.7</v>
      </c>
      <c r="EQ176" s="292">
        <v>311</v>
      </c>
      <c r="ER176" s="282">
        <f>ER229</f>
        <v>570.81959316207519</v>
      </c>
      <c r="ES176" s="282">
        <f t="shared" si="525"/>
        <v>570.81959316207519</v>
      </c>
      <c r="ET176" s="590">
        <f t="shared" si="525"/>
        <v>570.81959316207519</v>
      </c>
      <c r="EU176" s="282">
        <f>EU229</f>
        <v>502.0332838904805</v>
      </c>
      <c r="EV176" s="282">
        <f>EV229</f>
        <v>406.09071214273223</v>
      </c>
      <c r="EW176" s="282">
        <f>EV176</f>
        <v>406.09071214273223</v>
      </c>
      <c r="EX176" s="282">
        <f>EX229</f>
        <v>350.69702283595132</v>
      </c>
      <c r="EY176" s="282">
        <f>EY229</f>
        <v>619.17663431703238</v>
      </c>
      <c r="EZ176" s="282">
        <f t="shared" si="525"/>
        <v>619.17663431703238</v>
      </c>
      <c r="FA176" s="590">
        <f t="shared" si="525"/>
        <v>619.17663431703238</v>
      </c>
      <c r="FB176" s="282">
        <f>FB229</f>
        <v>548.42914381551418</v>
      </c>
      <c r="FC176" s="282">
        <f>FC229</f>
        <v>449.30583101516976</v>
      </c>
      <c r="FD176" s="282">
        <f>FC176</f>
        <v>449.30583101516976</v>
      </c>
      <c r="FE176" s="282">
        <f>FE229</f>
        <v>387.92171425662718</v>
      </c>
      <c r="FF176" s="282">
        <f>FF229</f>
        <v>680.1487386790775</v>
      </c>
      <c r="FG176" s="282">
        <f t="shared" si="537"/>
        <v>680.1487386790775</v>
      </c>
      <c r="FH176" s="590">
        <f t="shared" si="537"/>
        <v>680.1487386790775</v>
      </c>
      <c r="FI176" s="282">
        <f>FI229</f>
        <v>591.99009622418509</v>
      </c>
      <c r="FJ176" s="282">
        <f>FJ229</f>
        <v>482.80137549549858</v>
      </c>
      <c r="FK176" s="282">
        <f>FJ176</f>
        <v>482.80137549549858</v>
      </c>
      <c r="FL176" s="282">
        <f>FL229</f>
        <v>416.15386202716354</v>
      </c>
      <c r="FM176" s="282">
        <f>FM229</f>
        <v>724.97465575360263</v>
      </c>
      <c r="FN176" s="282">
        <f t="shared" si="538"/>
        <v>724.97465575360263</v>
      </c>
      <c r="FO176" s="590">
        <f t="shared" si="538"/>
        <v>724.97465575360263</v>
      </c>
      <c r="FP176" s="282">
        <f>FP229</f>
        <v>633.38137460224209</v>
      </c>
      <c r="FQ176" s="282">
        <f>FQ229</f>
        <v>519.94519011713248</v>
      </c>
      <c r="FR176" s="282">
        <f>FQ176</f>
        <v>519.94519011713248</v>
      </c>
      <c r="FS176" s="282">
        <f>FS229</f>
        <v>449.60127505549548</v>
      </c>
      <c r="FT176" s="282">
        <f>FT229</f>
        <v>780.4646645098793</v>
      </c>
      <c r="FU176" s="282">
        <f t="shared" si="539"/>
        <v>780.4646645098793</v>
      </c>
      <c r="FV176" s="590">
        <f t="shared" si="539"/>
        <v>780.4646645098793</v>
      </c>
      <c r="FW176" s="534"/>
    </row>
    <row r="177" spans="1:280" outlineLevel="1" x14ac:dyDescent="0.3">
      <c r="B177" s="279" t="s">
        <v>76</v>
      </c>
      <c r="C177" s="280" t="s">
        <v>226</v>
      </c>
      <c r="D177" s="340">
        <v>104.1</v>
      </c>
      <c r="E177" s="320">
        <f>F177</f>
        <v>109.7</v>
      </c>
      <c r="F177" s="340">
        <v>109.7</v>
      </c>
      <c r="G177" s="340">
        <v>114.3</v>
      </c>
      <c r="H177" s="320">
        <f t="shared" si="530"/>
        <v>124</v>
      </c>
      <c r="I177" s="320">
        <f t="shared" si="530"/>
        <v>124</v>
      </c>
      <c r="J177" s="289">
        <v>124</v>
      </c>
      <c r="K177" s="289">
        <v>136.9</v>
      </c>
      <c r="L177" s="281">
        <f>M177</f>
        <v>142.19999999999999</v>
      </c>
      <c r="M177" s="289">
        <v>142.19999999999999</v>
      </c>
      <c r="N177" s="289">
        <v>152.80000000000001</v>
      </c>
      <c r="O177" s="281">
        <f t="shared" si="531"/>
        <v>147.6</v>
      </c>
      <c r="P177" s="281">
        <f t="shared" si="531"/>
        <v>147.6</v>
      </c>
      <c r="Q177" s="289">
        <v>147.6</v>
      </c>
      <c r="R177" s="289">
        <v>133.6</v>
      </c>
      <c r="S177" s="281">
        <f>T177</f>
        <v>136.19999999999999</v>
      </c>
      <c r="T177" s="289">
        <v>136.19999999999999</v>
      </c>
      <c r="U177" s="289">
        <v>156.19999999999999</v>
      </c>
      <c r="V177" s="281">
        <f t="shared" si="532"/>
        <v>179.7</v>
      </c>
      <c r="W177" s="281">
        <f t="shared" si="532"/>
        <v>179.7</v>
      </c>
      <c r="X177" s="289">
        <v>179.7</v>
      </c>
      <c r="Y177" s="289">
        <v>159</v>
      </c>
      <c r="Z177" s="281">
        <f>AA177</f>
        <v>152.4</v>
      </c>
      <c r="AA177" s="289">
        <v>152.4</v>
      </c>
      <c r="AB177" s="289">
        <v>145.19999999999999</v>
      </c>
      <c r="AC177" s="281">
        <f t="shared" si="533"/>
        <v>128.9</v>
      </c>
      <c r="AD177" s="281">
        <f t="shared" si="533"/>
        <v>128.9</v>
      </c>
      <c r="AE177" s="289">
        <v>128.9</v>
      </c>
      <c r="AF177" s="289">
        <v>129.30000000000001</v>
      </c>
      <c r="AG177" s="281">
        <f>AH177</f>
        <v>128.4</v>
      </c>
      <c r="AH177" s="289">
        <v>128.4</v>
      </c>
      <c r="AI177" s="289">
        <v>133.30000000000001</v>
      </c>
      <c r="AJ177" s="281">
        <f t="shared" si="534"/>
        <v>149.1</v>
      </c>
      <c r="AK177" s="281">
        <f t="shared" si="534"/>
        <v>149.1</v>
      </c>
      <c r="AL177" s="289">
        <v>149.1</v>
      </c>
      <c r="AM177" s="289">
        <v>154.9</v>
      </c>
      <c r="AN177" s="281">
        <f>AO177</f>
        <v>146.69999999999999</v>
      </c>
      <c r="AO177" s="289">
        <v>146.69999999999999</v>
      </c>
      <c r="AP177" s="289">
        <v>155.1</v>
      </c>
      <c r="AQ177" s="281">
        <f t="shared" si="535"/>
        <v>161.5</v>
      </c>
      <c r="AR177" s="281">
        <f t="shared" si="535"/>
        <v>161.5</v>
      </c>
      <c r="AS177" s="289">
        <v>161.5</v>
      </c>
      <c r="AT177" s="289">
        <v>170.4</v>
      </c>
      <c r="AU177" s="281">
        <f t="shared" si="501"/>
        <v>167.9</v>
      </c>
      <c r="AV177" s="289">
        <v>167.9</v>
      </c>
      <c r="AW177" s="281">
        <f>AW228</f>
        <v>179.1</v>
      </c>
      <c r="AX177" s="289">
        <v>189</v>
      </c>
      <c r="AY177" s="281">
        <f>+AX177</f>
        <v>189</v>
      </c>
      <c r="AZ177" s="281">
        <f>+AY177</f>
        <v>189</v>
      </c>
      <c r="BA177" s="289">
        <v>187.7</v>
      </c>
      <c r="BB177" s="281">
        <f>+BC177</f>
        <v>197.2</v>
      </c>
      <c r="BC177" s="289">
        <v>197.2</v>
      </c>
      <c r="BD177" s="289">
        <v>180.9</v>
      </c>
      <c r="BE177" s="281">
        <f t="shared" si="503"/>
        <v>172.1</v>
      </c>
      <c r="BF177" s="281">
        <f t="shared" si="503"/>
        <v>172.1</v>
      </c>
      <c r="BG177" s="289">
        <v>172.1</v>
      </c>
      <c r="BH177" s="289">
        <v>169.8</v>
      </c>
      <c r="BI177" s="281">
        <f>+BJ177</f>
        <v>169.1</v>
      </c>
      <c r="BJ177" s="289">
        <v>169.1</v>
      </c>
      <c r="BK177" s="289">
        <v>184.5</v>
      </c>
      <c r="BL177" s="289">
        <v>190.7</v>
      </c>
      <c r="BM177" s="281">
        <f t="shared" si="536"/>
        <v>190.7</v>
      </c>
      <c r="BN177" s="281">
        <f t="shared" si="536"/>
        <v>190.7</v>
      </c>
      <c r="BO177" s="289">
        <v>204.6</v>
      </c>
      <c r="BP177" s="289">
        <v>199.7</v>
      </c>
      <c r="BQ177" s="281">
        <f>+BP177</f>
        <v>199.7</v>
      </c>
      <c r="BR177" s="289">
        <v>217.5</v>
      </c>
      <c r="BS177" s="289">
        <v>218</v>
      </c>
      <c r="BT177" s="281">
        <f t="shared" si="504"/>
        <v>218</v>
      </c>
      <c r="BU177" s="281">
        <f t="shared" si="504"/>
        <v>218</v>
      </c>
      <c r="BV177" s="289">
        <f>207.6</f>
        <v>207.6</v>
      </c>
      <c r="BW177" s="289">
        <v>187.8</v>
      </c>
      <c r="BX177" s="281">
        <f t="shared" si="505"/>
        <v>187.8</v>
      </c>
      <c r="BY177" s="289">
        <v>193.9</v>
      </c>
      <c r="BZ177" s="289">
        <v>193</v>
      </c>
      <c r="CA177" s="281">
        <f t="shared" si="506"/>
        <v>193</v>
      </c>
      <c r="CB177" s="281">
        <f t="shared" si="506"/>
        <v>193</v>
      </c>
      <c r="CC177" s="289">
        <v>186</v>
      </c>
      <c r="CD177" s="289">
        <v>177</v>
      </c>
      <c r="CE177" s="281">
        <f t="shared" si="507"/>
        <v>177</v>
      </c>
      <c r="CF177" s="289">
        <v>191.4</v>
      </c>
      <c r="CG177" s="289">
        <v>202.9</v>
      </c>
      <c r="CH177" s="281">
        <f t="shared" si="508"/>
        <v>202.9</v>
      </c>
      <c r="CI177" s="281">
        <f t="shared" si="508"/>
        <v>202.9</v>
      </c>
      <c r="CJ177" s="289">
        <v>214.7</v>
      </c>
      <c r="CK177" s="289">
        <v>231.2</v>
      </c>
      <c r="CL177" s="281">
        <f t="shared" si="509"/>
        <v>231.2</v>
      </c>
      <c r="CM177" s="289">
        <f>252.1</f>
        <v>252.1</v>
      </c>
      <c r="CN177" s="289">
        <v>255.7</v>
      </c>
      <c r="CO177" s="281">
        <f t="shared" si="510"/>
        <v>255.7</v>
      </c>
      <c r="CP177" s="282">
        <f t="shared" si="510"/>
        <v>255.7</v>
      </c>
      <c r="CQ177" s="290">
        <v>287.8</v>
      </c>
      <c r="CR177" s="290">
        <v>287.8</v>
      </c>
      <c r="CS177" s="282">
        <f t="shared" si="511"/>
        <v>287.8</v>
      </c>
      <c r="CT177" s="290">
        <v>315.39999999999998</v>
      </c>
      <c r="CU177" s="290">
        <v>317.39999999999998</v>
      </c>
      <c r="CV177" s="282">
        <f t="shared" si="512"/>
        <v>317.39999999999998</v>
      </c>
      <c r="CW177" s="282">
        <f t="shared" si="512"/>
        <v>317.39999999999998</v>
      </c>
      <c r="CX177" s="291">
        <v>311.7</v>
      </c>
      <c r="CY177" s="290">
        <v>310.39999999999998</v>
      </c>
      <c r="CZ177" s="282">
        <f t="shared" si="513"/>
        <v>310.39999999999998</v>
      </c>
      <c r="DA177" s="290">
        <v>329.5</v>
      </c>
      <c r="DB177" s="290">
        <v>305.10000000000002</v>
      </c>
      <c r="DC177" s="282">
        <f t="shared" si="514"/>
        <v>305.10000000000002</v>
      </c>
      <c r="DD177" s="670">
        <f t="shared" si="514"/>
        <v>305.10000000000002</v>
      </c>
      <c r="DE177" s="290">
        <v>258.5</v>
      </c>
      <c r="DF177" s="290">
        <v>230.2</v>
      </c>
      <c r="DG177" s="282">
        <f t="shared" si="515"/>
        <v>230.2</v>
      </c>
      <c r="DH177" s="290">
        <v>230.1</v>
      </c>
      <c r="DI177" s="290">
        <v>218.3</v>
      </c>
      <c r="DJ177" s="282">
        <f t="shared" si="516"/>
        <v>218.3</v>
      </c>
      <c r="DK177" s="670">
        <f t="shared" si="516"/>
        <v>218.3</v>
      </c>
      <c r="DL177" s="292">
        <v>226.8</v>
      </c>
      <c r="DM177" s="290">
        <v>239.2</v>
      </c>
      <c r="DN177" s="282">
        <f t="shared" si="517"/>
        <v>239.2</v>
      </c>
      <c r="DO177" s="290">
        <v>270.10000000000002</v>
      </c>
      <c r="DP177" s="282">
        <f t="shared" si="528"/>
        <v>279.7</v>
      </c>
      <c r="DQ177" s="282">
        <f t="shared" si="528"/>
        <v>279.7</v>
      </c>
      <c r="DR177" s="670">
        <v>279.7</v>
      </c>
      <c r="DS177" s="290">
        <v>297.89999999999998</v>
      </c>
      <c r="DT177" s="290">
        <v>320.2</v>
      </c>
      <c r="DU177" s="282">
        <f t="shared" si="518"/>
        <v>320.2</v>
      </c>
      <c r="DV177" s="290">
        <v>371.4</v>
      </c>
      <c r="DW177" s="282">
        <f t="shared" si="519"/>
        <v>344.2</v>
      </c>
      <c r="DX177" s="282">
        <f t="shared" si="519"/>
        <v>344.2</v>
      </c>
      <c r="DY177" s="670">
        <v>344.2</v>
      </c>
      <c r="DZ177" s="290">
        <v>312.10000000000002</v>
      </c>
      <c r="EA177" s="290">
        <v>296.7</v>
      </c>
      <c r="EB177" s="282">
        <f t="shared" si="520"/>
        <v>296.7</v>
      </c>
      <c r="EC177" s="290">
        <v>321.39999999999998</v>
      </c>
      <c r="ED177" s="282">
        <f t="shared" si="521"/>
        <v>337.8</v>
      </c>
      <c r="EE177" s="282">
        <f t="shared" si="521"/>
        <v>337.8</v>
      </c>
      <c r="EF177" s="670">
        <v>337.8</v>
      </c>
      <c r="EG177" s="290">
        <v>369</v>
      </c>
      <c r="EH177" s="290">
        <v>372.7</v>
      </c>
      <c r="EI177" s="282">
        <f t="shared" si="522"/>
        <v>372.7</v>
      </c>
      <c r="EJ177" s="290">
        <v>350.3</v>
      </c>
      <c r="EK177" s="282">
        <f t="shared" si="523"/>
        <v>347.1</v>
      </c>
      <c r="EL177" s="282">
        <f t="shared" si="523"/>
        <v>347.1</v>
      </c>
      <c r="EM177" s="670">
        <v>347.1</v>
      </c>
      <c r="EN177" s="290">
        <v>382.9</v>
      </c>
      <c r="EO177" s="290">
        <v>638</v>
      </c>
      <c r="EP177" s="282">
        <f t="shared" si="524"/>
        <v>638</v>
      </c>
      <c r="EQ177" s="292">
        <v>665.8</v>
      </c>
      <c r="ER177" s="282">
        <f>ER228</f>
        <v>505.69545887329326</v>
      </c>
      <c r="ES177" s="282">
        <f t="shared" si="525"/>
        <v>505.69545887329326</v>
      </c>
      <c r="ET177" s="590">
        <f t="shared" si="525"/>
        <v>505.69545887329326</v>
      </c>
      <c r="EU177" s="282">
        <f>EU228</f>
        <v>594.76653589624061</v>
      </c>
      <c r="EV177" s="282">
        <f>EV228</f>
        <v>720.28322031432629</v>
      </c>
      <c r="EW177" s="282">
        <f>EV177</f>
        <v>720.28322031432629</v>
      </c>
      <c r="EX177" s="282">
        <f>EX228</f>
        <v>750.78481609059929</v>
      </c>
      <c r="EY177" s="282">
        <f>EY228</f>
        <v>548.53550222420097</v>
      </c>
      <c r="EZ177" s="282">
        <f t="shared" si="525"/>
        <v>548.53550222420097</v>
      </c>
      <c r="FA177" s="590">
        <f t="shared" si="525"/>
        <v>548.53550222420097</v>
      </c>
      <c r="FB177" s="282">
        <f>FB228</f>
        <v>649.73242316510016</v>
      </c>
      <c r="FC177" s="282">
        <f>FC228</f>
        <v>796.93388987400135</v>
      </c>
      <c r="FD177" s="282">
        <f>FC177</f>
        <v>796.93388987400135</v>
      </c>
      <c r="FE177" s="282">
        <f>FE228</f>
        <v>830.47677605164745</v>
      </c>
      <c r="FF177" s="282">
        <f>FF228</f>
        <v>602.55137109624241</v>
      </c>
      <c r="FG177" s="282">
        <f t="shared" si="537"/>
        <v>602.55137109624241</v>
      </c>
      <c r="FH177" s="590">
        <f t="shared" si="537"/>
        <v>602.55137109624241</v>
      </c>
      <c r="FI177" s="282">
        <f>FI228</f>
        <v>701.33975199331826</v>
      </c>
      <c r="FJ177" s="282">
        <f>FJ228</f>
        <v>856.34494736204636</v>
      </c>
      <c r="FK177" s="282">
        <f>FJ177</f>
        <v>856.34494736204636</v>
      </c>
      <c r="FL177" s="282">
        <f>FL228</f>
        <v>890.91717471924585</v>
      </c>
      <c r="FM177" s="282">
        <f>FM228</f>
        <v>642.26315214924819</v>
      </c>
      <c r="FN177" s="282">
        <f t="shared" si="538"/>
        <v>642.26315214924819</v>
      </c>
      <c r="FO177" s="590">
        <f t="shared" si="538"/>
        <v>642.26315214924819</v>
      </c>
      <c r="FP177" s="282">
        <f>FP228</f>
        <v>750.3766347004904</v>
      </c>
      <c r="FQ177" s="282">
        <f>FQ228</f>
        <v>922.2269427154032</v>
      </c>
      <c r="FR177" s="282">
        <f>FQ177</f>
        <v>922.2269427154032</v>
      </c>
      <c r="FS177" s="282">
        <f>FS228</f>
        <v>962.52260106735969</v>
      </c>
      <c r="FT177" s="282">
        <f>FT228</f>
        <v>691.42237123884399</v>
      </c>
      <c r="FU177" s="282">
        <f t="shared" si="539"/>
        <v>691.42237123884399</v>
      </c>
      <c r="FV177" s="590">
        <f t="shared" si="539"/>
        <v>691.42237123884399</v>
      </c>
      <c r="FW177" s="534"/>
    </row>
    <row r="178" spans="1:280" outlineLevel="1" x14ac:dyDescent="0.3">
      <c r="B178" s="484" t="s">
        <v>522</v>
      </c>
      <c r="C178" s="280" t="s">
        <v>226</v>
      </c>
      <c r="D178" s="341">
        <f>18.7+21+17</f>
        <v>56.7</v>
      </c>
      <c r="E178" s="320">
        <f>F178</f>
        <v>40.599999999999994</v>
      </c>
      <c r="F178" s="341">
        <f>18.2+22.4</f>
        <v>40.599999999999994</v>
      </c>
      <c r="G178" s="341">
        <f>16.3+24.7</f>
        <v>41</v>
      </c>
      <c r="H178" s="320">
        <f t="shared" si="530"/>
        <v>64.5</v>
      </c>
      <c r="I178" s="320">
        <f t="shared" si="530"/>
        <v>64.5</v>
      </c>
      <c r="J178" s="326">
        <f>33.8+30.7</f>
        <v>64.5</v>
      </c>
      <c r="K178" s="326">
        <f>38.6+28.2</f>
        <v>66.8</v>
      </c>
      <c r="L178" s="281">
        <f>M178</f>
        <v>74.099999999999994</v>
      </c>
      <c r="M178" s="326">
        <f>49.3+24.8</f>
        <v>74.099999999999994</v>
      </c>
      <c r="N178" s="326">
        <f>50.3+24.2</f>
        <v>74.5</v>
      </c>
      <c r="O178" s="281">
        <f t="shared" si="531"/>
        <v>79.599999999999994</v>
      </c>
      <c r="P178" s="281">
        <f t="shared" si="531"/>
        <v>79.599999999999994</v>
      </c>
      <c r="Q178" s="326">
        <f>32.4+9.4+2.7+27.3+7.8</f>
        <v>79.599999999999994</v>
      </c>
      <c r="R178" s="326">
        <f>48.5+9.9+2.9+18.5+9.4</f>
        <v>89.2</v>
      </c>
      <c r="S178" s="281">
        <f>T178</f>
        <v>85.399999999999991</v>
      </c>
      <c r="T178" s="326">
        <f>37.2+10.3+3+25.8+9.1</f>
        <v>85.399999999999991</v>
      </c>
      <c r="U178" s="326">
        <f>35+10.3+3+23.7+9.1</f>
        <v>81.099999999999994</v>
      </c>
      <c r="V178" s="281">
        <f t="shared" si="532"/>
        <v>66.3</v>
      </c>
      <c r="W178" s="281">
        <f t="shared" si="532"/>
        <v>66.3</v>
      </c>
      <c r="X178" s="326">
        <f>28+14.1+6.9+8.2+9.1</f>
        <v>66.3</v>
      </c>
      <c r="Y178" s="326">
        <f>17.7+14.7+7.2+18.5+9.1</f>
        <v>67.2</v>
      </c>
      <c r="Z178" s="281">
        <f>AA178</f>
        <v>93.1</v>
      </c>
      <c r="AA178" s="326">
        <f>43.4+12.3+6+15.6+15.8</f>
        <v>93.1</v>
      </c>
      <c r="AB178" s="326">
        <f>25.1+10.6+5.2+24.3+12.4</f>
        <v>77.600000000000009</v>
      </c>
      <c r="AC178" s="281">
        <f t="shared" si="533"/>
        <v>71.400000000000006</v>
      </c>
      <c r="AD178" s="281">
        <f t="shared" si="533"/>
        <v>71.400000000000006</v>
      </c>
      <c r="AE178" s="289">
        <f>20.4+12.6+0.6+25.5+12.3</f>
        <v>71.400000000000006</v>
      </c>
      <c r="AF178" s="289">
        <f>18+14.9+0.7+20.6+14.6</f>
        <v>68.8</v>
      </c>
      <c r="AG178" s="281">
        <f>AH178</f>
        <v>91.8</v>
      </c>
      <c r="AH178" s="289">
        <f>32.4+16.1+0.7+26.8+15.8</f>
        <v>91.8</v>
      </c>
      <c r="AI178" s="289">
        <f>28+16.4+0.7+27.2+16.1</f>
        <v>88.4</v>
      </c>
      <c r="AJ178" s="281">
        <f t="shared" si="534"/>
        <v>82.800000000000011</v>
      </c>
      <c r="AK178" s="281">
        <f t="shared" si="534"/>
        <v>82.800000000000011</v>
      </c>
      <c r="AL178" s="289">
        <f>25.6+16.7+0.1+24+16.4</f>
        <v>82.800000000000011</v>
      </c>
      <c r="AM178" s="289">
        <f>24.8+13.4+0.1+21.8+12.5</f>
        <v>72.600000000000009</v>
      </c>
      <c r="AN178" s="281">
        <f>AO178</f>
        <v>89.6</v>
      </c>
      <c r="AO178" s="289">
        <f>35.4+17.6+0.1+20.9+15.6</f>
        <v>89.6</v>
      </c>
      <c r="AP178" s="289">
        <f>38.4+18.6+0.1+20+14.2</f>
        <v>91.3</v>
      </c>
      <c r="AQ178" s="281">
        <f t="shared" si="535"/>
        <v>77.199999999999989</v>
      </c>
      <c r="AR178" s="281">
        <f t="shared" si="535"/>
        <v>77.199999999999989</v>
      </c>
      <c r="AS178" s="289">
        <f>31.6+13.7+0.3+21.1+10.5</f>
        <v>77.199999999999989</v>
      </c>
      <c r="AT178" s="289">
        <f>28+14.3+0.4+24.4+12.1</f>
        <v>79.199999999999989</v>
      </c>
      <c r="AU178" s="281">
        <f t="shared" si="501"/>
        <v>61.3</v>
      </c>
      <c r="AV178" s="289">
        <f>23.1+12.9+0.3+11.1+13.9</f>
        <v>61.3</v>
      </c>
      <c r="AW178" s="281">
        <f>21.4+13.5+0.3+16.9+14.3</f>
        <v>66.399999999999991</v>
      </c>
      <c r="AX178" s="289">
        <f>18.8+19.9+0.5+15.9+23</f>
        <v>78.099999999999994</v>
      </c>
      <c r="AY178" s="281">
        <f>AX178</f>
        <v>78.099999999999994</v>
      </c>
      <c r="AZ178" s="281">
        <f>AY178</f>
        <v>78.099999999999994</v>
      </c>
      <c r="BA178" s="281">
        <f>23.6+21.1+0.4+16.4+20.7</f>
        <v>82.2</v>
      </c>
      <c r="BB178" s="281">
        <f>+BC178</f>
        <v>76.800000000000011</v>
      </c>
      <c r="BC178" s="289">
        <f>23.4+15.3+0.5+15.2+22.4</f>
        <v>76.800000000000011</v>
      </c>
      <c r="BD178" s="289">
        <f>20.5+15.2+0.4+17.8+20.4</f>
        <v>74.300000000000011</v>
      </c>
      <c r="BE178" s="281">
        <f t="shared" si="503"/>
        <v>85.799999999999983</v>
      </c>
      <c r="BF178" s="281">
        <f t="shared" si="503"/>
        <v>85.799999999999983</v>
      </c>
      <c r="BG178" s="289">
        <f>19.2+22.2+0.9+24.9+18.6</f>
        <v>85.799999999999983</v>
      </c>
      <c r="BH178" s="289">
        <f>21.4+19.7+0.8+17.4+16.6</f>
        <v>75.899999999999991</v>
      </c>
      <c r="BI178" s="281">
        <f>+BJ178</f>
        <v>74.400000000000006</v>
      </c>
      <c r="BJ178" s="289">
        <f>22.4+16.5+0.8+18.1+16.6</f>
        <v>74.400000000000006</v>
      </c>
      <c r="BK178" s="289">
        <f>21.4+16.2+0.8+16+16</f>
        <v>70.399999999999991</v>
      </c>
      <c r="BL178" s="281">
        <f>21.9+28+4.3+21.6+16.5</f>
        <v>92.3</v>
      </c>
      <c r="BM178" s="281">
        <f>BL178</f>
        <v>92.3</v>
      </c>
      <c r="BN178" s="281">
        <f>BM178</f>
        <v>92.3</v>
      </c>
      <c r="BO178" s="289">
        <f>23.2+16.6+4.4+13.6+15.9</f>
        <v>73.7</v>
      </c>
      <c r="BP178" s="289">
        <f>26.4+14.9+4.1+15.4+20.1</f>
        <v>80.900000000000006</v>
      </c>
      <c r="BQ178" s="281">
        <f>+BP178</f>
        <v>80.900000000000006</v>
      </c>
      <c r="BR178" s="289">
        <f>27.5+14.9+3.8+16.7+17.9</f>
        <v>80.799999999999983</v>
      </c>
      <c r="BS178" s="289">
        <f>24.3+16.7+4.5+17.3+15.9</f>
        <v>78.7</v>
      </c>
      <c r="BT178" s="281">
        <f t="shared" si="504"/>
        <v>78.7</v>
      </c>
      <c r="BU178" s="281">
        <f t="shared" si="504"/>
        <v>78.7</v>
      </c>
      <c r="BV178" s="289">
        <f>20.2+16.8+4.6+14.6+13.9</f>
        <v>70.100000000000009</v>
      </c>
      <c r="BW178" s="289">
        <f>25.2+15.3+4.2+14.1+14.2</f>
        <v>73</v>
      </c>
      <c r="BX178" s="281">
        <f t="shared" si="505"/>
        <v>73</v>
      </c>
      <c r="BY178" s="289">
        <f>24.2+16+4.4</f>
        <v>44.6</v>
      </c>
      <c r="BZ178" s="289">
        <f>19.7+16.7+4.1</f>
        <v>40.5</v>
      </c>
      <c r="CA178" s="281">
        <f t="shared" si="506"/>
        <v>40.5</v>
      </c>
      <c r="CB178" s="281">
        <f t="shared" si="506"/>
        <v>40.5</v>
      </c>
      <c r="CC178" s="289">
        <f>22+16.2+4</f>
        <v>42.2</v>
      </c>
      <c r="CD178" s="289">
        <f>28.1+16.6+4.1</f>
        <v>48.800000000000004</v>
      </c>
      <c r="CE178" s="281">
        <f t="shared" si="507"/>
        <v>48.800000000000004</v>
      </c>
      <c r="CF178" s="289">
        <f>30.5+15.8+3.9</f>
        <v>50.199999999999996</v>
      </c>
      <c r="CG178" s="289">
        <f>28.3+5.7+2.9</f>
        <v>36.9</v>
      </c>
      <c r="CH178" s="281">
        <f t="shared" si="508"/>
        <v>36.9</v>
      </c>
      <c r="CI178" s="281">
        <f t="shared" si="508"/>
        <v>36.9</v>
      </c>
      <c r="CJ178" s="289">
        <f>27.2+5.7+2.9</f>
        <v>35.799999999999997</v>
      </c>
      <c r="CK178" s="289">
        <f>78.4+7.9+3+21.2</f>
        <v>110.50000000000001</v>
      </c>
      <c r="CL178" s="281">
        <f t="shared" si="509"/>
        <v>110.50000000000001</v>
      </c>
      <c r="CM178" s="289">
        <f>3+5.1+18.4</f>
        <v>26.5</v>
      </c>
      <c r="CN178" s="289">
        <f>25.4+5.1+2.1</f>
        <v>32.6</v>
      </c>
      <c r="CO178" s="281">
        <f t="shared" si="510"/>
        <v>32.6</v>
      </c>
      <c r="CP178" s="282">
        <f t="shared" si="510"/>
        <v>32.6</v>
      </c>
      <c r="CQ178" s="290">
        <f>25+5+2.1</f>
        <v>32.1</v>
      </c>
      <c r="CR178" s="282">
        <f>26.2+4.8+2</f>
        <v>33</v>
      </c>
      <c r="CS178" s="282">
        <f t="shared" si="511"/>
        <v>33</v>
      </c>
      <c r="CT178" s="290">
        <f>29.3+4.7+2</f>
        <v>36</v>
      </c>
      <c r="CU178" s="290">
        <f>31.3+7.5+2</f>
        <v>40.799999999999997</v>
      </c>
      <c r="CV178" s="282">
        <f t="shared" si="512"/>
        <v>40.799999999999997</v>
      </c>
      <c r="CW178" s="282">
        <f t="shared" si="512"/>
        <v>40.799999999999997</v>
      </c>
      <c r="CX178" s="291">
        <f>34.2+4.5+2</f>
        <v>40.700000000000003</v>
      </c>
      <c r="CY178" s="290">
        <f>30+4.3+1.9</f>
        <v>36.199999999999996</v>
      </c>
      <c r="CZ178" s="282">
        <f t="shared" si="513"/>
        <v>36.199999999999996</v>
      </c>
      <c r="DA178" s="290">
        <f>31.3+7.4+2</f>
        <v>40.700000000000003</v>
      </c>
      <c r="DB178" s="290">
        <f>26.1+5+1.5</f>
        <v>32.6</v>
      </c>
      <c r="DC178" s="282">
        <f t="shared" si="514"/>
        <v>32.6</v>
      </c>
      <c r="DD178" s="670">
        <f t="shared" si="514"/>
        <v>32.6</v>
      </c>
      <c r="DE178" s="290">
        <f>28.1+5.6+1.7</f>
        <v>35.400000000000006</v>
      </c>
      <c r="DF178" s="290">
        <f>35.3+5.7+1.7</f>
        <v>42.7</v>
      </c>
      <c r="DG178" s="282">
        <f t="shared" si="515"/>
        <v>42.7</v>
      </c>
      <c r="DH178" s="290">
        <f>42.2+6.2+1.9</f>
        <v>50.300000000000004</v>
      </c>
      <c r="DI178" s="290">
        <f>38.9+6.6+1.6</f>
        <v>47.1</v>
      </c>
      <c r="DJ178" s="282">
        <f t="shared" si="516"/>
        <v>47.1</v>
      </c>
      <c r="DK178" s="670">
        <f t="shared" si="516"/>
        <v>47.1</v>
      </c>
      <c r="DL178" s="292">
        <f>41.6+6.6+1.6</f>
        <v>49.800000000000004</v>
      </c>
      <c r="DM178" s="290">
        <f>36.4+6.3+1.5</f>
        <v>44.199999999999996</v>
      </c>
      <c r="DN178" s="282">
        <f t="shared" si="517"/>
        <v>44.199999999999996</v>
      </c>
      <c r="DO178" s="290">
        <f>37.7+6.3+1.5</f>
        <v>45.5</v>
      </c>
      <c r="DP178" s="282">
        <f t="shared" si="528"/>
        <v>54.300000000000004</v>
      </c>
      <c r="DQ178" s="282">
        <f t="shared" si="528"/>
        <v>54.300000000000004</v>
      </c>
      <c r="DR178" s="670">
        <f>43.2+7.9+3.2</f>
        <v>54.300000000000004</v>
      </c>
      <c r="DS178" s="290">
        <f>66.9+7.3+2.9</f>
        <v>77.100000000000009</v>
      </c>
      <c r="DT178" s="290">
        <f>71.6+6.9+2.8</f>
        <v>81.3</v>
      </c>
      <c r="DU178" s="282">
        <f t="shared" si="518"/>
        <v>81.3</v>
      </c>
      <c r="DV178" s="290">
        <f>67.7+7.2+2.9</f>
        <v>77.800000000000011</v>
      </c>
      <c r="DW178" s="282">
        <f t="shared" si="519"/>
        <v>49.599999999999994</v>
      </c>
      <c r="DX178" s="282">
        <f t="shared" si="519"/>
        <v>49.599999999999994</v>
      </c>
      <c r="DY178" s="670">
        <f>41+6.8+1.8</f>
        <v>49.599999999999994</v>
      </c>
      <c r="DZ178" s="290">
        <f>50+6.7+1.8</f>
        <v>58.5</v>
      </c>
      <c r="EA178" s="290">
        <f>74.2+52.6+6.5+1.7</f>
        <v>135</v>
      </c>
      <c r="EB178" s="282">
        <f t="shared" si="520"/>
        <v>135</v>
      </c>
      <c r="EC178" s="290">
        <f>68.8+57.2+6.9+1.8</f>
        <v>134.70000000000002</v>
      </c>
      <c r="ED178" s="282">
        <f t="shared" si="521"/>
        <v>130.29999999999998</v>
      </c>
      <c r="EE178" s="282">
        <f t="shared" si="521"/>
        <v>130.29999999999998</v>
      </c>
      <c r="EF178" s="670">
        <f>68.2+55.4+5.1+1.6</f>
        <v>130.29999999999998</v>
      </c>
      <c r="EG178" s="290">
        <f>75.3+57.3+5.2+1.6</f>
        <v>139.39999999999998</v>
      </c>
      <c r="EH178" s="290">
        <f>83.7+60.6+5.5+1.7</f>
        <v>151.5</v>
      </c>
      <c r="EI178" s="282">
        <f t="shared" si="522"/>
        <v>151.5</v>
      </c>
      <c r="EJ178" s="290">
        <f>70.5+60.7+4.9+1.5</f>
        <v>137.6</v>
      </c>
      <c r="EK178" s="282">
        <f t="shared" si="523"/>
        <v>181.5</v>
      </c>
      <c r="EL178" s="282">
        <f t="shared" si="523"/>
        <v>181.5</v>
      </c>
      <c r="EM178" s="670">
        <f>100.6+73.1+5.5+2.3</f>
        <v>181.5</v>
      </c>
      <c r="EN178" s="290">
        <f>86.6+75.9+5.7+2.4</f>
        <v>170.6</v>
      </c>
      <c r="EO178" s="290">
        <f>172.7+76.1+5.8+2.5</f>
        <v>257.10000000000002</v>
      </c>
      <c r="EP178" s="282">
        <f t="shared" si="524"/>
        <v>257.10000000000002</v>
      </c>
      <c r="EQ178" s="292">
        <f>160.2+11.3+5.8+2.5</f>
        <v>179.8</v>
      </c>
      <c r="ER178" s="282">
        <f>EQ178</f>
        <v>179.8</v>
      </c>
      <c r="ES178" s="282">
        <f t="shared" si="525"/>
        <v>179.8</v>
      </c>
      <c r="ET178" s="590">
        <f t="shared" si="525"/>
        <v>179.8</v>
      </c>
      <c r="EU178" s="282">
        <f>ET178</f>
        <v>179.8</v>
      </c>
      <c r="EV178" s="282">
        <f>EU178</f>
        <v>179.8</v>
      </c>
      <c r="EW178" s="282">
        <f>EV178</f>
        <v>179.8</v>
      </c>
      <c r="EX178" s="282">
        <f>EW178</f>
        <v>179.8</v>
      </c>
      <c r="EY178" s="282">
        <f>EX178</f>
        <v>179.8</v>
      </c>
      <c r="EZ178" s="282">
        <f t="shared" si="525"/>
        <v>179.8</v>
      </c>
      <c r="FA178" s="590">
        <f t="shared" si="525"/>
        <v>179.8</v>
      </c>
      <c r="FB178" s="282">
        <f>FA178</f>
        <v>179.8</v>
      </c>
      <c r="FC178" s="282">
        <f>FB178</f>
        <v>179.8</v>
      </c>
      <c r="FD178" s="282">
        <f>FC178</f>
        <v>179.8</v>
      </c>
      <c r="FE178" s="282">
        <f>FD178</f>
        <v>179.8</v>
      </c>
      <c r="FF178" s="282">
        <f>FE178</f>
        <v>179.8</v>
      </c>
      <c r="FG178" s="282">
        <f t="shared" si="537"/>
        <v>179.8</v>
      </c>
      <c r="FH178" s="590">
        <f t="shared" si="537"/>
        <v>179.8</v>
      </c>
      <c r="FI178" s="282">
        <f>FH178</f>
        <v>179.8</v>
      </c>
      <c r="FJ178" s="282">
        <f>FI178</f>
        <v>179.8</v>
      </c>
      <c r="FK178" s="282">
        <f>FJ178</f>
        <v>179.8</v>
      </c>
      <c r="FL178" s="282">
        <f>FK178</f>
        <v>179.8</v>
      </c>
      <c r="FM178" s="282">
        <f>FL178</f>
        <v>179.8</v>
      </c>
      <c r="FN178" s="282">
        <f t="shared" si="538"/>
        <v>179.8</v>
      </c>
      <c r="FO178" s="590">
        <f t="shared" si="538"/>
        <v>179.8</v>
      </c>
      <c r="FP178" s="282">
        <f>FO178</f>
        <v>179.8</v>
      </c>
      <c r="FQ178" s="282">
        <f>FP178</f>
        <v>179.8</v>
      </c>
      <c r="FR178" s="282">
        <f>FQ178</f>
        <v>179.8</v>
      </c>
      <c r="FS178" s="282">
        <f>FR178</f>
        <v>179.8</v>
      </c>
      <c r="FT178" s="282">
        <f>FS178</f>
        <v>179.8</v>
      </c>
      <c r="FU178" s="282">
        <f t="shared" si="539"/>
        <v>179.8</v>
      </c>
      <c r="FV178" s="590">
        <f t="shared" si="539"/>
        <v>179.8</v>
      </c>
      <c r="FW178" s="534"/>
    </row>
    <row r="179" spans="1:280" s="247" customFormat="1" outlineLevel="1" x14ac:dyDescent="0.3">
      <c r="A179" s="485"/>
      <c r="B179" s="486" t="s">
        <v>523</v>
      </c>
      <c r="C179" s="280" t="s">
        <v>226</v>
      </c>
      <c r="D179" s="370">
        <f t="shared" ref="D179:AI179" si="540">SUM(D175:D178)</f>
        <v>461.40000000000003</v>
      </c>
      <c r="E179" s="370">
        <f t="shared" si="540"/>
        <v>453.1</v>
      </c>
      <c r="F179" s="370">
        <f t="shared" si="540"/>
        <v>453.1</v>
      </c>
      <c r="G179" s="370">
        <f t="shared" si="540"/>
        <v>429.40000000000003</v>
      </c>
      <c r="H179" s="370">
        <f t="shared" si="540"/>
        <v>656.8</v>
      </c>
      <c r="I179" s="370">
        <f t="shared" si="540"/>
        <v>656.8</v>
      </c>
      <c r="J179" s="369">
        <f t="shared" si="540"/>
        <v>656.8</v>
      </c>
      <c r="K179" s="369">
        <f t="shared" si="540"/>
        <v>537.09999999999991</v>
      </c>
      <c r="L179" s="369">
        <f t="shared" si="540"/>
        <v>426.19999999999993</v>
      </c>
      <c r="M179" s="369">
        <f t="shared" si="540"/>
        <v>426.19999999999993</v>
      </c>
      <c r="N179" s="369">
        <f t="shared" si="540"/>
        <v>420.9</v>
      </c>
      <c r="O179" s="369">
        <f t="shared" si="540"/>
        <v>576.6</v>
      </c>
      <c r="P179" s="369">
        <f t="shared" si="540"/>
        <v>576.6</v>
      </c>
      <c r="Q179" s="369">
        <f t="shared" si="540"/>
        <v>576.6</v>
      </c>
      <c r="R179" s="369">
        <f t="shared" si="540"/>
        <v>621.30000000000007</v>
      </c>
      <c r="S179" s="369">
        <f t="shared" si="540"/>
        <v>570.9</v>
      </c>
      <c r="T179" s="369">
        <f t="shared" si="540"/>
        <v>570.9</v>
      </c>
      <c r="U179" s="369">
        <f t="shared" si="540"/>
        <v>569.1</v>
      </c>
      <c r="V179" s="369">
        <f t="shared" si="540"/>
        <v>532.9</v>
      </c>
      <c r="W179" s="369">
        <f t="shared" si="540"/>
        <v>532.9</v>
      </c>
      <c r="X179" s="369">
        <f t="shared" si="540"/>
        <v>532.9</v>
      </c>
      <c r="Y179" s="369">
        <f t="shared" si="540"/>
        <v>642.1</v>
      </c>
      <c r="Z179" s="369">
        <f t="shared" si="540"/>
        <v>556.1</v>
      </c>
      <c r="AA179" s="369">
        <f t="shared" si="540"/>
        <v>556.1</v>
      </c>
      <c r="AB179" s="369">
        <f t="shared" si="540"/>
        <v>448.4</v>
      </c>
      <c r="AC179" s="369">
        <f t="shared" si="540"/>
        <v>452.70000000000005</v>
      </c>
      <c r="AD179" s="369">
        <f t="shared" si="540"/>
        <v>452.70000000000005</v>
      </c>
      <c r="AE179" s="369">
        <f t="shared" si="540"/>
        <v>452.70000000000005</v>
      </c>
      <c r="AF179" s="369">
        <f t="shared" si="540"/>
        <v>471.3</v>
      </c>
      <c r="AG179" s="369">
        <f t="shared" si="540"/>
        <v>488.2</v>
      </c>
      <c r="AH179" s="369">
        <f t="shared" si="540"/>
        <v>488.2</v>
      </c>
      <c r="AI179" s="369">
        <f t="shared" si="540"/>
        <v>458.20000000000005</v>
      </c>
      <c r="AJ179" s="369">
        <f t="shared" ref="AJ179:CU179" si="541">SUM(AJ175:AJ178)</f>
        <v>464.5</v>
      </c>
      <c r="AK179" s="369">
        <f t="shared" si="541"/>
        <v>464.5</v>
      </c>
      <c r="AL179" s="369">
        <f t="shared" si="541"/>
        <v>464.5</v>
      </c>
      <c r="AM179" s="369">
        <f t="shared" si="541"/>
        <v>502.5</v>
      </c>
      <c r="AN179" s="369">
        <f t="shared" si="541"/>
        <v>495.09999999999991</v>
      </c>
      <c r="AO179" s="369">
        <f t="shared" si="541"/>
        <v>495.09999999999991</v>
      </c>
      <c r="AP179" s="369">
        <f t="shared" si="541"/>
        <v>458.7</v>
      </c>
      <c r="AQ179" s="369">
        <f t="shared" si="541"/>
        <v>458.09999999999997</v>
      </c>
      <c r="AR179" s="369">
        <f t="shared" si="541"/>
        <v>458.09999999999997</v>
      </c>
      <c r="AS179" s="369">
        <f t="shared" si="541"/>
        <v>458.09999999999997</v>
      </c>
      <c r="AT179" s="369">
        <f t="shared" si="541"/>
        <v>506.2</v>
      </c>
      <c r="AU179" s="369">
        <f t="shared" si="541"/>
        <v>464.59999999999997</v>
      </c>
      <c r="AV179" s="369">
        <f t="shared" si="541"/>
        <v>464.59999999999997</v>
      </c>
      <c r="AW179" s="369">
        <f t="shared" si="541"/>
        <v>453.5</v>
      </c>
      <c r="AX179" s="369">
        <f t="shared" si="541"/>
        <v>875.6</v>
      </c>
      <c r="AY179" s="369">
        <f t="shared" si="541"/>
        <v>875.6</v>
      </c>
      <c r="AZ179" s="369">
        <f t="shared" si="541"/>
        <v>875.6</v>
      </c>
      <c r="BA179" s="369">
        <f>SUM(BA175:BA178)</f>
        <v>860.60000000000014</v>
      </c>
      <c r="BB179" s="369">
        <f t="shared" si="541"/>
        <v>675.7</v>
      </c>
      <c r="BC179" s="369">
        <f t="shared" si="541"/>
        <v>675.7</v>
      </c>
      <c r="BD179" s="369">
        <f>SUM(BD175:BD178)</f>
        <v>684.8</v>
      </c>
      <c r="BE179" s="369">
        <f t="shared" si="541"/>
        <v>691</v>
      </c>
      <c r="BF179" s="369">
        <f t="shared" si="541"/>
        <v>691</v>
      </c>
      <c r="BG179" s="369">
        <f t="shared" si="541"/>
        <v>691</v>
      </c>
      <c r="BH179" s="369">
        <f t="shared" si="541"/>
        <v>677.9</v>
      </c>
      <c r="BI179" s="369">
        <f t="shared" si="541"/>
        <v>574</v>
      </c>
      <c r="BJ179" s="369">
        <f t="shared" si="541"/>
        <v>574</v>
      </c>
      <c r="BK179" s="369">
        <f t="shared" si="541"/>
        <v>618.29999999999995</v>
      </c>
      <c r="BL179" s="369">
        <f t="shared" si="541"/>
        <v>653.19999999999993</v>
      </c>
      <c r="BM179" s="369">
        <f t="shared" si="541"/>
        <v>653.19999999999993</v>
      </c>
      <c r="BN179" s="369">
        <f t="shared" si="541"/>
        <v>653.19999999999993</v>
      </c>
      <c r="BO179" s="369">
        <f t="shared" si="541"/>
        <v>504</v>
      </c>
      <c r="BP179" s="369">
        <f t="shared" si="541"/>
        <v>565</v>
      </c>
      <c r="BQ179" s="369">
        <f t="shared" si="541"/>
        <v>565</v>
      </c>
      <c r="BR179" s="369">
        <f t="shared" si="541"/>
        <v>512.79999999999995</v>
      </c>
      <c r="BS179" s="369">
        <f t="shared" si="541"/>
        <v>524</v>
      </c>
      <c r="BT179" s="369">
        <f>SUM(BT175:BT178)</f>
        <v>524</v>
      </c>
      <c r="BU179" s="369">
        <f>SUM(BU175:BU178)</f>
        <v>524</v>
      </c>
      <c r="BV179" s="369">
        <f t="shared" si="541"/>
        <v>538.9</v>
      </c>
      <c r="BW179" s="369">
        <f t="shared" si="541"/>
        <v>521.90000000000009</v>
      </c>
      <c r="BX179" s="369">
        <f t="shared" si="541"/>
        <v>521.90000000000009</v>
      </c>
      <c r="BY179" s="369">
        <f t="shared" si="541"/>
        <v>478</v>
      </c>
      <c r="BZ179" s="369">
        <f t="shared" si="541"/>
        <v>535.9</v>
      </c>
      <c r="CA179" s="369">
        <f t="shared" si="541"/>
        <v>535.9</v>
      </c>
      <c r="CB179" s="369">
        <f t="shared" si="541"/>
        <v>535.9</v>
      </c>
      <c r="CC179" s="369">
        <f t="shared" si="541"/>
        <v>520.80000000000007</v>
      </c>
      <c r="CD179" s="369">
        <f t="shared" si="541"/>
        <v>532.19999999999993</v>
      </c>
      <c r="CE179" s="369">
        <f>SUM(CE175:CE178)</f>
        <v>532.19999999999993</v>
      </c>
      <c r="CF179" s="369">
        <f t="shared" si="541"/>
        <v>499.59999999999997</v>
      </c>
      <c r="CG179" s="369">
        <f t="shared" si="541"/>
        <v>632.1</v>
      </c>
      <c r="CH179" s="369">
        <f>SUM(CH175:CH178)</f>
        <v>632.1</v>
      </c>
      <c r="CI179" s="369">
        <f>SUM(CI175:CI178)</f>
        <v>632.1</v>
      </c>
      <c r="CJ179" s="369">
        <f t="shared" si="541"/>
        <v>593.19999999999993</v>
      </c>
      <c r="CK179" s="369">
        <f t="shared" si="541"/>
        <v>659.09999999999991</v>
      </c>
      <c r="CL179" s="369">
        <f t="shared" si="541"/>
        <v>659.09999999999991</v>
      </c>
      <c r="CM179" s="369">
        <f t="shared" si="541"/>
        <v>763.2</v>
      </c>
      <c r="CN179" s="369">
        <f>SUM(CN175:CN178)</f>
        <v>842.6</v>
      </c>
      <c r="CO179" s="369">
        <f>SUM(CO175:CO178)</f>
        <v>842.6</v>
      </c>
      <c r="CP179" s="487">
        <f>SUM(CP175:CP178)</f>
        <v>842.6</v>
      </c>
      <c r="CQ179" s="487">
        <f t="shared" si="541"/>
        <v>772.1</v>
      </c>
      <c r="CR179" s="487">
        <f t="shared" si="541"/>
        <v>779</v>
      </c>
      <c r="CS179" s="487">
        <f t="shared" si="541"/>
        <v>779</v>
      </c>
      <c r="CT179" s="487">
        <f t="shared" si="541"/>
        <v>725.09999999999991</v>
      </c>
      <c r="CU179" s="487">
        <f t="shared" si="541"/>
        <v>754.09999999999991</v>
      </c>
      <c r="CV179" s="487">
        <f t="shared" ref="CV179:DK179" si="542">SUM(CV175:CV178)</f>
        <v>754.09999999999991</v>
      </c>
      <c r="CW179" s="487">
        <f t="shared" si="542"/>
        <v>754.09999999999991</v>
      </c>
      <c r="CX179" s="487">
        <f t="shared" si="542"/>
        <v>747.7</v>
      </c>
      <c r="CY179" s="487">
        <f t="shared" si="542"/>
        <v>800.6</v>
      </c>
      <c r="CZ179" s="487">
        <f t="shared" si="542"/>
        <v>800.6</v>
      </c>
      <c r="DA179" s="487">
        <f>SUM(DA175:DA178)</f>
        <v>819.40000000000009</v>
      </c>
      <c r="DB179" s="487">
        <f t="shared" si="542"/>
        <v>908.40000000000009</v>
      </c>
      <c r="DC179" s="487">
        <f>SUM(DC175:DC178)</f>
        <v>908.40000000000009</v>
      </c>
      <c r="DD179" s="613">
        <f>SUM(DD175:DD178)</f>
        <v>908.40000000000009</v>
      </c>
      <c r="DE179" s="488">
        <f t="shared" si="542"/>
        <v>864.6</v>
      </c>
      <c r="DF179" s="487">
        <f t="shared" si="542"/>
        <v>1029.8000000000002</v>
      </c>
      <c r="DG179" s="487">
        <f>SUM(DG175:DG178)</f>
        <v>1029.8000000000002</v>
      </c>
      <c r="DH179" s="487">
        <f t="shared" si="542"/>
        <v>1235.1999999999998</v>
      </c>
      <c r="DI179" s="487">
        <f t="shared" si="542"/>
        <v>943.6</v>
      </c>
      <c r="DJ179" s="487">
        <f t="shared" si="542"/>
        <v>943.6</v>
      </c>
      <c r="DK179" s="613">
        <f t="shared" si="542"/>
        <v>943.6</v>
      </c>
      <c r="DL179" s="489">
        <f>SUM(DL175:DL178)</f>
        <v>859.09999999999991</v>
      </c>
      <c r="DM179" s="487">
        <f t="shared" ref="DM179:DR179" si="543">SUM(DM175:DM178)</f>
        <v>888.8</v>
      </c>
      <c r="DN179" s="487">
        <f>SUM(DN175:DN178)</f>
        <v>888.8</v>
      </c>
      <c r="DO179" s="488">
        <f t="shared" si="543"/>
        <v>938.6</v>
      </c>
      <c r="DP179" s="487">
        <f t="shared" si="543"/>
        <v>1124</v>
      </c>
      <c r="DQ179" s="487">
        <f t="shared" si="543"/>
        <v>1124</v>
      </c>
      <c r="DR179" s="613">
        <f t="shared" si="543"/>
        <v>1124</v>
      </c>
      <c r="DS179" s="487">
        <f t="shared" ref="DS179:EM179" si="544">SUM(DS175:DS178)</f>
        <v>1025.4000000000001</v>
      </c>
      <c r="DT179" s="487">
        <f t="shared" si="544"/>
        <v>968.7</v>
      </c>
      <c r="DU179" s="487">
        <f t="shared" si="544"/>
        <v>968.7</v>
      </c>
      <c r="DV179" s="545">
        <f t="shared" si="544"/>
        <v>1000.8</v>
      </c>
      <c r="DW179" s="487">
        <f t="shared" si="544"/>
        <v>1075.0999999999999</v>
      </c>
      <c r="DX179" s="487">
        <f t="shared" si="544"/>
        <v>1075.0999999999999</v>
      </c>
      <c r="DY179" s="613">
        <f t="shared" si="544"/>
        <v>1075.0999999999999</v>
      </c>
      <c r="DZ179" s="487">
        <f t="shared" si="544"/>
        <v>1081.8000000000002</v>
      </c>
      <c r="EA179" s="487">
        <f t="shared" si="544"/>
        <v>1152.4000000000001</v>
      </c>
      <c r="EB179" s="487">
        <f t="shared" si="544"/>
        <v>1152.4000000000001</v>
      </c>
      <c r="EC179" s="487">
        <f t="shared" si="544"/>
        <v>1413</v>
      </c>
      <c r="ED179" s="487">
        <f t="shared" si="544"/>
        <v>1428.4</v>
      </c>
      <c r="EE179" s="487">
        <f t="shared" si="544"/>
        <v>1428.4</v>
      </c>
      <c r="EF179" s="613">
        <f t="shared" si="544"/>
        <v>1428.4</v>
      </c>
      <c r="EG179" s="487">
        <f t="shared" si="544"/>
        <v>1443.1999999999998</v>
      </c>
      <c r="EH179" s="487">
        <f t="shared" si="544"/>
        <v>1450.9</v>
      </c>
      <c r="EI179" s="487">
        <f t="shared" si="544"/>
        <v>1450.9</v>
      </c>
      <c r="EJ179" s="487">
        <f t="shared" si="544"/>
        <v>1490.1</v>
      </c>
      <c r="EK179" s="487">
        <f t="shared" si="544"/>
        <v>1701.8000000000002</v>
      </c>
      <c r="EL179" s="487">
        <f t="shared" si="544"/>
        <v>1701.8000000000002</v>
      </c>
      <c r="EM179" s="613">
        <f t="shared" si="544"/>
        <v>1701.8000000000002</v>
      </c>
      <c r="EN179" s="487">
        <f t="shared" ref="EN179:EP179" si="545">SUM(EN175:EN178)</f>
        <v>3171.7</v>
      </c>
      <c r="EO179" s="487">
        <f t="shared" si="545"/>
        <v>2026.8000000000002</v>
      </c>
      <c r="EP179" s="487">
        <f t="shared" si="545"/>
        <v>2026.8000000000002</v>
      </c>
      <c r="EQ179" s="489">
        <f t="shared" ref="EQ179" si="546">SUM(EQ175:EQ178)</f>
        <v>1718.8</v>
      </c>
      <c r="ER179" s="487">
        <f t="shared" ref="ER179:FV179" si="547">SUM(ER175:ER178)</f>
        <v>1818.5150520353684</v>
      </c>
      <c r="ES179" s="487">
        <f t="shared" si="547"/>
        <v>1818.5150520353684</v>
      </c>
      <c r="ET179" s="613">
        <f t="shared" si="547"/>
        <v>1818.5150520353684</v>
      </c>
      <c r="EU179" s="487">
        <f t="shared" si="547"/>
        <v>1838.7998197867212</v>
      </c>
      <c r="EV179" s="487">
        <f t="shared" si="547"/>
        <v>1868.3739324570586</v>
      </c>
      <c r="EW179" s="487">
        <f t="shared" si="547"/>
        <v>1868.3739324570586</v>
      </c>
      <c r="EX179" s="487">
        <f t="shared" si="547"/>
        <v>1843.4818389265506</v>
      </c>
      <c r="EY179" s="487">
        <f t="shared" si="547"/>
        <v>1909.7121365412333</v>
      </c>
      <c r="EZ179" s="487">
        <f t="shared" si="547"/>
        <v>1909.7121365412333</v>
      </c>
      <c r="FA179" s="613">
        <f t="shared" si="547"/>
        <v>1909.7121365412333</v>
      </c>
      <c r="FB179" s="487">
        <f t="shared" si="547"/>
        <v>1940.1615669806145</v>
      </c>
      <c r="FC179" s="487">
        <f t="shared" si="547"/>
        <v>1988.2397208891712</v>
      </c>
      <c r="FD179" s="487">
        <f t="shared" si="547"/>
        <v>1988.2397208891712</v>
      </c>
      <c r="FE179" s="487">
        <f t="shared" si="547"/>
        <v>1960.3984903082746</v>
      </c>
      <c r="FF179" s="487">
        <f t="shared" si="547"/>
        <v>2024.7001097753198</v>
      </c>
      <c r="FG179" s="487">
        <f t="shared" si="547"/>
        <v>2024.7001097753198</v>
      </c>
      <c r="FH179" s="613">
        <f t="shared" si="547"/>
        <v>2024.7001097753198</v>
      </c>
      <c r="FI179" s="487">
        <f t="shared" si="547"/>
        <v>2035.3298482175035</v>
      </c>
      <c r="FJ179" s="487">
        <f t="shared" si="547"/>
        <v>2081.1463228575453</v>
      </c>
      <c r="FK179" s="487">
        <f t="shared" si="547"/>
        <v>2081.1463228575453</v>
      </c>
      <c r="FL179" s="487">
        <f t="shared" si="547"/>
        <v>2049.0710367464094</v>
      </c>
      <c r="FM179" s="487">
        <f t="shared" si="547"/>
        <v>2109.2378079028508</v>
      </c>
      <c r="FN179" s="487">
        <f t="shared" si="547"/>
        <v>2109.2378079028508</v>
      </c>
      <c r="FO179" s="613">
        <f t="shared" si="547"/>
        <v>2109.2378079028508</v>
      </c>
      <c r="FP179" s="487">
        <f t="shared" si="547"/>
        <v>2125.7580093027327</v>
      </c>
      <c r="FQ179" s="487">
        <f t="shared" si="547"/>
        <v>2184.1721328325361</v>
      </c>
      <c r="FR179" s="487">
        <f t="shared" si="547"/>
        <v>2184.1721328325361</v>
      </c>
      <c r="FS179" s="487">
        <f t="shared" si="547"/>
        <v>2154.1238761228556</v>
      </c>
      <c r="FT179" s="487">
        <f t="shared" si="547"/>
        <v>2213.8870357487235</v>
      </c>
      <c r="FU179" s="487">
        <f t="shared" si="547"/>
        <v>2213.8870357487235</v>
      </c>
      <c r="FV179" s="613">
        <f t="shared" si="547"/>
        <v>2213.8870357487235</v>
      </c>
      <c r="FW179" s="645"/>
      <c r="FX179" s="639"/>
      <c r="FY179" s="639"/>
      <c r="FZ179" s="639"/>
      <c r="GA179" s="639"/>
      <c r="GB179"/>
      <c r="GC179"/>
      <c r="GD179"/>
      <c r="GE179"/>
      <c r="GF179"/>
      <c r="GG179"/>
      <c r="GH179" s="532"/>
      <c r="GI179" s="532"/>
      <c r="GJ179" s="532"/>
      <c r="GK179" s="532"/>
      <c r="GL179" s="532"/>
      <c r="GM179" s="532"/>
      <c r="GN179" s="532"/>
      <c r="GO179" s="532"/>
      <c r="GP179" s="532"/>
      <c r="GQ179" s="532"/>
      <c r="GR179" s="532"/>
      <c r="GS179" s="532"/>
      <c r="GT179" s="532"/>
      <c r="GU179" s="532"/>
      <c r="GV179" s="532"/>
      <c r="GW179" s="532"/>
      <c r="GX179" s="532"/>
      <c r="GY179" s="532"/>
      <c r="GZ179" s="532"/>
      <c r="HA179" s="532"/>
      <c r="HB179" s="532"/>
      <c r="HC179" s="532"/>
      <c r="HD179" s="532"/>
      <c r="HE179" s="532"/>
      <c r="HF179" s="532"/>
      <c r="HG179" s="532"/>
      <c r="HH179" s="532"/>
      <c r="HI179" s="532"/>
      <c r="HJ179" s="532"/>
      <c r="HK179" s="532"/>
      <c r="HL179" s="532"/>
      <c r="HM179" s="532"/>
      <c r="HN179" s="532"/>
      <c r="HO179" s="532"/>
      <c r="HP179" s="532"/>
      <c r="HQ179" s="532"/>
      <c r="HR179" s="532"/>
      <c r="HS179" s="532"/>
      <c r="HT179" s="532"/>
      <c r="HU179" s="532"/>
      <c r="HV179" s="532"/>
      <c r="HW179" s="532"/>
      <c r="HX179" s="532"/>
      <c r="HY179" s="532"/>
      <c r="HZ179" s="532"/>
      <c r="IA179" s="532"/>
      <c r="IB179" s="532"/>
      <c r="IC179" s="532"/>
      <c r="ID179" s="532"/>
      <c r="IE179" s="532"/>
      <c r="IF179" s="532"/>
      <c r="IG179" s="532"/>
      <c r="IH179" s="532"/>
      <c r="II179" s="532"/>
      <c r="IJ179" s="532"/>
      <c r="IK179" s="532"/>
      <c r="IL179" s="532"/>
      <c r="IM179" s="532"/>
      <c r="IN179" s="532"/>
      <c r="IO179" s="532"/>
      <c r="IP179" s="532"/>
      <c r="IQ179" s="532"/>
      <c r="IR179" s="532"/>
      <c r="IS179" s="532"/>
      <c r="IT179" s="532"/>
      <c r="IU179" s="532"/>
      <c r="IV179" s="532"/>
      <c r="IW179" s="532"/>
      <c r="IX179" s="532"/>
      <c r="IY179" s="532"/>
      <c r="IZ179" s="532"/>
      <c r="JA179" s="532"/>
      <c r="JB179" s="532"/>
      <c r="JC179" s="532"/>
      <c r="JD179" s="532"/>
      <c r="JE179" s="532"/>
      <c r="JF179" s="532"/>
      <c r="JG179" s="532"/>
      <c r="JH179" s="532"/>
      <c r="JI179" s="532"/>
      <c r="JJ179" s="532"/>
      <c r="JK179" s="532"/>
      <c r="JL179" s="532"/>
      <c r="JM179" s="532"/>
      <c r="JN179" s="532"/>
      <c r="JO179" s="532"/>
      <c r="JP179" s="532"/>
      <c r="JQ179" s="532"/>
      <c r="JR179" s="532"/>
      <c r="JS179" s="532"/>
      <c r="JT179" s="532"/>
    </row>
    <row r="180" spans="1:280" outlineLevel="1" x14ac:dyDescent="0.3">
      <c r="B180" s="273" t="s">
        <v>524</v>
      </c>
      <c r="C180" s="415"/>
      <c r="D180" s="273"/>
      <c r="E180" s="273"/>
      <c r="F180" s="273"/>
      <c r="G180" s="273"/>
      <c r="H180" s="273"/>
      <c r="I180" s="273"/>
      <c r="J180" s="273"/>
      <c r="K180" s="273"/>
      <c r="L180" s="273"/>
      <c r="M180" s="273"/>
      <c r="N180" s="273"/>
      <c r="O180" s="273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3"/>
      <c r="AG180" s="273"/>
      <c r="AH180" s="273"/>
      <c r="AI180" s="273"/>
      <c r="AJ180" s="273"/>
      <c r="AK180" s="273"/>
      <c r="AL180" s="273"/>
      <c r="AM180" s="273"/>
      <c r="AN180" s="273"/>
      <c r="AO180" s="273"/>
      <c r="AP180" s="273"/>
      <c r="AQ180" s="273"/>
      <c r="AR180" s="273"/>
      <c r="AS180" s="273"/>
      <c r="AT180" s="273"/>
      <c r="AU180" s="273"/>
      <c r="AV180" s="273"/>
      <c r="AW180" s="273"/>
      <c r="AX180" s="273"/>
      <c r="AY180" s="273"/>
      <c r="AZ180" s="273"/>
      <c r="BA180" s="273"/>
      <c r="BB180" s="273"/>
      <c r="BC180" s="273"/>
      <c r="BD180" s="273"/>
      <c r="BE180" s="273"/>
      <c r="BF180" s="273"/>
      <c r="BG180" s="273"/>
      <c r="BH180" s="273"/>
      <c r="BI180" s="273"/>
      <c r="BJ180" s="273"/>
      <c r="BK180" s="273"/>
      <c r="BL180" s="273"/>
      <c r="BM180" s="273"/>
      <c r="BN180" s="273"/>
      <c r="BO180" s="273"/>
      <c r="BP180" s="273"/>
      <c r="BQ180" s="273"/>
      <c r="BR180" s="273"/>
      <c r="BS180" s="273"/>
      <c r="BT180" s="273"/>
      <c r="BU180" s="273"/>
      <c r="BV180" s="273"/>
      <c r="BW180" s="273"/>
      <c r="BX180" s="273"/>
      <c r="BY180" s="273"/>
      <c r="BZ180" s="273"/>
      <c r="CA180" s="273"/>
      <c r="CB180" s="273"/>
      <c r="CC180" s="273"/>
      <c r="CD180" s="273"/>
      <c r="CE180" s="273"/>
      <c r="CF180" s="273"/>
      <c r="CG180" s="273"/>
      <c r="CH180" s="273"/>
      <c r="CI180" s="273"/>
      <c r="CJ180" s="273"/>
      <c r="CK180" s="273"/>
      <c r="CL180" s="273"/>
      <c r="CM180" s="273"/>
      <c r="CN180" s="273"/>
      <c r="CO180" s="273"/>
      <c r="CP180" s="273"/>
      <c r="CQ180" s="273"/>
      <c r="CR180" s="273"/>
      <c r="CS180" s="273"/>
      <c r="CT180" s="273"/>
      <c r="CU180" s="273"/>
      <c r="CV180" s="273"/>
      <c r="CW180" s="273"/>
      <c r="CX180" s="273"/>
      <c r="CY180" s="273"/>
      <c r="CZ180" s="273"/>
      <c r="DA180" s="273"/>
      <c r="DB180" s="273"/>
      <c r="DC180" s="273"/>
      <c r="DD180" s="602"/>
      <c r="DE180" s="273"/>
      <c r="DF180" s="273"/>
      <c r="DG180" s="273"/>
      <c r="DH180" s="273"/>
      <c r="DI180" s="273"/>
      <c r="DJ180" s="273"/>
      <c r="DK180" s="602"/>
      <c r="DL180" s="416"/>
      <c r="DM180" s="273"/>
      <c r="DN180" s="273"/>
      <c r="DO180" s="273"/>
      <c r="DP180" s="273"/>
      <c r="DQ180" s="273"/>
      <c r="DR180" s="602"/>
      <c r="DS180" s="273"/>
      <c r="DT180" s="273"/>
      <c r="DU180" s="273"/>
      <c r="DV180" s="273"/>
      <c r="DW180" s="273"/>
      <c r="DX180" s="273"/>
      <c r="DY180" s="602"/>
      <c r="DZ180" s="273"/>
      <c r="EA180" s="273"/>
      <c r="EB180" s="273"/>
      <c r="EC180" s="273"/>
      <c r="ED180" s="273"/>
      <c r="EE180" s="273"/>
      <c r="EF180" s="602"/>
      <c r="EG180" s="273"/>
      <c r="EH180" s="273"/>
      <c r="EI180" s="273"/>
      <c r="EJ180" s="273"/>
      <c r="EK180" s="273"/>
      <c r="EL180" s="273"/>
      <c r="EM180" s="602"/>
      <c r="EN180" s="273"/>
      <c r="EO180" s="273"/>
      <c r="EP180" s="273"/>
      <c r="EQ180" s="416"/>
      <c r="ER180" s="273"/>
      <c r="ES180" s="273"/>
      <c r="ET180" s="602"/>
      <c r="EU180" s="273"/>
      <c r="EV180" s="273"/>
      <c r="EW180" s="273"/>
      <c r="EX180" s="273"/>
      <c r="EY180" s="273"/>
      <c r="EZ180" s="273"/>
      <c r="FA180" s="602"/>
      <c r="FB180" s="273"/>
      <c r="FC180" s="273"/>
      <c r="FD180" s="273"/>
      <c r="FE180" s="273"/>
      <c r="FF180" s="273"/>
      <c r="FG180" s="273"/>
      <c r="FH180" s="602"/>
      <c r="FI180" s="273"/>
      <c r="FJ180" s="273"/>
      <c r="FK180" s="273"/>
      <c r="FL180" s="273"/>
      <c r="FM180" s="273"/>
      <c r="FN180" s="273"/>
      <c r="FO180" s="602"/>
      <c r="FP180" s="273"/>
      <c r="FQ180" s="273"/>
      <c r="FR180" s="273"/>
      <c r="FS180" s="273"/>
      <c r="FT180" s="273"/>
      <c r="FU180" s="273"/>
      <c r="FV180" s="602"/>
    </row>
    <row r="181" spans="1:280" outlineLevel="1" x14ac:dyDescent="0.3">
      <c r="B181" s="279" t="s">
        <v>525</v>
      </c>
      <c r="C181" s="280" t="s">
        <v>226</v>
      </c>
      <c r="D181" s="281"/>
      <c r="E181" s="281"/>
      <c r="F181" s="281"/>
      <c r="G181" s="281"/>
      <c r="H181" s="281">
        <f t="shared" ref="H181:I187" si="548">I181</f>
        <v>0</v>
      </c>
      <c r="I181" s="281">
        <f t="shared" si="548"/>
        <v>0</v>
      </c>
      <c r="J181" s="281"/>
      <c r="K181" s="281"/>
      <c r="L181" s="281"/>
      <c r="M181" s="281"/>
      <c r="N181" s="281"/>
      <c r="O181" s="281">
        <f t="shared" ref="O181:P187" si="549">P181</f>
        <v>0</v>
      </c>
      <c r="P181" s="281">
        <f t="shared" si="549"/>
        <v>0</v>
      </c>
      <c r="Q181" s="281"/>
      <c r="R181" s="281"/>
      <c r="S181" s="281"/>
      <c r="T181" s="281"/>
      <c r="U181" s="281"/>
      <c r="V181" s="281">
        <f t="shared" ref="V181:W187" si="550">W181</f>
        <v>0</v>
      </c>
      <c r="W181" s="281">
        <f t="shared" si="550"/>
        <v>0</v>
      </c>
      <c r="X181" s="281"/>
      <c r="Y181" s="281"/>
      <c r="Z181" s="281"/>
      <c r="AA181" s="281"/>
      <c r="AB181" s="281"/>
      <c r="AC181" s="281">
        <f t="shared" ref="AC181:AD187" si="551">AD181</f>
        <v>5</v>
      </c>
      <c r="AD181" s="281">
        <f t="shared" si="551"/>
        <v>5</v>
      </c>
      <c r="AE181" s="289">
        <v>5</v>
      </c>
      <c r="AF181" s="281"/>
      <c r="AG181" s="281"/>
      <c r="AH181" s="281"/>
      <c r="AI181" s="289">
        <v>5.0999999999999996</v>
      </c>
      <c r="AJ181" s="281">
        <f t="shared" ref="AJ181:AK187" si="552">AK181</f>
        <v>4.7</v>
      </c>
      <c r="AK181" s="281">
        <f t="shared" si="552"/>
        <v>4.7</v>
      </c>
      <c r="AL181" s="289">
        <v>4.7</v>
      </c>
      <c r="AM181" s="289">
        <v>4.7</v>
      </c>
      <c r="AN181" s="281">
        <f>AO181</f>
        <v>4.7</v>
      </c>
      <c r="AO181" s="289">
        <v>4.7</v>
      </c>
      <c r="AP181" s="289">
        <v>4.5999999999999996</v>
      </c>
      <c r="AQ181" s="281">
        <f t="shared" ref="AQ181:AR185" si="553">AR181</f>
        <v>4.5</v>
      </c>
      <c r="AR181" s="281">
        <f t="shared" si="553"/>
        <v>4.5</v>
      </c>
      <c r="AS181" s="289">
        <v>4.5</v>
      </c>
      <c r="AT181" s="289">
        <v>4.2</v>
      </c>
      <c r="AU181" s="281">
        <f>+AV181</f>
        <v>3.5</v>
      </c>
      <c r="AV181" s="289">
        <v>3.5</v>
      </c>
      <c r="AW181" s="289">
        <v>3.7</v>
      </c>
      <c r="AX181" s="289">
        <v>3.5</v>
      </c>
      <c r="AY181" s="281">
        <f>AV181</f>
        <v>3.5</v>
      </c>
      <c r="AZ181" s="281">
        <f>AY181</f>
        <v>3.5</v>
      </c>
      <c r="BA181" s="289">
        <v>2.4</v>
      </c>
      <c r="BB181" s="281">
        <f>+BC181</f>
        <v>2.6</v>
      </c>
      <c r="BC181" s="289">
        <v>2.6</v>
      </c>
      <c r="BD181" s="289">
        <v>2.6</v>
      </c>
      <c r="BE181" s="281">
        <f t="shared" ref="BE181:BF185" si="554">+BF181</f>
        <v>2.5</v>
      </c>
      <c r="BF181" s="281">
        <f t="shared" si="554"/>
        <v>2.5</v>
      </c>
      <c r="BG181" s="289">
        <v>2.5</v>
      </c>
      <c r="BH181" s="289">
        <v>1.8</v>
      </c>
      <c r="BI181" s="281">
        <f>+BJ181</f>
        <v>1.8</v>
      </c>
      <c r="BJ181" s="289">
        <v>1.8</v>
      </c>
      <c r="BK181" s="289">
        <v>1.8</v>
      </c>
      <c r="BL181" s="281">
        <f>BK181</f>
        <v>1.8</v>
      </c>
      <c r="BM181" s="281">
        <f>+BL181</f>
        <v>1.8</v>
      </c>
      <c r="BN181" s="281">
        <f>BM181</f>
        <v>1.8</v>
      </c>
      <c r="BO181" s="289">
        <v>1.8</v>
      </c>
      <c r="BP181" s="289">
        <v>1.8</v>
      </c>
      <c r="BQ181" s="281">
        <f>+BP181</f>
        <v>1.8</v>
      </c>
      <c r="BR181" s="289">
        <v>0</v>
      </c>
      <c r="BS181" s="289">
        <f>BR181</f>
        <v>0</v>
      </c>
      <c r="BT181" s="281">
        <f>+BS181</f>
        <v>0</v>
      </c>
      <c r="BU181" s="281">
        <f>BT181</f>
        <v>0</v>
      </c>
      <c r="BV181" s="289">
        <f>0</f>
        <v>0</v>
      </c>
      <c r="BW181" s="289">
        <f>0</f>
        <v>0</v>
      </c>
      <c r="BX181" s="281">
        <f>+BW181</f>
        <v>0</v>
      </c>
      <c r="BY181" s="289">
        <v>0</v>
      </c>
      <c r="BZ181" s="289">
        <v>0</v>
      </c>
      <c r="CA181" s="281">
        <f>BZ181</f>
        <v>0</v>
      </c>
      <c r="CB181" s="281">
        <f t="shared" ref="CB181:CB187" si="555">CA181</f>
        <v>0</v>
      </c>
      <c r="CC181" s="289">
        <v>0</v>
      </c>
      <c r="CD181" s="289">
        <v>0</v>
      </c>
      <c r="CE181" s="281">
        <f>CD181</f>
        <v>0</v>
      </c>
      <c r="CF181" s="289">
        <v>0</v>
      </c>
      <c r="CG181" s="281">
        <f>CF181</f>
        <v>0</v>
      </c>
      <c r="CH181" s="281">
        <f t="shared" ref="CH181:CI186" si="556">CG181</f>
        <v>0</v>
      </c>
      <c r="CI181" s="281">
        <f t="shared" si="556"/>
        <v>0</v>
      </c>
      <c r="CJ181" s="289">
        <v>0</v>
      </c>
      <c r="CK181" s="289">
        <f>CJ181</f>
        <v>0</v>
      </c>
      <c r="CL181" s="281">
        <f t="shared" ref="CL181:CL187" si="557">CK181</f>
        <v>0</v>
      </c>
      <c r="CM181" s="281">
        <f>CL181</f>
        <v>0</v>
      </c>
      <c r="CN181" s="281">
        <f>CM181</f>
        <v>0</v>
      </c>
      <c r="CO181" s="281">
        <f t="shared" ref="CO181:CP186" si="558">CN181</f>
        <v>0</v>
      </c>
      <c r="CP181" s="282">
        <f t="shared" si="558"/>
        <v>0</v>
      </c>
      <c r="CQ181" s="282">
        <f>CP181</f>
        <v>0</v>
      </c>
      <c r="CR181" s="282">
        <f t="shared" ref="CR181:CT187" si="559">CQ181</f>
        <v>0</v>
      </c>
      <c r="CS181" s="282">
        <f t="shared" si="559"/>
        <v>0</v>
      </c>
      <c r="CT181" s="282">
        <f t="shared" si="559"/>
        <v>0</v>
      </c>
      <c r="CU181" s="282">
        <f>CT181</f>
        <v>0</v>
      </c>
      <c r="CV181" s="282">
        <f t="shared" ref="CV181:CW187" si="560">CU181</f>
        <v>0</v>
      </c>
      <c r="CW181" s="282">
        <f t="shared" si="560"/>
        <v>0</v>
      </c>
      <c r="CX181" s="282">
        <f>CW181</f>
        <v>0</v>
      </c>
      <c r="CY181" s="282">
        <f>CX181</f>
        <v>0</v>
      </c>
      <c r="CZ181" s="282">
        <f>CY181</f>
        <v>0</v>
      </c>
      <c r="DA181" s="282">
        <v>0</v>
      </c>
      <c r="DB181" s="290">
        <v>0</v>
      </c>
      <c r="DC181" s="282">
        <f t="shared" ref="DC181:DD187" si="561">DB181</f>
        <v>0</v>
      </c>
      <c r="DD181" s="670">
        <f t="shared" si="561"/>
        <v>0</v>
      </c>
      <c r="DE181" s="290">
        <v>0</v>
      </c>
      <c r="DF181" s="282">
        <f t="shared" ref="DF181:DG187" si="562">DE181</f>
        <v>0</v>
      </c>
      <c r="DG181" s="282">
        <f t="shared" si="562"/>
        <v>0</v>
      </c>
      <c r="DH181" s="282">
        <v>0</v>
      </c>
      <c r="DI181" s="290">
        <v>0</v>
      </c>
      <c r="DJ181" s="282">
        <f t="shared" ref="DJ181:DK187" si="563">DI181</f>
        <v>0</v>
      </c>
      <c r="DK181" s="670">
        <f t="shared" si="563"/>
        <v>0</v>
      </c>
      <c r="DL181" s="292">
        <v>0</v>
      </c>
      <c r="DM181" s="290">
        <v>0</v>
      </c>
      <c r="DN181" s="282">
        <f t="shared" ref="DN181:DN187" si="564">DM181</f>
        <v>0</v>
      </c>
      <c r="DO181" s="290">
        <v>0</v>
      </c>
      <c r="DP181" s="282">
        <f t="shared" ref="DP181:DQ187" si="565">+DQ181</f>
        <v>0</v>
      </c>
      <c r="DQ181" s="282">
        <f t="shared" si="565"/>
        <v>0</v>
      </c>
      <c r="DR181" s="670">
        <v>0</v>
      </c>
      <c r="DS181" s="290">
        <v>0</v>
      </c>
      <c r="DT181" s="290">
        <v>0</v>
      </c>
      <c r="DU181" s="282">
        <f t="shared" ref="DU181:DU187" si="566">DT181</f>
        <v>0</v>
      </c>
      <c r="DV181" s="290">
        <v>56.9</v>
      </c>
      <c r="DW181" s="282">
        <f t="shared" ref="DW181:DW187" si="567">+DX181</f>
        <v>36.200000000000003</v>
      </c>
      <c r="DX181" s="282">
        <f t="shared" ref="DX181:DX187" si="568">+DY181</f>
        <v>36.200000000000003</v>
      </c>
      <c r="DY181" s="670">
        <v>36.200000000000003</v>
      </c>
      <c r="DZ181" s="290">
        <v>0</v>
      </c>
      <c r="EA181" s="290">
        <v>0</v>
      </c>
      <c r="EB181" s="282">
        <f t="shared" ref="EB181:EB187" si="569">EA181</f>
        <v>0</v>
      </c>
      <c r="EC181" s="290">
        <v>0</v>
      </c>
      <c r="ED181" s="282">
        <f t="shared" ref="ED181:ED187" si="570">+EE181</f>
        <v>0</v>
      </c>
      <c r="EE181" s="282">
        <f t="shared" ref="EE181:EE187" si="571">+EF181</f>
        <v>0</v>
      </c>
      <c r="EF181" s="670">
        <v>0</v>
      </c>
      <c r="EG181" s="290">
        <v>0</v>
      </c>
      <c r="EH181" s="290">
        <v>0</v>
      </c>
      <c r="EI181" s="282">
        <f t="shared" ref="EI181:EI187" si="572">EH181</f>
        <v>0</v>
      </c>
      <c r="EJ181" s="290">
        <v>0</v>
      </c>
      <c r="EK181" s="282">
        <f t="shared" ref="EK181:EK187" si="573">+EL181</f>
        <v>0</v>
      </c>
      <c r="EL181" s="282">
        <f t="shared" ref="EL181:EL187" si="574">+EM181</f>
        <v>0</v>
      </c>
      <c r="EM181" s="670">
        <v>0</v>
      </c>
      <c r="EN181" s="290">
        <v>0</v>
      </c>
      <c r="EO181" s="290">
        <v>0</v>
      </c>
      <c r="EP181" s="282">
        <f t="shared" ref="EP181:EP187" si="575">EO181</f>
        <v>0</v>
      </c>
      <c r="EQ181" s="292">
        <v>0</v>
      </c>
      <c r="ER181" s="282">
        <f t="shared" ref="ER181:EZ187" si="576">EQ181</f>
        <v>0</v>
      </c>
      <c r="ES181" s="282">
        <f t="shared" si="576"/>
        <v>0</v>
      </c>
      <c r="ET181" s="590">
        <f t="shared" si="576"/>
        <v>0</v>
      </c>
      <c r="EU181" s="282">
        <f t="shared" si="576"/>
        <v>0</v>
      </c>
      <c r="EV181" s="282">
        <f t="shared" si="576"/>
        <v>0</v>
      </c>
      <c r="EW181" s="282">
        <f t="shared" si="576"/>
        <v>0</v>
      </c>
      <c r="EX181" s="282">
        <f t="shared" si="576"/>
        <v>0</v>
      </c>
      <c r="EY181" s="282">
        <f t="shared" si="576"/>
        <v>0</v>
      </c>
      <c r="EZ181" s="282">
        <f t="shared" si="576"/>
        <v>0</v>
      </c>
      <c r="FA181" s="590">
        <f t="shared" ref="FA181:FP187" si="577">EZ181</f>
        <v>0</v>
      </c>
      <c r="FB181" s="282">
        <f t="shared" si="577"/>
        <v>0</v>
      </c>
      <c r="FC181" s="282">
        <f t="shared" si="577"/>
        <v>0</v>
      </c>
      <c r="FD181" s="282">
        <f t="shared" si="577"/>
        <v>0</v>
      </c>
      <c r="FE181" s="282">
        <f t="shared" si="577"/>
        <v>0</v>
      </c>
      <c r="FF181" s="282">
        <f t="shared" si="577"/>
        <v>0</v>
      </c>
      <c r="FG181" s="282">
        <f t="shared" si="577"/>
        <v>0</v>
      </c>
      <c r="FH181" s="590">
        <f t="shared" si="577"/>
        <v>0</v>
      </c>
      <c r="FI181" s="282">
        <f t="shared" si="577"/>
        <v>0</v>
      </c>
      <c r="FJ181" s="282">
        <f t="shared" si="577"/>
        <v>0</v>
      </c>
      <c r="FK181" s="282">
        <f t="shared" si="577"/>
        <v>0</v>
      </c>
      <c r="FL181" s="282">
        <f t="shared" si="577"/>
        <v>0</v>
      </c>
      <c r="FM181" s="282">
        <f t="shared" si="577"/>
        <v>0</v>
      </c>
      <c r="FN181" s="282">
        <f t="shared" si="577"/>
        <v>0</v>
      </c>
      <c r="FO181" s="590">
        <f t="shared" si="577"/>
        <v>0</v>
      </c>
      <c r="FP181" s="282">
        <f t="shared" si="577"/>
        <v>0</v>
      </c>
      <c r="FQ181" s="282">
        <f t="shared" ref="FP181:FV187" si="578">FP181</f>
        <v>0</v>
      </c>
      <c r="FR181" s="282">
        <f t="shared" si="578"/>
        <v>0</v>
      </c>
      <c r="FS181" s="282">
        <f t="shared" si="578"/>
        <v>0</v>
      </c>
      <c r="FT181" s="282">
        <f t="shared" si="578"/>
        <v>0</v>
      </c>
      <c r="FU181" s="282">
        <f t="shared" si="578"/>
        <v>0</v>
      </c>
      <c r="FV181" s="590">
        <f t="shared" si="578"/>
        <v>0</v>
      </c>
      <c r="FW181" s="534"/>
    </row>
    <row r="182" spans="1:280" outlineLevel="1" x14ac:dyDescent="0.3">
      <c r="B182" s="279" t="s">
        <v>526</v>
      </c>
      <c r="C182" s="280" t="s">
        <v>226</v>
      </c>
      <c r="D182" s="281"/>
      <c r="E182" s="281">
        <f t="shared" ref="E182:E187" si="579">F182</f>
        <v>0</v>
      </c>
      <c r="F182" s="281"/>
      <c r="G182" s="281"/>
      <c r="H182" s="281">
        <f t="shared" si="548"/>
        <v>0</v>
      </c>
      <c r="I182" s="281">
        <f t="shared" si="548"/>
        <v>0</v>
      </c>
      <c r="J182" s="281"/>
      <c r="K182" s="281"/>
      <c r="L182" s="281">
        <f t="shared" ref="L182:L187" si="580">M182</f>
        <v>0</v>
      </c>
      <c r="M182" s="281"/>
      <c r="N182" s="281"/>
      <c r="O182" s="281">
        <f t="shared" si="549"/>
        <v>165.1</v>
      </c>
      <c r="P182" s="281">
        <f t="shared" si="549"/>
        <v>165.1</v>
      </c>
      <c r="Q182" s="289">
        <v>165.1</v>
      </c>
      <c r="R182" s="289">
        <v>167.5</v>
      </c>
      <c r="S182" s="281">
        <f t="shared" ref="S182:S187" si="581">T182</f>
        <v>171</v>
      </c>
      <c r="T182" s="289">
        <v>171</v>
      </c>
      <c r="U182" s="289">
        <v>167.5</v>
      </c>
      <c r="V182" s="281">
        <f t="shared" si="550"/>
        <v>194.3</v>
      </c>
      <c r="W182" s="281">
        <f t="shared" si="550"/>
        <v>194.3</v>
      </c>
      <c r="X182" s="289">
        <v>194.3</v>
      </c>
      <c r="Y182" s="289">
        <v>198.7</v>
      </c>
      <c r="Z182" s="281">
        <f t="shared" ref="Z182:Z187" si="582">AA182</f>
        <v>162.5</v>
      </c>
      <c r="AA182" s="289">
        <v>162.5</v>
      </c>
      <c r="AB182" s="289">
        <v>133.1</v>
      </c>
      <c r="AC182" s="281">
        <f t="shared" si="551"/>
        <v>149</v>
      </c>
      <c r="AD182" s="281">
        <f t="shared" si="551"/>
        <v>149</v>
      </c>
      <c r="AE182" s="289">
        <v>149</v>
      </c>
      <c r="AF182" s="289">
        <v>172</v>
      </c>
      <c r="AG182" s="281">
        <f t="shared" ref="AG182:AG187" si="583">AH182</f>
        <v>184.7</v>
      </c>
      <c r="AH182" s="289">
        <v>184.7</v>
      </c>
      <c r="AI182" s="289">
        <v>182.9</v>
      </c>
      <c r="AJ182" s="281">
        <f t="shared" si="552"/>
        <v>185.1</v>
      </c>
      <c r="AK182" s="281">
        <f t="shared" si="552"/>
        <v>185.1</v>
      </c>
      <c r="AL182" s="289">
        <v>185.1</v>
      </c>
      <c r="AM182" s="289">
        <v>162.9</v>
      </c>
      <c r="AN182" s="281">
        <f t="shared" ref="AN182:AN187" si="584">AO182</f>
        <v>176.7</v>
      </c>
      <c r="AO182" s="289">
        <v>176.7</v>
      </c>
      <c r="AP182" s="289">
        <v>184</v>
      </c>
      <c r="AQ182" s="281">
        <f t="shared" si="553"/>
        <v>188.6</v>
      </c>
      <c r="AR182" s="281">
        <f t="shared" si="553"/>
        <v>188.6</v>
      </c>
      <c r="AS182" s="289">
        <v>188.6</v>
      </c>
      <c r="AT182" s="289">
        <v>185.1</v>
      </c>
      <c r="AU182" s="281">
        <f>+AV182</f>
        <v>161.69999999999999</v>
      </c>
      <c r="AV182" s="289">
        <v>161.69999999999999</v>
      </c>
      <c r="AW182" s="289">
        <v>163</v>
      </c>
      <c r="AX182" s="289">
        <v>208.6</v>
      </c>
      <c r="AY182" s="281">
        <f>+AX182</f>
        <v>208.6</v>
      </c>
      <c r="AZ182" s="281">
        <f>AY182</f>
        <v>208.6</v>
      </c>
      <c r="BA182" s="289">
        <v>196.8</v>
      </c>
      <c r="BB182" s="281">
        <f>+BC182</f>
        <v>193.7</v>
      </c>
      <c r="BC182" s="289">
        <v>193.7</v>
      </c>
      <c r="BD182" s="289">
        <v>189.6</v>
      </c>
      <c r="BE182" s="281">
        <f t="shared" si="554"/>
        <v>209.4</v>
      </c>
      <c r="BF182" s="281">
        <f t="shared" si="554"/>
        <v>209.4</v>
      </c>
      <c r="BG182" s="289">
        <v>209.4</v>
      </c>
      <c r="BH182" s="289">
        <v>181.2</v>
      </c>
      <c r="BI182" s="281">
        <f>+BJ182</f>
        <v>177</v>
      </c>
      <c r="BJ182" s="289">
        <v>177</v>
      </c>
      <c r="BK182" s="289">
        <v>171</v>
      </c>
      <c r="BL182" s="289">
        <v>198.1</v>
      </c>
      <c r="BM182" s="281">
        <f>+BL182</f>
        <v>198.1</v>
      </c>
      <c r="BN182" s="281">
        <f>BM182</f>
        <v>198.1</v>
      </c>
      <c r="BO182" s="289">
        <v>196.8</v>
      </c>
      <c r="BP182" s="289">
        <v>179.6</v>
      </c>
      <c r="BQ182" s="281">
        <f>+BP182</f>
        <v>179.6</v>
      </c>
      <c r="BR182" s="289">
        <v>163.30000000000001</v>
      </c>
      <c r="BS182" s="289">
        <v>161.9</v>
      </c>
      <c r="BT182" s="281">
        <f>+BS182</f>
        <v>161.9</v>
      </c>
      <c r="BU182" s="281">
        <f>BT182</f>
        <v>161.9</v>
      </c>
      <c r="BV182" s="289">
        <f>159.7</f>
        <v>159.69999999999999</v>
      </c>
      <c r="BW182" s="289">
        <v>141.6</v>
      </c>
      <c r="BX182" s="281">
        <f>+BW182</f>
        <v>141.6</v>
      </c>
      <c r="BY182" s="289">
        <v>142.30000000000001</v>
      </c>
      <c r="BZ182" s="289">
        <v>149</v>
      </c>
      <c r="CA182" s="281">
        <f>BZ182</f>
        <v>149</v>
      </c>
      <c r="CB182" s="281">
        <f t="shared" si="555"/>
        <v>149</v>
      </c>
      <c r="CC182" s="289">
        <v>142.30000000000001</v>
      </c>
      <c r="CD182" s="289">
        <v>141.80000000000001</v>
      </c>
      <c r="CE182" s="281">
        <f>CD182</f>
        <v>141.80000000000001</v>
      </c>
      <c r="CF182" s="289">
        <v>129.4</v>
      </c>
      <c r="CG182" s="289">
        <v>58.1</v>
      </c>
      <c r="CH182" s="281">
        <f t="shared" si="556"/>
        <v>58.1</v>
      </c>
      <c r="CI182" s="281">
        <f t="shared" si="556"/>
        <v>58.1</v>
      </c>
      <c r="CJ182" s="289">
        <f>57.9</f>
        <v>57.9</v>
      </c>
      <c r="CK182" s="289">
        <v>59.1</v>
      </c>
      <c r="CL182" s="281">
        <f t="shared" si="557"/>
        <v>59.1</v>
      </c>
      <c r="CM182" s="289">
        <f>58.4</f>
        <v>58.4</v>
      </c>
      <c r="CN182" s="289">
        <v>52.8</v>
      </c>
      <c r="CO182" s="281">
        <f t="shared" si="558"/>
        <v>52.8</v>
      </c>
      <c r="CP182" s="282">
        <f t="shared" si="558"/>
        <v>52.8</v>
      </c>
      <c r="CQ182" s="290">
        <v>49.1</v>
      </c>
      <c r="CR182" s="290">
        <v>47.6</v>
      </c>
      <c r="CS182" s="282">
        <f t="shared" si="559"/>
        <v>47.6</v>
      </c>
      <c r="CT182" s="290">
        <v>44.5</v>
      </c>
      <c r="CU182" s="290">
        <v>43.7</v>
      </c>
      <c r="CV182" s="282">
        <f t="shared" si="560"/>
        <v>43.7</v>
      </c>
      <c r="CW182" s="282">
        <f t="shared" si="560"/>
        <v>43.7</v>
      </c>
      <c r="CX182" s="291">
        <v>42.7</v>
      </c>
      <c r="CY182" s="290">
        <v>40.6</v>
      </c>
      <c r="CZ182" s="282">
        <f t="shared" ref="CZ182:CZ187" si="585">CY182</f>
        <v>40.6</v>
      </c>
      <c r="DA182" s="290">
        <v>37</v>
      </c>
      <c r="DB182" s="290">
        <v>38.5</v>
      </c>
      <c r="DC182" s="282">
        <f t="shared" si="561"/>
        <v>38.5</v>
      </c>
      <c r="DD182" s="670">
        <f t="shared" si="561"/>
        <v>38.5</v>
      </c>
      <c r="DE182" s="290">
        <v>42.2</v>
      </c>
      <c r="DF182" s="290">
        <v>42.7</v>
      </c>
      <c r="DG182" s="282">
        <f t="shared" si="562"/>
        <v>42.7</v>
      </c>
      <c r="DH182" s="290">
        <v>44.4</v>
      </c>
      <c r="DI182" s="290">
        <v>42.9</v>
      </c>
      <c r="DJ182" s="282">
        <f t="shared" si="563"/>
        <v>42.9</v>
      </c>
      <c r="DK182" s="670">
        <f t="shared" si="563"/>
        <v>42.9</v>
      </c>
      <c r="DL182" s="292">
        <v>40.799999999999997</v>
      </c>
      <c r="DM182" s="290">
        <v>35.5</v>
      </c>
      <c r="DN182" s="282">
        <f t="shared" si="564"/>
        <v>35.5</v>
      </c>
      <c r="DO182" s="290">
        <v>34.5</v>
      </c>
      <c r="DP182" s="282">
        <f t="shared" si="565"/>
        <v>37.799999999999997</v>
      </c>
      <c r="DQ182" s="282">
        <f t="shared" si="565"/>
        <v>37.799999999999997</v>
      </c>
      <c r="DR182" s="670">
        <v>37.799999999999997</v>
      </c>
      <c r="DS182" s="290">
        <v>33.4</v>
      </c>
      <c r="DT182" s="290">
        <v>30</v>
      </c>
      <c r="DU182" s="282">
        <f t="shared" si="566"/>
        <v>30</v>
      </c>
      <c r="DV182" s="290">
        <v>29.9</v>
      </c>
      <c r="DW182" s="282">
        <f t="shared" si="567"/>
        <v>28.2</v>
      </c>
      <c r="DX182" s="282">
        <f t="shared" si="568"/>
        <v>28.2</v>
      </c>
      <c r="DY182" s="670">
        <v>28.2</v>
      </c>
      <c r="DZ182" s="290">
        <v>27.2</v>
      </c>
      <c r="EA182" s="290">
        <v>24.9</v>
      </c>
      <c r="EB182" s="282">
        <f t="shared" si="569"/>
        <v>24.9</v>
      </c>
      <c r="EC182" s="290">
        <v>24.5</v>
      </c>
      <c r="ED182" s="282">
        <f t="shared" si="570"/>
        <v>26.4</v>
      </c>
      <c r="EE182" s="282">
        <f t="shared" si="571"/>
        <v>26.4</v>
      </c>
      <c r="EF182" s="670">
        <v>26.4</v>
      </c>
      <c r="EG182" s="290">
        <v>25.5</v>
      </c>
      <c r="EH182" s="290">
        <v>25.8</v>
      </c>
      <c r="EI182" s="282">
        <f t="shared" si="572"/>
        <v>25.8</v>
      </c>
      <c r="EJ182" s="290">
        <v>22.3</v>
      </c>
      <c r="EK182" s="282">
        <f t="shared" si="573"/>
        <v>23.2</v>
      </c>
      <c r="EL182" s="282">
        <f t="shared" si="574"/>
        <v>23.2</v>
      </c>
      <c r="EM182" s="670">
        <v>23.2</v>
      </c>
      <c r="EN182" s="290">
        <v>23.2</v>
      </c>
      <c r="EO182" s="290">
        <v>22.7</v>
      </c>
      <c r="EP182" s="282">
        <f t="shared" si="575"/>
        <v>22.7</v>
      </c>
      <c r="EQ182" s="292">
        <v>21.5</v>
      </c>
      <c r="ER182" s="282">
        <f t="shared" si="576"/>
        <v>21.5</v>
      </c>
      <c r="ES182" s="282">
        <f t="shared" si="576"/>
        <v>21.5</v>
      </c>
      <c r="ET182" s="590">
        <f t="shared" si="576"/>
        <v>21.5</v>
      </c>
      <c r="EU182" s="282">
        <f t="shared" si="576"/>
        <v>21.5</v>
      </c>
      <c r="EV182" s="282">
        <f t="shared" si="576"/>
        <v>21.5</v>
      </c>
      <c r="EW182" s="282">
        <f t="shared" si="576"/>
        <v>21.5</v>
      </c>
      <c r="EX182" s="282">
        <f t="shared" si="576"/>
        <v>21.5</v>
      </c>
      <c r="EY182" s="282">
        <f t="shared" si="576"/>
        <v>21.5</v>
      </c>
      <c r="EZ182" s="282">
        <f t="shared" si="576"/>
        <v>21.5</v>
      </c>
      <c r="FA182" s="590">
        <f t="shared" si="577"/>
        <v>21.5</v>
      </c>
      <c r="FB182" s="282">
        <f t="shared" si="577"/>
        <v>21.5</v>
      </c>
      <c r="FC182" s="282">
        <f t="shared" si="577"/>
        <v>21.5</v>
      </c>
      <c r="FD182" s="282">
        <f t="shared" si="577"/>
        <v>21.5</v>
      </c>
      <c r="FE182" s="282">
        <f t="shared" si="577"/>
        <v>21.5</v>
      </c>
      <c r="FF182" s="282">
        <f t="shared" si="577"/>
        <v>21.5</v>
      </c>
      <c r="FG182" s="282">
        <f t="shared" si="577"/>
        <v>21.5</v>
      </c>
      <c r="FH182" s="590">
        <f t="shared" si="577"/>
        <v>21.5</v>
      </c>
      <c r="FI182" s="282">
        <f t="shared" si="577"/>
        <v>21.5</v>
      </c>
      <c r="FJ182" s="282">
        <f t="shared" si="577"/>
        <v>21.5</v>
      </c>
      <c r="FK182" s="282">
        <f t="shared" si="577"/>
        <v>21.5</v>
      </c>
      <c r="FL182" s="282">
        <f t="shared" si="577"/>
        <v>21.5</v>
      </c>
      <c r="FM182" s="282">
        <f t="shared" si="577"/>
        <v>21.5</v>
      </c>
      <c r="FN182" s="282">
        <f t="shared" si="577"/>
        <v>21.5</v>
      </c>
      <c r="FO182" s="590">
        <f t="shared" si="577"/>
        <v>21.5</v>
      </c>
      <c r="FP182" s="282">
        <f t="shared" si="578"/>
        <v>21.5</v>
      </c>
      <c r="FQ182" s="282">
        <f t="shared" si="578"/>
        <v>21.5</v>
      </c>
      <c r="FR182" s="282">
        <f t="shared" si="578"/>
        <v>21.5</v>
      </c>
      <c r="FS182" s="282">
        <f t="shared" si="578"/>
        <v>21.5</v>
      </c>
      <c r="FT182" s="282">
        <f t="shared" si="578"/>
        <v>21.5</v>
      </c>
      <c r="FU182" s="282">
        <f t="shared" si="578"/>
        <v>21.5</v>
      </c>
      <c r="FV182" s="590">
        <f t="shared" si="578"/>
        <v>21.5</v>
      </c>
      <c r="FW182" s="534"/>
    </row>
    <row r="183" spans="1:280" outlineLevel="1" x14ac:dyDescent="0.3">
      <c r="B183" s="279" t="s">
        <v>527</v>
      </c>
      <c r="C183" s="280" t="s">
        <v>226</v>
      </c>
      <c r="D183" s="281"/>
      <c r="E183" s="281">
        <f t="shared" si="579"/>
        <v>0</v>
      </c>
      <c r="F183" s="281"/>
      <c r="G183" s="281"/>
      <c r="H183" s="281">
        <f t="shared" si="548"/>
        <v>0</v>
      </c>
      <c r="I183" s="281">
        <f t="shared" si="548"/>
        <v>0</v>
      </c>
      <c r="J183" s="281"/>
      <c r="K183" s="281"/>
      <c r="L183" s="281">
        <f t="shared" si="580"/>
        <v>0</v>
      </c>
      <c r="M183" s="281"/>
      <c r="N183" s="281"/>
      <c r="O183" s="281">
        <f t="shared" si="549"/>
        <v>76.5</v>
      </c>
      <c r="P183" s="281">
        <f t="shared" si="549"/>
        <v>76.5</v>
      </c>
      <c r="Q183" s="289">
        <v>76.5</v>
      </c>
      <c r="R183" s="289">
        <v>80.5</v>
      </c>
      <c r="S183" s="281">
        <f t="shared" si="581"/>
        <v>83.7</v>
      </c>
      <c r="T183" s="289">
        <v>83.7</v>
      </c>
      <c r="U183" s="289">
        <v>83.6</v>
      </c>
      <c r="V183" s="281">
        <f t="shared" si="550"/>
        <v>78.5</v>
      </c>
      <c r="W183" s="281">
        <f t="shared" si="550"/>
        <v>78.5</v>
      </c>
      <c r="X183" s="289">
        <v>78.5</v>
      </c>
      <c r="Y183" s="289">
        <v>82.4</v>
      </c>
      <c r="Z183" s="281">
        <f t="shared" si="582"/>
        <v>68.599999999999994</v>
      </c>
      <c r="AA183" s="289">
        <v>68.599999999999994</v>
      </c>
      <c r="AB183" s="289">
        <v>59.3</v>
      </c>
      <c r="AC183" s="281">
        <f t="shared" si="551"/>
        <v>73.8</v>
      </c>
      <c r="AD183" s="281">
        <f t="shared" si="551"/>
        <v>73.8</v>
      </c>
      <c r="AE183" s="289">
        <v>73.8</v>
      </c>
      <c r="AF183" s="289">
        <v>87.3</v>
      </c>
      <c r="AG183" s="281">
        <f t="shared" si="583"/>
        <v>94.3</v>
      </c>
      <c r="AH183" s="289">
        <v>94.3</v>
      </c>
      <c r="AI183" s="289">
        <v>96.3</v>
      </c>
      <c r="AJ183" s="281">
        <f t="shared" si="552"/>
        <v>98.8</v>
      </c>
      <c r="AK183" s="281">
        <f t="shared" si="552"/>
        <v>98.8</v>
      </c>
      <c r="AL183" s="289">
        <v>98.8</v>
      </c>
      <c r="AM183" s="289">
        <v>91.9</v>
      </c>
      <c r="AN183" s="281">
        <f t="shared" si="584"/>
        <v>104.3</v>
      </c>
      <c r="AO183" s="289">
        <v>104.3</v>
      </c>
      <c r="AP183" s="289">
        <v>109.7</v>
      </c>
      <c r="AQ183" s="281">
        <f t="shared" si="553"/>
        <v>90.4</v>
      </c>
      <c r="AR183" s="281">
        <f t="shared" si="553"/>
        <v>90.4</v>
      </c>
      <c r="AS183" s="289">
        <v>90.4</v>
      </c>
      <c r="AT183" s="289">
        <v>94</v>
      </c>
      <c r="AU183" s="281">
        <f>+AV183</f>
        <v>85.5</v>
      </c>
      <c r="AV183" s="289">
        <v>85.5</v>
      </c>
      <c r="AW183" s="289">
        <v>88.9</v>
      </c>
      <c r="AX183" s="289">
        <v>83.4</v>
      </c>
      <c r="AY183" s="281">
        <f>+AX183</f>
        <v>83.4</v>
      </c>
      <c r="AZ183" s="281">
        <f>AY183</f>
        <v>83.4</v>
      </c>
      <c r="BA183" s="289">
        <v>81.400000000000006</v>
      </c>
      <c r="BB183" s="281">
        <f>+BC183</f>
        <v>83.9</v>
      </c>
      <c r="BC183" s="289">
        <v>83.9</v>
      </c>
      <c r="BD183" s="289">
        <v>83.2</v>
      </c>
      <c r="BE183" s="281">
        <f t="shared" si="554"/>
        <v>60.7</v>
      </c>
      <c r="BF183" s="281">
        <f t="shared" si="554"/>
        <v>60.7</v>
      </c>
      <c r="BG183" s="289">
        <v>60.7</v>
      </c>
      <c r="BH183" s="289">
        <v>53.9</v>
      </c>
      <c r="BI183" s="281">
        <f>+BJ183</f>
        <v>54.2</v>
      </c>
      <c r="BJ183" s="289">
        <v>54.2</v>
      </c>
      <c r="BK183" s="289">
        <v>52</v>
      </c>
      <c r="BL183" s="289">
        <v>47.6</v>
      </c>
      <c r="BM183" s="281">
        <f>+BL183</f>
        <v>47.6</v>
      </c>
      <c r="BN183" s="281">
        <f>BM183</f>
        <v>47.6</v>
      </c>
      <c r="BO183" s="289">
        <v>48.6</v>
      </c>
      <c r="BP183" s="289">
        <v>45.2</v>
      </c>
      <c r="BQ183" s="281">
        <f>+BP183</f>
        <v>45.2</v>
      </c>
      <c r="BR183" s="289">
        <v>42.3</v>
      </c>
      <c r="BS183" s="289">
        <v>45.5</v>
      </c>
      <c r="BT183" s="281">
        <f>+BS183</f>
        <v>45.5</v>
      </c>
      <c r="BU183" s="281">
        <f>BT183</f>
        <v>45.5</v>
      </c>
      <c r="BV183" s="289">
        <f>45.8</f>
        <v>45.8</v>
      </c>
      <c r="BW183" s="289">
        <v>41.8</v>
      </c>
      <c r="BX183" s="281">
        <f>+BW183</f>
        <v>41.8</v>
      </c>
      <c r="BY183" s="289">
        <v>43.6</v>
      </c>
      <c r="BZ183" s="289">
        <v>46.8</v>
      </c>
      <c r="CA183" s="281">
        <f>BZ183</f>
        <v>46.8</v>
      </c>
      <c r="CB183" s="281">
        <f t="shared" si="555"/>
        <v>46.8</v>
      </c>
      <c r="CC183" s="289">
        <v>45.5</v>
      </c>
      <c r="CD183" s="289">
        <v>46.7</v>
      </c>
      <c r="CE183" s="281">
        <f>CD183</f>
        <v>46.7</v>
      </c>
      <c r="CF183" s="289">
        <v>44.3</v>
      </c>
      <c r="CG183" s="289">
        <v>40.4</v>
      </c>
      <c r="CH183" s="281">
        <f t="shared" si="556"/>
        <v>40.4</v>
      </c>
      <c r="CI183" s="281">
        <f t="shared" si="556"/>
        <v>40.4</v>
      </c>
      <c r="CJ183" s="289">
        <f>40.7</f>
        <v>40.700000000000003</v>
      </c>
      <c r="CK183" s="289">
        <v>41.5</v>
      </c>
      <c r="CL183" s="281">
        <f t="shared" si="557"/>
        <v>41.5</v>
      </c>
      <c r="CM183" s="289">
        <v>41.3</v>
      </c>
      <c r="CN183" s="289">
        <v>28.8</v>
      </c>
      <c r="CO183" s="281">
        <f t="shared" si="558"/>
        <v>28.8</v>
      </c>
      <c r="CP183" s="282">
        <f t="shared" si="558"/>
        <v>28.8</v>
      </c>
      <c r="CQ183" s="290">
        <v>27.7</v>
      </c>
      <c r="CR183" s="290">
        <v>27</v>
      </c>
      <c r="CS183" s="282">
        <f t="shared" si="559"/>
        <v>27</v>
      </c>
      <c r="CT183" s="290">
        <v>26.5</v>
      </c>
      <c r="CU183" s="290">
        <v>25.8</v>
      </c>
      <c r="CV183" s="282">
        <f t="shared" si="560"/>
        <v>25.8</v>
      </c>
      <c r="CW183" s="282">
        <f t="shared" si="560"/>
        <v>25.8</v>
      </c>
      <c r="CX183" s="291">
        <v>25.5</v>
      </c>
      <c r="CY183" s="290">
        <v>24.6</v>
      </c>
      <c r="CZ183" s="282">
        <f t="shared" si="585"/>
        <v>24.6</v>
      </c>
      <c r="DA183" s="290">
        <v>25.5</v>
      </c>
      <c r="DB183" s="290">
        <v>20.7</v>
      </c>
      <c r="DC183" s="282">
        <f t="shared" si="561"/>
        <v>20.7</v>
      </c>
      <c r="DD183" s="670">
        <f t="shared" si="561"/>
        <v>20.7</v>
      </c>
      <c r="DE183" s="290">
        <v>23</v>
      </c>
      <c r="DF183" s="290">
        <v>23.8</v>
      </c>
      <c r="DG183" s="282">
        <f t="shared" si="562"/>
        <v>23.8</v>
      </c>
      <c r="DH183" s="290">
        <v>25.8</v>
      </c>
      <c r="DI183" s="290">
        <v>20.3</v>
      </c>
      <c r="DJ183" s="282">
        <f t="shared" si="563"/>
        <v>20.3</v>
      </c>
      <c r="DK183" s="670">
        <f t="shared" si="563"/>
        <v>20.3</v>
      </c>
      <c r="DL183" s="292">
        <v>20.100000000000001</v>
      </c>
      <c r="DM183" s="290">
        <v>19.2</v>
      </c>
      <c r="DN183" s="282">
        <f t="shared" si="564"/>
        <v>19.2</v>
      </c>
      <c r="DO183" s="290">
        <v>19.399999999999999</v>
      </c>
      <c r="DP183" s="282">
        <f t="shared" si="565"/>
        <v>18.600000000000001</v>
      </c>
      <c r="DQ183" s="282">
        <f t="shared" si="565"/>
        <v>18.600000000000001</v>
      </c>
      <c r="DR183" s="670">
        <v>18.600000000000001</v>
      </c>
      <c r="DS183" s="290">
        <v>17.100000000000001</v>
      </c>
      <c r="DT183" s="290">
        <v>16.100000000000001</v>
      </c>
      <c r="DU183" s="282">
        <f t="shared" si="566"/>
        <v>16.100000000000001</v>
      </c>
      <c r="DV183" s="290">
        <v>16.8</v>
      </c>
      <c r="DW183" s="282">
        <f t="shared" si="567"/>
        <v>16.399999999999999</v>
      </c>
      <c r="DX183" s="282">
        <f t="shared" si="568"/>
        <v>16.399999999999999</v>
      </c>
      <c r="DY183" s="670">
        <v>16.399999999999999</v>
      </c>
      <c r="DZ183" s="290">
        <v>16.2</v>
      </c>
      <c r="EA183" s="290">
        <v>15.8</v>
      </c>
      <c r="EB183" s="282">
        <f t="shared" si="569"/>
        <v>15.8</v>
      </c>
      <c r="EC183" s="290">
        <v>16.7</v>
      </c>
      <c r="ED183" s="282">
        <f t="shared" si="570"/>
        <v>13.6</v>
      </c>
      <c r="EE183" s="282">
        <f t="shared" si="571"/>
        <v>13.6</v>
      </c>
      <c r="EF183" s="670">
        <v>13.6</v>
      </c>
      <c r="EG183" s="290">
        <v>13.9</v>
      </c>
      <c r="EH183" s="290">
        <v>14.5</v>
      </c>
      <c r="EI183" s="282">
        <f t="shared" si="572"/>
        <v>14.5</v>
      </c>
      <c r="EJ183" s="290">
        <v>13</v>
      </c>
      <c r="EK183" s="282">
        <f t="shared" si="573"/>
        <v>16.5</v>
      </c>
      <c r="EL183" s="282">
        <f t="shared" si="574"/>
        <v>16.5</v>
      </c>
      <c r="EM183" s="670">
        <v>16.5</v>
      </c>
      <c r="EN183" s="290">
        <v>17.100000000000001</v>
      </c>
      <c r="EO183" s="290">
        <v>17.3</v>
      </c>
      <c r="EP183" s="282">
        <f t="shared" si="575"/>
        <v>17.3</v>
      </c>
      <c r="EQ183" s="292">
        <v>17.5</v>
      </c>
      <c r="ER183" s="282">
        <f t="shared" si="576"/>
        <v>17.5</v>
      </c>
      <c r="ES183" s="282">
        <f t="shared" si="576"/>
        <v>17.5</v>
      </c>
      <c r="ET183" s="590">
        <f t="shared" si="576"/>
        <v>17.5</v>
      </c>
      <c r="EU183" s="282">
        <f t="shared" si="576"/>
        <v>17.5</v>
      </c>
      <c r="EV183" s="282">
        <f t="shared" si="576"/>
        <v>17.5</v>
      </c>
      <c r="EW183" s="282">
        <f t="shared" si="576"/>
        <v>17.5</v>
      </c>
      <c r="EX183" s="282">
        <f t="shared" si="576"/>
        <v>17.5</v>
      </c>
      <c r="EY183" s="282">
        <f t="shared" si="576"/>
        <v>17.5</v>
      </c>
      <c r="EZ183" s="282">
        <f t="shared" si="576"/>
        <v>17.5</v>
      </c>
      <c r="FA183" s="590">
        <f t="shared" si="577"/>
        <v>17.5</v>
      </c>
      <c r="FB183" s="282">
        <f t="shared" si="577"/>
        <v>17.5</v>
      </c>
      <c r="FC183" s="282">
        <f t="shared" si="577"/>
        <v>17.5</v>
      </c>
      <c r="FD183" s="282">
        <f t="shared" si="577"/>
        <v>17.5</v>
      </c>
      <c r="FE183" s="282">
        <f t="shared" si="577"/>
        <v>17.5</v>
      </c>
      <c r="FF183" s="282">
        <f t="shared" si="577"/>
        <v>17.5</v>
      </c>
      <c r="FG183" s="282">
        <f t="shared" si="577"/>
        <v>17.5</v>
      </c>
      <c r="FH183" s="590">
        <f t="shared" si="577"/>
        <v>17.5</v>
      </c>
      <c r="FI183" s="282">
        <f t="shared" si="577"/>
        <v>17.5</v>
      </c>
      <c r="FJ183" s="282">
        <f t="shared" si="577"/>
        <v>17.5</v>
      </c>
      <c r="FK183" s="282">
        <f t="shared" si="577"/>
        <v>17.5</v>
      </c>
      <c r="FL183" s="282">
        <f t="shared" si="577"/>
        <v>17.5</v>
      </c>
      <c r="FM183" s="282">
        <f t="shared" si="577"/>
        <v>17.5</v>
      </c>
      <c r="FN183" s="282">
        <f t="shared" si="577"/>
        <v>17.5</v>
      </c>
      <c r="FO183" s="590">
        <f t="shared" si="577"/>
        <v>17.5</v>
      </c>
      <c r="FP183" s="282">
        <f t="shared" si="578"/>
        <v>17.5</v>
      </c>
      <c r="FQ183" s="282">
        <f t="shared" si="578"/>
        <v>17.5</v>
      </c>
      <c r="FR183" s="282">
        <f t="shared" si="578"/>
        <v>17.5</v>
      </c>
      <c r="FS183" s="282">
        <f t="shared" si="578"/>
        <v>17.5</v>
      </c>
      <c r="FT183" s="282">
        <f t="shared" si="578"/>
        <v>17.5</v>
      </c>
      <c r="FU183" s="282">
        <f t="shared" si="578"/>
        <v>17.5</v>
      </c>
      <c r="FV183" s="590">
        <f t="shared" si="578"/>
        <v>17.5</v>
      </c>
      <c r="FW183" s="534"/>
    </row>
    <row r="184" spans="1:280" outlineLevel="1" x14ac:dyDescent="0.3">
      <c r="B184" s="279" t="s">
        <v>528</v>
      </c>
      <c r="C184" s="280" t="s">
        <v>226</v>
      </c>
      <c r="D184" s="289">
        <v>700.6</v>
      </c>
      <c r="E184" s="281">
        <f t="shared" si="579"/>
        <v>727.9</v>
      </c>
      <c r="F184" s="289">
        <v>727.9</v>
      </c>
      <c r="G184" s="289">
        <v>764.3</v>
      </c>
      <c r="H184" s="281">
        <f t="shared" si="548"/>
        <v>775.6</v>
      </c>
      <c r="I184" s="281">
        <f t="shared" si="548"/>
        <v>775.6</v>
      </c>
      <c r="J184" s="289">
        <v>775.6</v>
      </c>
      <c r="K184" s="289">
        <v>801.8</v>
      </c>
      <c r="L184" s="281">
        <f t="shared" si="580"/>
        <v>816.1</v>
      </c>
      <c r="M184" s="289">
        <v>816.1</v>
      </c>
      <c r="N184" s="289">
        <v>825.5</v>
      </c>
      <c r="O184" s="281">
        <f t="shared" si="549"/>
        <v>827.7</v>
      </c>
      <c r="P184" s="281">
        <f t="shared" si="549"/>
        <v>827.7</v>
      </c>
      <c r="Q184" s="289">
        <v>827.7</v>
      </c>
      <c r="R184" s="289">
        <v>839.6</v>
      </c>
      <c r="S184" s="281">
        <f t="shared" si="581"/>
        <v>839</v>
      </c>
      <c r="T184" s="289">
        <v>839</v>
      </c>
      <c r="U184" s="289">
        <v>799.8</v>
      </c>
      <c r="V184" s="281">
        <f t="shared" si="550"/>
        <v>756.4</v>
      </c>
      <c r="W184" s="281">
        <f t="shared" si="550"/>
        <v>756.4</v>
      </c>
      <c r="X184" s="289">
        <v>756.4</v>
      </c>
      <c r="Y184" s="289">
        <v>748.2</v>
      </c>
      <c r="Z184" s="281">
        <f t="shared" si="582"/>
        <v>723.2</v>
      </c>
      <c r="AA184" s="289">
        <v>723.2</v>
      </c>
      <c r="AB184" s="289">
        <v>707.5</v>
      </c>
      <c r="AC184" s="281">
        <f t="shared" si="551"/>
        <v>700.8</v>
      </c>
      <c r="AD184" s="281">
        <f t="shared" si="551"/>
        <v>700.8</v>
      </c>
      <c r="AE184" s="289">
        <v>700.8</v>
      </c>
      <c r="AF184" s="289">
        <v>706.6</v>
      </c>
      <c r="AG184" s="281">
        <f t="shared" si="583"/>
        <v>709.5</v>
      </c>
      <c r="AH184" s="289">
        <v>709.5</v>
      </c>
      <c r="AI184" s="289">
        <v>710</v>
      </c>
      <c r="AJ184" s="281">
        <f t="shared" si="552"/>
        <v>710.6</v>
      </c>
      <c r="AK184" s="281">
        <f t="shared" si="552"/>
        <v>710.6</v>
      </c>
      <c r="AL184" s="289">
        <v>710.6</v>
      </c>
      <c r="AM184" s="289">
        <v>703.1</v>
      </c>
      <c r="AN184" s="281">
        <f t="shared" si="584"/>
        <v>708.5</v>
      </c>
      <c r="AO184" s="289">
        <v>708.5</v>
      </c>
      <c r="AP184" s="289">
        <v>709.5</v>
      </c>
      <c r="AQ184" s="281">
        <f t="shared" si="553"/>
        <v>707.7</v>
      </c>
      <c r="AR184" s="281">
        <f t="shared" si="553"/>
        <v>707.7</v>
      </c>
      <c r="AS184" s="289">
        <v>707.7</v>
      </c>
      <c r="AT184" s="289">
        <v>707.9</v>
      </c>
      <c r="AU184" s="281">
        <f>+AV184</f>
        <v>691</v>
      </c>
      <c r="AV184" s="289">
        <v>691</v>
      </c>
      <c r="AW184" s="289">
        <v>684</v>
      </c>
      <c r="AX184" s="289">
        <v>665.5</v>
      </c>
      <c r="AY184" s="281">
        <f>+AX184</f>
        <v>665.5</v>
      </c>
      <c r="AZ184" s="281">
        <f>+AY184</f>
        <v>665.5</v>
      </c>
      <c r="BA184" s="289">
        <v>663</v>
      </c>
      <c r="BB184" s="281">
        <f>+BC184</f>
        <v>662.1</v>
      </c>
      <c r="BC184" s="289">
        <v>662.1</v>
      </c>
      <c r="BD184" s="289">
        <v>654.70000000000005</v>
      </c>
      <c r="BE184" s="281">
        <f t="shared" si="554"/>
        <v>658.9</v>
      </c>
      <c r="BF184" s="281">
        <f t="shared" si="554"/>
        <v>658.9</v>
      </c>
      <c r="BG184" s="289">
        <v>658.9</v>
      </c>
      <c r="BH184" s="289">
        <v>658.2</v>
      </c>
      <c r="BI184" s="281">
        <f>+BJ184</f>
        <v>666.4</v>
      </c>
      <c r="BJ184" s="289">
        <v>666.4</v>
      </c>
      <c r="BK184" s="289">
        <v>678.2</v>
      </c>
      <c r="BL184" s="289">
        <v>711.2</v>
      </c>
      <c r="BM184" s="281">
        <f>BL184</f>
        <v>711.2</v>
      </c>
      <c r="BN184" s="281">
        <f>BM184</f>
        <v>711.2</v>
      </c>
      <c r="BO184" s="289">
        <v>746.5</v>
      </c>
      <c r="BP184" s="289">
        <v>823.5</v>
      </c>
      <c r="BQ184" s="281">
        <f>+BP184</f>
        <v>823.5</v>
      </c>
      <c r="BR184" s="289">
        <v>875.1</v>
      </c>
      <c r="BS184" s="289">
        <v>880.1</v>
      </c>
      <c r="BT184" s="281">
        <f>BS184</f>
        <v>880.1</v>
      </c>
      <c r="BU184" s="281">
        <f>BT184</f>
        <v>880.1</v>
      </c>
      <c r="BV184" s="289">
        <f>896.8</f>
        <v>896.8</v>
      </c>
      <c r="BW184" s="289">
        <v>875.2</v>
      </c>
      <c r="BX184" s="281">
        <f>BW184</f>
        <v>875.2</v>
      </c>
      <c r="BY184" s="289">
        <v>871.3</v>
      </c>
      <c r="BZ184" s="289">
        <v>867</v>
      </c>
      <c r="CA184" s="281">
        <f>BZ184</f>
        <v>867</v>
      </c>
      <c r="CB184" s="281">
        <f t="shared" si="555"/>
        <v>867</v>
      </c>
      <c r="CC184" s="289">
        <v>856</v>
      </c>
      <c r="CD184" s="289">
        <v>852.9</v>
      </c>
      <c r="CE184" s="281">
        <f>CD184</f>
        <v>852.9</v>
      </c>
      <c r="CF184" s="289">
        <v>839.9</v>
      </c>
      <c r="CG184" s="289">
        <v>879</v>
      </c>
      <c r="CH184" s="281">
        <f t="shared" si="556"/>
        <v>879</v>
      </c>
      <c r="CI184" s="281">
        <f t="shared" si="556"/>
        <v>879</v>
      </c>
      <c r="CJ184" s="289">
        <f>901.9</f>
        <v>901.9</v>
      </c>
      <c r="CK184" s="289">
        <v>922.1</v>
      </c>
      <c r="CL184" s="281">
        <f t="shared" si="557"/>
        <v>922.1</v>
      </c>
      <c r="CM184" s="289">
        <f>960.2</f>
        <v>960.2</v>
      </c>
      <c r="CN184" s="289">
        <v>992.1</v>
      </c>
      <c r="CO184" s="281">
        <f t="shared" si="558"/>
        <v>992.1</v>
      </c>
      <c r="CP184" s="282">
        <f t="shared" si="558"/>
        <v>992.1</v>
      </c>
      <c r="CQ184" s="290">
        <v>1258.4000000000001</v>
      </c>
      <c r="CR184" s="290">
        <v>1292.5999999999999</v>
      </c>
      <c r="CS184" s="282">
        <f t="shared" si="559"/>
        <v>1292.5999999999999</v>
      </c>
      <c r="CT184" s="290">
        <v>1338.6</v>
      </c>
      <c r="CU184" s="290">
        <v>1388.4</v>
      </c>
      <c r="CV184" s="282">
        <f t="shared" si="560"/>
        <v>1388.4</v>
      </c>
      <c r="CW184" s="282">
        <f t="shared" si="560"/>
        <v>1388.4</v>
      </c>
      <c r="CX184" s="291">
        <v>1417.2</v>
      </c>
      <c r="CY184" s="290">
        <v>1415.7</v>
      </c>
      <c r="CZ184" s="282">
        <f t="shared" si="585"/>
        <v>1415.7</v>
      </c>
      <c r="DA184" s="290">
        <v>1431.7</v>
      </c>
      <c r="DB184" s="290">
        <f>1341.7+40.5+1.7</f>
        <v>1383.9</v>
      </c>
      <c r="DC184" s="282">
        <f t="shared" si="561"/>
        <v>1383.9</v>
      </c>
      <c r="DD184" s="670">
        <f t="shared" si="561"/>
        <v>1383.9</v>
      </c>
      <c r="DE184" s="290">
        <v>1355.4</v>
      </c>
      <c r="DF184" s="290">
        <v>1360.1</v>
      </c>
      <c r="DG184" s="282">
        <f t="shared" si="562"/>
        <v>1360.1</v>
      </c>
      <c r="DH184" s="290">
        <v>1381.2</v>
      </c>
      <c r="DI184" s="290">
        <v>1372.3</v>
      </c>
      <c r="DJ184" s="282">
        <f t="shared" si="563"/>
        <v>1372.3</v>
      </c>
      <c r="DK184" s="670">
        <f t="shared" si="563"/>
        <v>1372.3</v>
      </c>
      <c r="DL184" s="292">
        <v>1373.2</v>
      </c>
      <c r="DM184" s="290">
        <v>1385.8</v>
      </c>
      <c r="DN184" s="282">
        <f t="shared" si="564"/>
        <v>1385.8</v>
      </c>
      <c r="DO184" s="290">
        <v>1419.1</v>
      </c>
      <c r="DP184" s="282">
        <f t="shared" si="565"/>
        <v>1457</v>
      </c>
      <c r="DQ184" s="282">
        <f t="shared" si="565"/>
        <v>1457</v>
      </c>
      <c r="DR184" s="670">
        <v>1457</v>
      </c>
      <c r="DS184" s="290">
        <v>1564.7</v>
      </c>
      <c r="DT184" s="290">
        <v>1620</v>
      </c>
      <c r="DU184" s="282">
        <f t="shared" si="566"/>
        <v>1620</v>
      </c>
      <c r="DV184" s="290">
        <v>1744.2</v>
      </c>
      <c r="DW184" s="282">
        <f t="shared" si="567"/>
        <v>1839.6</v>
      </c>
      <c r="DX184" s="282">
        <f t="shared" si="568"/>
        <v>1839.6</v>
      </c>
      <c r="DY184" s="670">
        <v>1839.6</v>
      </c>
      <c r="DZ184" s="290">
        <v>1898.9</v>
      </c>
      <c r="EA184" s="290">
        <v>1861.7</v>
      </c>
      <c r="EB184" s="282">
        <f t="shared" si="569"/>
        <v>1861.7</v>
      </c>
      <c r="EC184" s="290">
        <v>1950.8</v>
      </c>
      <c r="ED184" s="282">
        <f t="shared" si="570"/>
        <v>2037.8</v>
      </c>
      <c r="EE184" s="282">
        <f t="shared" si="571"/>
        <v>2037.8</v>
      </c>
      <c r="EF184" s="670">
        <v>2037.8</v>
      </c>
      <c r="EG184" s="290">
        <v>2077.8000000000002</v>
      </c>
      <c r="EH184" s="290">
        <v>2117</v>
      </c>
      <c r="EI184" s="282">
        <f t="shared" si="572"/>
        <v>2117</v>
      </c>
      <c r="EJ184" s="290">
        <v>2108.3000000000002</v>
      </c>
      <c r="EK184" s="282">
        <f t="shared" si="573"/>
        <v>2169</v>
      </c>
      <c r="EL184" s="282">
        <f t="shared" si="574"/>
        <v>2169</v>
      </c>
      <c r="EM184" s="670">
        <v>2169</v>
      </c>
      <c r="EN184" s="290">
        <v>2230.1</v>
      </c>
      <c r="EO184" s="290">
        <v>3047.9</v>
      </c>
      <c r="EP184" s="282">
        <f t="shared" si="575"/>
        <v>3047.9</v>
      </c>
      <c r="EQ184" s="292">
        <v>3095.4</v>
      </c>
      <c r="ER184" s="282">
        <f>ER168</f>
        <v>3072.0562</v>
      </c>
      <c r="ES184" s="282">
        <f t="shared" si="576"/>
        <v>3072.0562</v>
      </c>
      <c r="ET184" s="590">
        <f t="shared" si="576"/>
        <v>3072.0562</v>
      </c>
      <c r="EU184" s="282">
        <f>EU168</f>
        <v>3090.3404639999999</v>
      </c>
      <c r="EV184" s="282">
        <f>EV168</f>
        <v>3105.3827099199998</v>
      </c>
      <c r="EW184" s="282">
        <f t="shared" si="576"/>
        <v>3105.3827099199998</v>
      </c>
      <c r="EX184" s="282">
        <f>EX168</f>
        <v>3121.8699182175997</v>
      </c>
      <c r="EY184" s="282">
        <f>EY168</f>
        <v>3138.7971377641275</v>
      </c>
      <c r="EZ184" s="282">
        <f t="shared" si="576"/>
        <v>3138.7971377641275</v>
      </c>
      <c r="FA184" s="590">
        <f t="shared" si="577"/>
        <v>3138.7971377641275</v>
      </c>
      <c r="FB184" s="282">
        <f>FB168</f>
        <v>3154.7306716841276</v>
      </c>
      <c r="FC184" s="282">
        <f>FC168</f>
        <v>3167.3695824817278</v>
      </c>
      <c r="FD184" s="282">
        <f t="shared" si="577"/>
        <v>3167.3695824817278</v>
      </c>
      <c r="FE184" s="282">
        <f>FE168</f>
        <v>3181.3710295282558</v>
      </c>
      <c r="FF184" s="282">
        <f>FF168</f>
        <v>3195.8226536111797</v>
      </c>
      <c r="FG184" s="282">
        <f t="shared" si="577"/>
        <v>3195.8226536111797</v>
      </c>
      <c r="FH184" s="590">
        <f t="shared" si="577"/>
        <v>3195.8226536111797</v>
      </c>
      <c r="FI184" s="282">
        <f>FI168</f>
        <v>3208.3972302287798</v>
      </c>
      <c r="FJ184" s="282">
        <f>FJ168</f>
        <v>3217.6236784378079</v>
      </c>
      <c r="FK184" s="282">
        <f t="shared" si="577"/>
        <v>3217.6236784378079</v>
      </c>
      <c r="FL184" s="282">
        <f>FL168</f>
        <v>3228.1263857082317</v>
      </c>
      <c r="FM184" s="282">
        <f>FM168</f>
        <v>3239.0896649123933</v>
      </c>
      <c r="FN184" s="282">
        <f t="shared" si="577"/>
        <v>3239.0896649123933</v>
      </c>
      <c r="FO184" s="590">
        <f t="shared" si="577"/>
        <v>3239.0896649123933</v>
      </c>
      <c r="FP184" s="282">
        <f>FP168</f>
        <v>3251.2968476412216</v>
      </c>
      <c r="FQ184" s="282">
        <f>FQ168</f>
        <v>3260.1014797947078</v>
      </c>
      <c r="FR184" s="282">
        <f t="shared" si="578"/>
        <v>3260.1014797947078</v>
      </c>
      <c r="FS184" s="282">
        <f>FS168</f>
        <v>3270.0921192660567</v>
      </c>
      <c r="FT184" s="282">
        <f>FT168</f>
        <v>3280.553959655062</v>
      </c>
      <c r="FU184" s="282">
        <f t="shared" si="578"/>
        <v>3280.553959655062</v>
      </c>
      <c r="FV184" s="590">
        <f t="shared" si="578"/>
        <v>3280.553959655062</v>
      </c>
      <c r="FW184" s="534"/>
    </row>
    <row r="185" spans="1:280" outlineLevel="1" x14ac:dyDescent="0.3">
      <c r="B185" s="279" t="s">
        <v>529</v>
      </c>
      <c r="C185" s="280" t="s">
        <v>226</v>
      </c>
      <c r="D185" s="289">
        <v>10.8</v>
      </c>
      <c r="E185" s="281">
        <f t="shared" si="579"/>
        <v>9.9</v>
      </c>
      <c r="F185" s="289">
        <v>9.9</v>
      </c>
      <c r="G185" s="289">
        <v>9.5</v>
      </c>
      <c r="H185" s="281">
        <f t="shared" si="548"/>
        <v>4.8</v>
      </c>
      <c r="I185" s="281">
        <f t="shared" si="548"/>
        <v>4.8</v>
      </c>
      <c r="J185" s="289">
        <v>4.8</v>
      </c>
      <c r="K185" s="289">
        <v>5.4</v>
      </c>
      <c r="L185" s="281">
        <f t="shared" si="580"/>
        <v>5.3</v>
      </c>
      <c r="M185" s="289">
        <v>5.3</v>
      </c>
      <c r="N185" s="289">
        <v>5.5</v>
      </c>
      <c r="O185" s="281">
        <f t="shared" si="549"/>
        <v>325.09999999999997</v>
      </c>
      <c r="P185" s="281">
        <f t="shared" si="549"/>
        <v>325.09999999999997</v>
      </c>
      <c r="Q185" s="289">
        <f>6.9+318.2</f>
        <v>325.09999999999997</v>
      </c>
      <c r="R185" s="289">
        <f>2.3+330.8</f>
        <v>333.1</v>
      </c>
      <c r="S185" s="281">
        <f t="shared" si="581"/>
        <v>345.6</v>
      </c>
      <c r="T185" s="289">
        <f>3.1+342.5</f>
        <v>345.6</v>
      </c>
      <c r="U185" s="289">
        <f>3+339.5</f>
        <v>342.5</v>
      </c>
      <c r="V185" s="281">
        <f t="shared" si="550"/>
        <v>410.3</v>
      </c>
      <c r="W185" s="281">
        <f t="shared" si="550"/>
        <v>410.3</v>
      </c>
      <c r="X185" s="289">
        <f>13.2+397.1</f>
        <v>410.3</v>
      </c>
      <c r="Y185" s="289">
        <f>47.6+414.3</f>
        <v>461.90000000000003</v>
      </c>
      <c r="Z185" s="281">
        <f t="shared" si="582"/>
        <v>340.5</v>
      </c>
      <c r="AA185" s="289">
        <f>5.8+334.7</f>
        <v>340.5</v>
      </c>
      <c r="AB185" s="289">
        <f>17.8+288.5</f>
        <v>306.3</v>
      </c>
      <c r="AC185" s="281">
        <f t="shared" si="551"/>
        <v>335.3</v>
      </c>
      <c r="AD185" s="281">
        <f t="shared" si="551"/>
        <v>335.3</v>
      </c>
      <c r="AE185" s="289">
        <f>2.1+333.2</f>
        <v>335.3</v>
      </c>
      <c r="AF185" s="289">
        <f>2.1+391.6</f>
        <v>393.70000000000005</v>
      </c>
      <c r="AG185" s="281">
        <f t="shared" si="583"/>
        <v>413.1</v>
      </c>
      <c r="AH185" s="289">
        <f>3+410.1</f>
        <v>413.1</v>
      </c>
      <c r="AI185" s="289">
        <f>1.4+414.4</f>
        <v>415.79999999999995</v>
      </c>
      <c r="AJ185" s="281">
        <f t="shared" si="552"/>
        <v>423.2</v>
      </c>
      <c r="AK185" s="281">
        <f t="shared" si="552"/>
        <v>423.2</v>
      </c>
      <c r="AL185" s="289">
        <f>3.2+420</f>
        <v>423.2</v>
      </c>
      <c r="AM185" s="289">
        <f>3.5+389.3</f>
        <v>392.8</v>
      </c>
      <c r="AN185" s="281">
        <f t="shared" si="584"/>
        <v>446.2</v>
      </c>
      <c r="AO185" s="289">
        <f>12.5+433.7</f>
        <v>446.2</v>
      </c>
      <c r="AP185" s="289">
        <f>452.6+18</f>
        <v>470.6</v>
      </c>
      <c r="AQ185" s="281">
        <f t="shared" si="553"/>
        <v>478.7</v>
      </c>
      <c r="AR185" s="281">
        <f t="shared" si="553"/>
        <v>478.7</v>
      </c>
      <c r="AS185" s="289">
        <f>27.3+451.4</f>
        <v>478.7</v>
      </c>
      <c r="AT185" s="289">
        <f>24.6+465.2</f>
        <v>489.8</v>
      </c>
      <c r="AU185" s="281">
        <f>+AV185</f>
        <v>446.5</v>
      </c>
      <c r="AV185" s="289">
        <f>30.6+415.9</f>
        <v>446.5</v>
      </c>
      <c r="AW185" s="281">
        <f>27+429.2</f>
        <v>456.2</v>
      </c>
      <c r="AX185" s="289">
        <f>421.5+11.1</f>
        <v>432.6</v>
      </c>
      <c r="AY185" s="281">
        <f>+AX185</f>
        <v>432.6</v>
      </c>
      <c r="AZ185" s="281">
        <f>+AY185</f>
        <v>432.6</v>
      </c>
      <c r="BA185" s="326">
        <f>13.5+405</f>
        <v>418.5</v>
      </c>
      <c r="BB185" s="281">
        <f>+BC185</f>
        <v>424.2</v>
      </c>
      <c r="BC185" s="289">
        <f>409.2+15</f>
        <v>424.2</v>
      </c>
      <c r="BD185" s="289">
        <f>19.1+398.8</f>
        <v>417.90000000000003</v>
      </c>
      <c r="BE185" s="281">
        <f t="shared" si="554"/>
        <v>454.70000000000005</v>
      </c>
      <c r="BF185" s="281">
        <f t="shared" si="554"/>
        <v>454.70000000000005</v>
      </c>
      <c r="BG185" s="289">
        <f>20.6+434.1</f>
        <v>454.70000000000005</v>
      </c>
      <c r="BH185" s="289">
        <f>381.5+18.3</f>
        <v>399.8</v>
      </c>
      <c r="BI185" s="281">
        <f>+BJ185</f>
        <v>395.4</v>
      </c>
      <c r="BJ185" s="289">
        <f>16.4+379</f>
        <v>395.4</v>
      </c>
      <c r="BK185" s="289">
        <f>11+358.4</f>
        <v>369.4</v>
      </c>
      <c r="BL185" s="281">
        <f>11.7+455.2</f>
        <v>466.9</v>
      </c>
      <c r="BM185" s="281">
        <f>+BL185</f>
        <v>466.9</v>
      </c>
      <c r="BN185" s="281">
        <f>BM185</f>
        <v>466.9</v>
      </c>
      <c r="BO185" s="289">
        <f>13.4+462.2</f>
        <v>475.59999999999997</v>
      </c>
      <c r="BP185" s="289">
        <f>12.5+417.5</f>
        <v>430</v>
      </c>
      <c r="BQ185" s="281">
        <f>+BP185</f>
        <v>430</v>
      </c>
      <c r="BR185" s="289">
        <f>386.1+10.9</f>
        <v>397</v>
      </c>
      <c r="BS185" s="289">
        <f>12.9+389.3</f>
        <v>402.2</v>
      </c>
      <c r="BT185" s="281">
        <f>+BS185</f>
        <v>402.2</v>
      </c>
      <c r="BU185" s="281">
        <f>BT185</f>
        <v>402.2</v>
      </c>
      <c r="BV185" s="289">
        <f>15.1+389.7</f>
        <v>404.8</v>
      </c>
      <c r="BW185" s="289">
        <f>16.8+349.5</f>
        <v>366.3</v>
      </c>
      <c r="BX185" s="281">
        <f>+BW185</f>
        <v>366.3</v>
      </c>
      <c r="BY185" s="289">
        <f>374+21.8</f>
        <v>395.8</v>
      </c>
      <c r="BZ185" s="289">
        <f>384.9+25.9</f>
        <v>410.79999999999995</v>
      </c>
      <c r="CA185" s="281">
        <f>BZ185</f>
        <v>410.79999999999995</v>
      </c>
      <c r="CB185" s="281">
        <f t="shared" si="555"/>
        <v>410.79999999999995</v>
      </c>
      <c r="CC185" s="289">
        <f>24.5+371.4</f>
        <v>395.9</v>
      </c>
      <c r="CD185" s="289">
        <f>375.5+26.2</f>
        <v>401.7</v>
      </c>
      <c r="CE185" s="281">
        <f>CD185</f>
        <v>401.7</v>
      </c>
      <c r="CF185" s="289">
        <f>26+352.3</f>
        <v>378.3</v>
      </c>
      <c r="CG185" s="289">
        <f>26.9+356.6</f>
        <v>383.5</v>
      </c>
      <c r="CH185" s="281">
        <f t="shared" si="556"/>
        <v>383.5</v>
      </c>
      <c r="CI185" s="281">
        <f t="shared" si="556"/>
        <v>383.5</v>
      </c>
      <c r="CJ185" s="289">
        <f>26.3+355.5</f>
        <v>381.8</v>
      </c>
      <c r="CK185" s="289">
        <f>28.5+353.7</f>
        <v>382.2</v>
      </c>
      <c r="CL185" s="281">
        <f t="shared" si="557"/>
        <v>382.2</v>
      </c>
      <c r="CM185" s="289">
        <f>29.3+333.5</f>
        <v>362.8</v>
      </c>
      <c r="CN185" s="289">
        <f>29.9+382.9</f>
        <v>412.79999999999995</v>
      </c>
      <c r="CO185" s="281">
        <f t="shared" si="558"/>
        <v>412.79999999999995</v>
      </c>
      <c r="CP185" s="282">
        <f t="shared" si="558"/>
        <v>412.79999999999995</v>
      </c>
      <c r="CQ185" s="290">
        <f>363.2+1113.8</f>
        <v>1477</v>
      </c>
      <c r="CR185" s="290">
        <f>1111.5+346.6</f>
        <v>1458.1</v>
      </c>
      <c r="CS185" s="282">
        <f t="shared" si="559"/>
        <v>1458.1</v>
      </c>
      <c r="CT185" s="290">
        <f>1110+332.8</f>
        <v>1442.8</v>
      </c>
      <c r="CU185" s="290">
        <f>1092.9+349.3</f>
        <v>1442.2</v>
      </c>
      <c r="CV185" s="282">
        <f t="shared" si="560"/>
        <v>1442.2</v>
      </c>
      <c r="CW185" s="282">
        <f t="shared" si="560"/>
        <v>1442.2</v>
      </c>
      <c r="CX185" s="291">
        <f>1075.3+340.1</f>
        <v>1415.4</v>
      </c>
      <c r="CY185" s="290">
        <f>1057.6+319.9</f>
        <v>1377.5</v>
      </c>
      <c r="CZ185" s="282">
        <f t="shared" si="585"/>
        <v>1377.5</v>
      </c>
      <c r="DA185" s="290">
        <f>1046.9+325.2</f>
        <v>1372.1000000000001</v>
      </c>
      <c r="DB185" s="290">
        <f>989.4+319.1</f>
        <v>1308.5</v>
      </c>
      <c r="DC185" s="282">
        <f t="shared" si="561"/>
        <v>1308.5</v>
      </c>
      <c r="DD185" s="670">
        <f t="shared" si="561"/>
        <v>1308.5</v>
      </c>
      <c r="DE185" s="290">
        <f>984.6+349.9</f>
        <v>1334.5</v>
      </c>
      <c r="DF185" s="290">
        <f>961+351.3</f>
        <v>1312.3</v>
      </c>
      <c r="DG185" s="282">
        <f t="shared" si="562"/>
        <v>1312.3</v>
      </c>
      <c r="DH185" s="290">
        <f>943.8+371.4</f>
        <v>1315.1999999999998</v>
      </c>
      <c r="DI185" s="290">
        <f>906.8+367.4</f>
        <v>1274.1999999999998</v>
      </c>
      <c r="DJ185" s="282">
        <f t="shared" si="563"/>
        <v>1274.1999999999998</v>
      </c>
      <c r="DK185" s="670">
        <f t="shared" si="563"/>
        <v>1274.1999999999998</v>
      </c>
      <c r="DL185" s="292">
        <f>874.5+356.3</f>
        <v>1230.8</v>
      </c>
      <c r="DM185" s="290">
        <f>852.9+327</f>
        <v>1179.9000000000001</v>
      </c>
      <c r="DN185" s="282">
        <f t="shared" si="564"/>
        <v>1179.9000000000001</v>
      </c>
      <c r="DO185" s="290">
        <f>829.8+319</f>
        <v>1148.8</v>
      </c>
      <c r="DP185" s="282">
        <f t="shared" si="565"/>
        <v>1179.3000000000002</v>
      </c>
      <c r="DQ185" s="282">
        <f t="shared" si="565"/>
        <v>1179.3000000000002</v>
      </c>
      <c r="DR185" s="670">
        <f>819.2+360.1</f>
        <v>1179.3000000000002</v>
      </c>
      <c r="DS185" s="290">
        <f>789.5+323.2</f>
        <v>1112.7</v>
      </c>
      <c r="DT185" s="290">
        <f>765.7+292.4</f>
        <v>1058.0999999999999</v>
      </c>
      <c r="DU185" s="282">
        <f t="shared" si="566"/>
        <v>1058.0999999999999</v>
      </c>
      <c r="DV185" s="290">
        <f>753.5+295.1</f>
        <v>1048.5999999999999</v>
      </c>
      <c r="DW185" s="282">
        <f t="shared" si="567"/>
        <v>1054.2</v>
      </c>
      <c r="DX185" s="282">
        <f t="shared" si="568"/>
        <v>1054.2</v>
      </c>
      <c r="DY185" s="670">
        <f>755.6+298.6</f>
        <v>1054.2</v>
      </c>
      <c r="DZ185" s="290">
        <f>725.7+285.8</f>
        <v>1011.5</v>
      </c>
      <c r="EA185" s="290">
        <f>712.1+266.9</f>
        <v>979</v>
      </c>
      <c r="EB185" s="282">
        <f t="shared" si="569"/>
        <v>979</v>
      </c>
      <c r="EC185" s="290">
        <f>700.8+271.9</f>
        <v>972.69999999999993</v>
      </c>
      <c r="ED185" s="282">
        <f t="shared" si="570"/>
        <v>984.4</v>
      </c>
      <c r="EE185" s="282">
        <f t="shared" si="571"/>
        <v>984.4</v>
      </c>
      <c r="EF185" s="670">
        <f>690.4+294</f>
        <v>984.4</v>
      </c>
      <c r="EG185" s="290">
        <f>653.9+290.1</f>
        <v>944</v>
      </c>
      <c r="EH185" s="290">
        <f>632.1+291.2</f>
        <v>923.3</v>
      </c>
      <c r="EI185" s="282">
        <f t="shared" si="572"/>
        <v>923.3</v>
      </c>
      <c r="EJ185" s="290">
        <f>604.4+251.2</f>
        <v>855.59999999999991</v>
      </c>
      <c r="EK185" s="282">
        <f t="shared" si="573"/>
        <v>884.9</v>
      </c>
      <c r="EL185" s="282">
        <f t="shared" si="574"/>
        <v>884.9</v>
      </c>
      <c r="EM185" s="670">
        <f>600.4+284.5</f>
        <v>884.9</v>
      </c>
      <c r="EN185" s="290">
        <f>595+288.2</f>
        <v>883.2</v>
      </c>
      <c r="EO185" s="290">
        <f>80.9+279</f>
        <v>359.9</v>
      </c>
      <c r="EP185" s="282">
        <f t="shared" si="575"/>
        <v>359.9</v>
      </c>
      <c r="EQ185" s="292">
        <f>74.7+272.1</f>
        <v>346.8</v>
      </c>
      <c r="ER185" s="282">
        <f t="shared" si="576"/>
        <v>346.8</v>
      </c>
      <c r="ES185" s="282">
        <f t="shared" si="576"/>
        <v>346.8</v>
      </c>
      <c r="ET185" s="590">
        <f t="shared" si="576"/>
        <v>346.8</v>
      </c>
      <c r="EU185" s="282">
        <f t="shared" si="576"/>
        <v>346.8</v>
      </c>
      <c r="EV185" s="282">
        <f t="shared" si="576"/>
        <v>346.8</v>
      </c>
      <c r="EW185" s="282">
        <f t="shared" si="576"/>
        <v>346.8</v>
      </c>
      <c r="EX185" s="282">
        <f t="shared" si="576"/>
        <v>346.8</v>
      </c>
      <c r="EY185" s="282">
        <f t="shared" si="576"/>
        <v>346.8</v>
      </c>
      <c r="EZ185" s="282">
        <f t="shared" si="576"/>
        <v>346.8</v>
      </c>
      <c r="FA185" s="590">
        <f t="shared" si="577"/>
        <v>346.8</v>
      </c>
      <c r="FB185" s="282">
        <f t="shared" si="577"/>
        <v>346.8</v>
      </c>
      <c r="FC185" s="282">
        <f t="shared" si="577"/>
        <v>346.8</v>
      </c>
      <c r="FD185" s="282">
        <f t="shared" si="577"/>
        <v>346.8</v>
      </c>
      <c r="FE185" s="282">
        <f t="shared" si="577"/>
        <v>346.8</v>
      </c>
      <c r="FF185" s="282">
        <f t="shared" si="577"/>
        <v>346.8</v>
      </c>
      <c r="FG185" s="282">
        <f t="shared" si="577"/>
        <v>346.8</v>
      </c>
      <c r="FH185" s="590">
        <f t="shared" si="577"/>
        <v>346.8</v>
      </c>
      <c r="FI185" s="282">
        <f t="shared" si="577"/>
        <v>346.8</v>
      </c>
      <c r="FJ185" s="282">
        <f t="shared" si="577"/>
        <v>346.8</v>
      </c>
      <c r="FK185" s="282">
        <f t="shared" si="577"/>
        <v>346.8</v>
      </c>
      <c r="FL185" s="282">
        <f t="shared" si="577"/>
        <v>346.8</v>
      </c>
      <c r="FM185" s="282">
        <f t="shared" si="577"/>
        <v>346.8</v>
      </c>
      <c r="FN185" s="282">
        <f t="shared" si="577"/>
        <v>346.8</v>
      </c>
      <c r="FO185" s="590">
        <f t="shared" si="577"/>
        <v>346.8</v>
      </c>
      <c r="FP185" s="282">
        <f t="shared" si="577"/>
        <v>346.8</v>
      </c>
      <c r="FQ185" s="282">
        <f t="shared" ref="FP185:FQ187" si="586">FP185</f>
        <v>346.8</v>
      </c>
      <c r="FR185" s="282">
        <f t="shared" si="578"/>
        <v>346.8</v>
      </c>
      <c r="FS185" s="282">
        <f t="shared" si="578"/>
        <v>346.8</v>
      </c>
      <c r="FT185" s="282">
        <f t="shared" si="578"/>
        <v>346.8</v>
      </c>
      <c r="FU185" s="282">
        <f t="shared" si="578"/>
        <v>346.8</v>
      </c>
      <c r="FV185" s="590">
        <f t="shared" si="578"/>
        <v>346.8</v>
      </c>
      <c r="FW185" s="534"/>
    </row>
    <row r="186" spans="1:280" outlineLevel="1" x14ac:dyDescent="0.3">
      <c r="B186" s="279" t="s">
        <v>76</v>
      </c>
      <c r="C186" s="280" t="s">
        <v>226</v>
      </c>
      <c r="D186" s="281"/>
      <c r="E186" s="281">
        <f t="shared" si="579"/>
        <v>0</v>
      </c>
      <c r="F186" s="281"/>
      <c r="G186" s="281"/>
      <c r="H186" s="281">
        <f t="shared" si="548"/>
        <v>0</v>
      </c>
      <c r="I186" s="281">
        <f t="shared" si="548"/>
        <v>0</v>
      </c>
      <c r="J186" s="281"/>
      <c r="K186" s="281"/>
      <c r="L186" s="281">
        <f t="shared" si="580"/>
        <v>0</v>
      </c>
      <c r="M186" s="281"/>
      <c r="N186" s="281"/>
      <c r="O186" s="281">
        <f t="shared" si="549"/>
        <v>0</v>
      </c>
      <c r="P186" s="281">
        <f t="shared" si="549"/>
        <v>0</v>
      </c>
      <c r="Q186" s="281"/>
      <c r="R186" s="281"/>
      <c r="S186" s="281">
        <f t="shared" si="581"/>
        <v>0</v>
      </c>
      <c r="T186" s="281"/>
      <c r="U186" s="281"/>
      <c r="V186" s="281">
        <f t="shared" si="550"/>
        <v>0</v>
      </c>
      <c r="W186" s="281">
        <f t="shared" si="550"/>
        <v>0</v>
      </c>
      <c r="X186" s="281"/>
      <c r="Y186" s="281"/>
      <c r="Z186" s="281">
        <f t="shared" si="582"/>
        <v>0</v>
      </c>
      <c r="AA186" s="281"/>
      <c r="AB186" s="281"/>
      <c r="AC186" s="281">
        <f t="shared" si="551"/>
        <v>0</v>
      </c>
      <c r="AD186" s="281">
        <f t="shared" si="551"/>
        <v>0</v>
      </c>
      <c r="AE186" s="281"/>
      <c r="AF186" s="281"/>
      <c r="AG186" s="281">
        <f t="shared" si="583"/>
        <v>0</v>
      </c>
      <c r="AH186" s="281"/>
      <c r="AI186" s="281"/>
      <c r="AJ186" s="281">
        <f t="shared" si="552"/>
        <v>0</v>
      </c>
      <c r="AK186" s="281">
        <f t="shared" si="552"/>
        <v>0</v>
      </c>
      <c r="AL186" s="281"/>
      <c r="AM186" s="281"/>
      <c r="AN186" s="281"/>
      <c r="AO186" s="281"/>
      <c r="AP186" s="326"/>
      <c r="AQ186" s="281"/>
      <c r="AR186" s="281"/>
      <c r="AS186" s="281"/>
      <c r="AT186" s="281"/>
      <c r="AU186" s="281"/>
      <c r="AV186" s="326"/>
      <c r="AW186" s="281"/>
      <c r="AX186" s="281"/>
      <c r="AY186" s="281"/>
      <c r="AZ186" s="281"/>
      <c r="BA186" s="281"/>
      <c r="BB186" s="281"/>
      <c r="BC186" s="289"/>
      <c r="BD186" s="281"/>
      <c r="BE186" s="281"/>
      <c r="BF186" s="281"/>
      <c r="BG186" s="281"/>
      <c r="BH186" s="281"/>
      <c r="BI186" s="281"/>
      <c r="BJ186" s="289"/>
      <c r="BK186" s="281"/>
      <c r="BL186" s="281"/>
      <c r="BM186" s="281"/>
      <c r="BN186" s="281"/>
      <c r="BO186" s="281"/>
      <c r="BP186" s="289"/>
      <c r="BQ186" s="281"/>
      <c r="BR186" s="281"/>
      <c r="BS186" s="281"/>
      <c r="BT186" s="281"/>
      <c r="BU186" s="281"/>
      <c r="BV186" s="281"/>
      <c r="BW186" s="281"/>
      <c r="BX186" s="281"/>
      <c r="BY186" s="281"/>
      <c r="BZ186" s="281"/>
      <c r="CA186" s="281"/>
      <c r="CB186" s="281"/>
      <c r="CC186" s="281"/>
      <c r="CD186" s="281"/>
      <c r="CE186" s="281"/>
      <c r="CF186" s="281"/>
      <c r="CG186" s="281"/>
      <c r="CH186" s="281">
        <f t="shared" si="556"/>
        <v>0</v>
      </c>
      <c r="CI186" s="281">
        <f t="shared" si="556"/>
        <v>0</v>
      </c>
      <c r="CJ186" s="281">
        <f>CI186</f>
        <v>0</v>
      </c>
      <c r="CK186" s="289">
        <f>CJ186</f>
        <v>0</v>
      </c>
      <c r="CL186" s="281">
        <f t="shared" si="557"/>
        <v>0</v>
      </c>
      <c r="CM186" s="281">
        <f>CL186</f>
        <v>0</v>
      </c>
      <c r="CN186" s="281"/>
      <c r="CO186" s="281">
        <f t="shared" si="558"/>
        <v>0</v>
      </c>
      <c r="CP186" s="282">
        <f t="shared" si="558"/>
        <v>0</v>
      </c>
      <c r="CQ186" s="282">
        <f>CP186</f>
        <v>0</v>
      </c>
      <c r="CR186" s="282">
        <f>CQ186</f>
        <v>0</v>
      </c>
      <c r="CS186" s="282">
        <f t="shared" si="559"/>
        <v>0</v>
      </c>
      <c r="CT186" s="282">
        <f t="shared" si="559"/>
        <v>0</v>
      </c>
      <c r="CU186" s="290">
        <v>0</v>
      </c>
      <c r="CV186" s="282">
        <f t="shared" si="560"/>
        <v>0</v>
      </c>
      <c r="CW186" s="282">
        <f t="shared" si="560"/>
        <v>0</v>
      </c>
      <c r="CX186" s="291">
        <v>0</v>
      </c>
      <c r="CY186" s="290">
        <v>0</v>
      </c>
      <c r="CZ186" s="282">
        <f t="shared" si="585"/>
        <v>0</v>
      </c>
      <c r="DA186" s="282">
        <v>0</v>
      </c>
      <c r="DB186" s="290">
        <v>0</v>
      </c>
      <c r="DC186" s="282">
        <f t="shared" si="561"/>
        <v>0</v>
      </c>
      <c r="DD186" s="670">
        <f t="shared" si="561"/>
        <v>0</v>
      </c>
      <c r="DE186" s="290">
        <v>0</v>
      </c>
      <c r="DF186" s="282">
        <f>DE186</f>
        <v>0</v>
      </c>
      <c r="DG186" s="282">
        <f t="shared" si="562"/>
        <v>0</v>
      </c>
      <c r="DH186" s="282">
        <v>0</v>
      </c>
      <c r="DI186" s="290">
        <v>0</v>
      </c>
      <c r="DJ186" s="282">
        <f t="shared" si="563"/>
        <v>0</v>
      </c>
      <c r="DK186" s="670">
        <f t="shared" si="563"/>
        <v>0</v>
      </c>
      <c r="DL186" s="292">
        <v>0</v>
      </c>
      <c r="DM186" s="290">
        <v>0</v>
      </c>
      <c r="DN186" s="282">
        <f t="shared" si="564"/>
        <v>0</v>
      </c>
      <c r="DO186" s="290">
        <v>0</v>
      </c>
      <c r="DP186" s="282">
        <f t="shared" si="565"/>
        <v>0</v>
      </c>
      <c r="DQ186" s="282">
        <f t="shared" si="565"/>
        <v>0</v>
      </c>
      <c r="DR186" s="670">
        <v>0</v>
      </c>
      <c r="DS186" s="290">
        <v>0</v>
      </c>
      <c r="DT186" s="290">
        <v>0</v>
      </c>
      <c r="DU186" s="282">
        <f t="shared" si="566"/>
        <v>0</v>
      </c>
      <c r="DV186" s="290">
        <v>0</v>
      </c>
      <c r="DW186" s="282">
        <f t="shared" si="567"/>
        <v>0</v>
      </c>
      <c r="DX186" s="282">
        <f t="shared" si="568"/>
        <v>0</v>
      </c>
      <c r="DY186" s="670">
        <v>0</v>
      </c>
      <c r="DZ186" s="290"/>
      <c r="EA186" s="290">
        <v>0</v>
      </c>
      <c r="EB186" s="282">
        <f t="shared" si="569"/>
        <v>0</v>
      </c>
      <c r="EC186" s="290">
        <v>0</v>
      </c>
      <c r="ED186" s="282">
        <f t="shared" si="570"/>
        <v>0</v>
      </c>
      <c r="EE186" s="282">
        <f t="shared" si="571"/>
        <v>0</v>
      </c>
      <c r="EF186" s="670">
        <v>0</v>
      </c>
      <c r="EG186" s="290">
        <v>0</v>
      </c>
      <c r="EH186" s="290">
        <v>0</v>
      </c>
      <c r="EI186" s="282">
        <f t="shared" si="572"/>
        <v>0</v>
      </c>
      <c r="EJ186" s="290">
        <v>0</v>
      </c>
      <c r="EK186" s="282">
        <f t="shared" si="573"/>
        <v>0</v>
      </c>
      <c r="EL186" s="282">
        <f t="shared" si="574"/>
        <v>0</v>
      </c>
      <c r="EM186" s="670">
        <v>0</v>
      </c>
      <c r="EN186" s="290">
        <v>0</v>
      </c>
      <c r="EO186" s="290">
        <v>0</v>
      </c>
      <c r="EP186" s="282">
        <f t="shared" si="575"/>
        <v>0</v>
      </c>
      <c r="EQ186" s="292">
        <v>0</v>
      </c>
      <c r="ER186" s="282">
        <f t="shared" si="576"/>
        <v>0</v>
      </c>
      <c r="ES186" s="282">
        <f t="shared" si="576"/>
        <v>0</v>
      </c>
      <c r="ET186" s="590">
        <f t="shared" si="576"/>
        <v>0</v>
      </c>
      <c r="EU186" s="282">
        <f t="shared" si="576"/>
        <v>0</v>
      </c>
      <c r="EV186" s="282">
        <f t="shared" si="576"/>
        <v>0</v>
      </c>
      <c r="EW186" s="282">
        <f t="shared" si="576"/>
        <v>0</v>
      </c>
      <c r="EX186" s="282">
        <f t="shared" si="576"/>
        <v>0</v>
      </c>
      <c r="EY186" s="282">
        <f t="shared" si="576"/>
        <v>0</v>
      </c>
      <c r="EZ186" s="282">
        <f t="shared" si="576"/>
        <v>0</v>
      </c>
      <c r="FA186" s="590">
        <f t="shared" si="577"/>
        <v>0</v>
      </c>
      <c r="FB186" s="282">
        <f t="shared" si="577"/>
        <v>0</v>
      </c>
      <c r="FC186" s="282">
        <f t="shared" si="577"/>
        <v>0</v>
      </c>
      <c r="FD186" s="282">
        <f t="shared" si="577"/>
        <v>0</v>
      </c>
      <c r="FE186" s="282">
        <f t="shared" si="577"/>
        <v>0</v>
      </c>
      <c r="FF186" s="282">
        <f t="shared" si="577"/>
        <v>0</v>
      </c>
      <c r="FG186" s="282">
        <f t="shared" si="577"/>
        <v>0</v>
      </c>
      <c r="FH186" s="590">
        <f t="shared" si="577"/>
        <v>0</v>
      </c>
      <c r="FI186" s="282">
        <f t="shared" si="577"/>
        <v>0</v>
      </c>
      <c r="FJ186" s="282">
        <f t="shared" si="577"/>
        <v>0</v>
      </c>
      <c r="FK186" s="282">
        <f t="shared" si="577"/>
        <v>0</v>
      </c>
      <c r="FL186" s="282">
        <f t="shared" si="577"/>
        <v>0</v>
      </c>
      <c r="FM186" s="282">
        <f t="shared" si="577"/>
        <v>0</v>
      </c>
      <c r="FN186" s="282">
        <f t="shared" si="577"/>
        <v>0</v>
      </c>
      <c r="FO186" s="590">
        <f t="shared" si="577"/>
        <v>0</v>
      </c>
      <c r="FP186" s="282">
        <f t="shared" si="586"/>
        <v>0</v>
      </c>
      <c r="FQ186" s="282">
        <f t="shared" si="586"/>
        <v>0</v>
      </c>
      <c r="FR186" s="282">
        <f t="shared" si="578"/>
        <v>0</v>
      </c>
      <c r="FS186" s="282">
        <f t="shared" si="578"/>
        <v>0</v>
      </c>
      <c r="FT186" s="282">
        <f t="shared" si="578"/>
        <v>0</v>
      </c>
      <c r="FU186" s="282">
        <f t="shared" si="578"/>
        <v>0</v>
      </c>
      <c r="FV186" s="590">
        <f t="shared" si="578"/>
        <v>0</v>
      </c>
      <c r="FW186" s="534"/>
    </row>
    <row r="187" spans="1:280" outlineLevel="1" x14ac:dyDescent="0.3">
      <c r="B187" s="279" t="s">
        <v>530</v>
      </c>
      <c r="C187" s="280" t="s">
        <v>226</v>
      </c>
      <c r="D187" s="289">
        <v>9.6999999999999993</v>
      </c>
      <c r="E187" s="281">
        <f t="shared" si="579"/>
        <v>9.6</v>
      </c>
      <c r="F187" s="289">
        <v>9.6</v>
      </c>
      <c r="G187" s="289">
        <v>9.5</v>
      </c>
      <c r="H187" s="281">
        <f t="shared" si="548"/>
        <v>8.1999999999999993</v>
      </c>
      <c r="I187" s="281">
        <f t="shared" si="548"/>
        <v>8.1999999999999993</v>
      </c>
      <c r="J187" s="289">
        <v>8.1999999999999993</v>
      </c>
      <c r="K187" s="289">
        <v>7.9</v>
      </c>
      <c r="L187" s="281">
        <f t="shared" si="580"/>
        <v>148.70000000000002</v>
      </c>
      <c r="M187" s="289">
        <f>141.4+7.3</f>
        <v>148.70000000000002</v>
      </c>
      <c r="N187" s="289">
        <f>151.7+6.6</f>
        <v>158.29999999999998</v>
      </c>
      <c r="O187" s="281">
        <f t="shared" si="549"/>
        <v>157.10000000000002</v>
      </c>
      <c r="P187" s="281">
        <f t="shared" si="549"/>
        <v>157.10000000000002</v>
      </c>
      <c r="Q187" s="289">
        <f>154.8+2.3</f>
        <v>157.10000000000002</v>
      </c>
      <c r="R187" s="289">
        <f>173.7+2.1</f>
        <v>175.79999999999998</v>
      </c>
      <c r="S187" s="281">
        <f t="shared" si="581"/>
        <v>187.70000000000002</v>
      </c>
      <c r="T187" s="289">
        <f>186.3+1.4</f>
        <v>187.70000000000002</v>
      </c>
      <c r="U187" s="289">
        <f>191.8+1.6</f>
        <v>193.4</v>
      </c>
      <c r="V187" s="281">
        <f t="shared" si="550"/>
        <v>207.5</v>
      </c>
      <c r="W187" s="281">
        <f t="shared" si="550"/>
        <v>207.5</v>
      </c>
      <c r="X187" s="289">
        <f>205.8+1.7</f>
        <v>207.5</v>
      </c>
      <c r="Y187" s="289">
        <f>222.8+1.2</f>
        <v>224</v>
      </c>
      <c r="Z187" s="281">
        <f t="shared" si="582"/>
        <v>192.79999999999998</v>
      </c>
      <c r="AA187" s="289">
        <f>191.6+1.2</f>
        <v>192.79999999999998</v>
      </c>
      <c r="AB187" s="289">
        <f>170.7+1.7</f>
        <v>172.39999999999998</v>
      </c>
      <c r="AC187" s="281">
        <f t="shared" si="551"/>
        <v>175.1</v>
      </c>
      <c r="AD187" s="281">
        <f t="shared" si="551"/>
        <v>175.1</v>
      </c>
      <c r="AE187" s="289">
        <f>173.5+1.6</f>
        <v>175.1</v>
      </c>
      <c r="AF187" s="289">
        <f>208.8+1.9</f>
        <v>210.70000000000002</v>
      </c>
      <c r="AG187" s="281">
        <f t="shared" si="583"/>
        <v>230.9</v>
      </c>
      <c r="AH187" s="289">
        <f>229.3+1.6</f>
        <v>230.9</v>
      </c>
      <c r="AI187" s="289">
        <f>237.9+24.7</f>
        <v>262.60000000000002</v>
      </c>
      <c r="AJ187" s="281">
        <f t="shared" si="552"/>
        <v>291.89999999999998</v>
      </c>
      <c r="AK187" s="281">
        <f t="shared" si="552"/>
        <v>291.89999999999998</v>
      </c>
      <c r="AL187" s="289">
        <f>247.2+44.7</f>
        <v>291.89999999999998</v>
      </c>
      <c r="AM187" s="289">
        <f>234.2+39.9</f>
        <v>274.09999999999997</v>
      </c>
      <c r="AN187" s="281">
        <f t="shared" si="584"/>
        <v>45.3</v>
      </c>
      <c r="AO187" s="289">
        <v>45.3</v>
      </c>
      <c r="AP187" s="289">
        <v>34.700000000000003</v>
      </c>
      <c r="AQ187" s="281">
        <f>AR187</f>
        <v>32.6</v>
      </c>
      <c r="AR187" s="281">
        <f>AS187</f>
        <v>32.6</v>
      </c>
      <c r="AS187" s="289">
        <v>32.6</v>
      </c>
      <c r="AT187" s="289">
        <v>30.4</v>
      </c>
      <c r="AU187" s="281">
        <f>+AV187</f>
        <v>29.2</v>
      </c>
      <c r="AV187" s="289">
        <v>29.2</v>
      </c>
      <c r="AW187" s="289">
        <v>27.2</v>
      </c>
      <c r="AX187" s="289">
        <v>40.799999999999997</v>
      </c>
      <c r="AY187" s="281">
        <f>AX187</f>
        <v>40.799999999999997</v>
      </c>
      <c r="AZ187" s="281">
        <f>+AY187</f>
        <v>40.799999999999997</v>
      </c>
      <c r="BA187" s="289">
        <v>36.1</v>
      </c>
      <c r="BB187" s="281">
        <f>+BC187</f>
        <v>34.6</v>
      </c>
      <c r="BC187" s="289">
        <v>34.6</v>
      </c>
      <c r="BD187" s="289">
        <v>33.9</v>
      </c>
      <c r="BE187" s="281">
        <f>+BF187</f>
        <v>30.4</v>
      </c>
      <c r="BF187" s="281">
        <f>+BG187</f>
        <v>30.4</v>
      </c>
      <c r="BG187" s="289">
        <v>30.4</v>
      </c>
      <c r="BH187" s="289">
        <v>28.8</v>
      </c>
      <c r="BI187" s="281">
        <f>+BJ187</f>
        <v>27.1</v>
      </c>
      <c r="BJ187" s="289">
        <v>27.1</v>
      </c>
      <c r="BK187" s="289">
        <v>27.8</v>
      </c>
      <c r="BL187" s="289">
        <v>27.7</v>
      </c>
      <c r="BM187" s="281">
        <f>BL187</f>
        <v>27.7</v>
      </c>
      <c r="BN187" s="281">
        <f>BM187</f>
        <v>27.7</v>
      </c>
      <c r="BO187" s="289">
        <v>27</v>
      </c>
      <c r="BP187" s="289">
        <v>25.8</v>
      </c>
      <c r="BQ187" s="281">
        <f>+BP187</f>
        <v>25.8</v>
      </c>
      <c r="BR187" s="289">
        <v>24.7</v>
      </c>
      <c r="BS187" s="289">
        <v>30.8</v>
      </c>
      <c r="BT187" s="281">
        <f>BS187</f>
        <v>30.8</v>
      </c>
      <c r="BU187" s="281">
        <f>BT187</f>
        <v>30.8</v>
      </c>
      <c r="BV187" s="289">
        <f>31.6</f>
        <v>31.6</v>
      </c>
      <c r="BW187" s="289">
        <v>31.2</v>
      </c>
      <c r="BX187" s="281">
        <f>BW187</f>
        <v>31.2</v>
      </c>
      <c r="BY187" s="289">
        <v>33</v>
      </c>
      <c r="BZ187" s="289">
        <v>30.9</v>
      </c>
      <c r="CA187" s="281">
        <f>BZ187</f>
        <v>30.9</v>
      </c>
      <c r="CB187" s="281">
        <f t="shared" si="555"/>
        <v>30.9</v>
      </c>
      <c r="CC187" s="289">
        <v>20</v>
      </c>
      <c r="CD187" s="289">
        <v>19.2</v>
      </c>
      <c r="CE187" s="281">
        <f>CD187</f>
        <v>19.2</v>
      </c>
      <c r="CF187" s="289">
        <v>18.100000000000001</v>
      </c>
      <c r="CG187" s="289">
        <v>19.600000000000001</v>
      </c>
      <c r="CH187" s="281">
        <f>CG187</f>
        <v>19.600000000000001</v>
      </c>
      <c r="CI187" s="281">
        <f>CH187</f>
        <v>19.600000000000001</v>
      </c>
      <c r="CJ187" s="289">
        <f>18.1</f>
        <v>18.100000000000001</v>
      </c>
      <c r="CK187" s="289">
        <v>17.399999999999999</v>
      </c>
      <c r="CL187" s="281">
        <f t="shared" si="557"/>
        <v>17.399999999999999</v>
      </c>
      <c r="CM187" s="289">
        <v>22.7</v>
      </c>
      <c r="CN187" s="289">
        <v>21.9</v>
      </c>
      <c r="CO187" s="281">
        <f>CN187</f>
        <v>21.9</v>
      </c>
      <c r="CP187" s="282">
        <f>CO187</f>
        <v>21.9</v>
      </c>
      <c r="CQ187" s="290">
        <f>211.8+187.9+2.8</f>
        <v>402.50000000000006</v>
      </c>
      <c r="CR187" s="290">
        <f>206.9+2.8+183.3</f>
        <v>393</v>
      </c>
      <c r="CS187" s="282">
        <f t="shared" si="559"/>
        <v>393</v>
      </c>
      <c r="CT187" s="290">
        <f>202.4+178.8+2.7</f>
        <v>383.90000000000003</v>
      </c>
      <c r="CU187" s="290">
        <f>201.1+174.4+2.9</f>
        <v>378.4</v>
      </c>
      <c r="CV187" s="282">
        <f t="shared" si="560"/>
        <v>378.4</v>
      </c>
      <c r="CW187" s="282">
        <f t="shared" si="560"/>
        <v>378.4</v>
      </c>
      <c r="CX187" s="291">
        <f>(4112.4-747.7)-SUM(CX182:CX185)</f>
        <v>463.89999999999964</v>
      </c>
      <c r="CY187" s="291">
        <f>(4102.6-800.6)-SUM(CY182:CY185)</f>
        <v>443.60000000000036</v>
      </c>
      <c r="CZ187" s="282">
        <f t="shared" si="585"/>
        <v>443.60000000000036</v>
      </c>
      <c r="DA187" s="290">
        <f>74.8+1+200.7+171.8+5.4</f>
        <v>453.7</v>
      </c>
      <c r="DB187" s="290">
        <f>4.7+166.7+196.9</f>
        <v>368.29999999999995</v>
      </c>
      <c r="DC187" s="282">
        <f t="shared" si="561"/>
        <v>368.29999999999995</v>
      </c>
      <c r="DD187" s="670">
        <f t="shared" si="561"/>
        <v>368.29999999999995</v>
      </c>
      <c r="DE187" s="290">
        <f>39.6+1.6+200.9+169.4+3</f>
        <v>414.5</v>
      </c>
      <c r="DF187" s="290">
        <f>39.7+2.6+209.8+175.7+3.1</f>
        <v>430.90000000000003</v>
      </c>
      <c r="DG187" s="282">
        <f t="shared" si="562"/>
        <v>430.90000000000003</v>
      </c>
      <c r="DH187" s="290">
        <f>40.7+2.7+219.7+182.9+3.1</f>
        <v>449.1</v>
      </c>
      <c r="DI187" s="290">
        <f>46.4+2.7+209.3+3.4+173.9</f>
        <v>435.70000000000005</v>
      </c>
      <c r="DJ187" s="282">
        <f t="shared" si="563"/>
        <v>435.70000000000005</v>
      </c>
      <c r="DK187" s="670">
        <f t="shared" si="563"/>
        <v>435.70000000000005</v>
      </c>
      <c r="DL187" s="292">
        <f>212.7+48.8+2.5+175.8+3.4</f>
        <v>443.2</v>
      </c>
      <c r="DM187" s="290">
        <f>59.9+2.3+207.5+170.8+3.5</f>
        <v>444</v>
      </c>
      <c r="DN187" s="282">
        <f t="shared" si="564"/>
        <v>444</v>
      </c>
      <c r="DO187" s="290">
        <f>59.6+2.2+202.2+165.8+3.3</f>
        <v>433.1</v>
      </c>
      <c r="DP187" s="282">
        <f t="shared" si="565"/>
        <v>426.50000000000006</v>
      </c>
      <c r="DQ187" s="282">
        <f t="shared" si="565"/>
        <v>426.50000000000006</v>
      </c>
      <c r="DR187" s="670">
        <f>57.8+2.3+199.5+162.8+4.1</f>
        <v>426.50000000000006</v>
      </c>
      <c r="DS187" s="490">
        <f>64.2+2.3+186.9+152+3.7+78.6</f>
        <v>487.69999999999993</v>
      </c>
      <c r="DT187" s="290">
        <f>61+2.5+175.2+142.1+4.9+73.9</f>
        <v>459.59999999999991</v>
      </c>
      <c r="DU187" s="282">
        <f t="shared" si="566"/>
        <v>459.59999999999991</v>
      </c>
      <c r="DV187" s="290">
        <f>57.6+2.3+190.3+152.7+7.5</f>
        <v>410.4</v>
      </c>
      <c r="DW187" s="282">
        <f t="shared" si="567"/>
        <v>429.4</v>
      </c>
      <c r="DX187" s="282">
        <f t="shared" si="568"/>
        <v>429.4</v>
      </c>
      <c r="DY187" s="670">
        <f>59.4+2+194.9+155.2+17.9</f>
        <v>429.4</v>
      </c>
      <c r="DZ187" s="490">
        <f>58.1+3.3+194.3+153.7+16.7</f>
        <v>426.09999999999997</v>
      </c>
      <c r="EA187" s="290">
        <f>60.7+2.8+189.1+148.7+15.5</f>
        <v>416.79999999999995</v>
      </c>
      <c r="EB187" s="282">
        <f t="shared" si="569"/>
        <v>416.79999999999995</v>
      </c>
      <c r="EC187" s="290">
        <f>61.5+197.8+154.1+21.1+3.4</f>
        <v>437.9</v>
      </c>
      <c r="ED187" s="282">
        <f t="shared" si="570"/>
        <v>422</v>
      </c>
      <c r="EE187" s="282">
        <f t="shared" si="571"/>
        <v>422</v>
      </c>
      <c r="EF187" s="670">
        <f>60.9+192.6+149.2+19.3</f>
        <v>422</v>
      </c>
      <c r="EG187" s="490">
        <f>65.8+191+146.9+19.9</f>
        <v>423.6</v>
      </c>
      <c r="EH187" s="290">
        <f>69.4+199.5+152+20.9</f>
        <v>441.79999999999995</v>
      </c>
      <c r="EI187" s="282">
        <f t="shared" si="572"/>
        <v>441.79999999999995</v>
      </c>
      <c r="EJ187" s="290">
        <f>69.1+186+141.1+22.7</f>
        <v>418.9</v>
      </c>
      <c r="EK187" s="282">
        <f t="shared" si="573"/>
        <v>434.50000000000006</v>
      </c>
      <c r="EL187" s="282">
        <f t="shared" si="574"/>
        <v>434.50000000000006</v>
      </c>
      <c r="EM187" s="670">
        <f>70.4+193.7+145.6+24.8</f>
        <v>434.50000000000006</v>
      </c>
      <c r="EN187" s="490">
        <f>69.7+209.7+155.7+26.3</f>
        <v>461.4</v>
      </c>
      <c r="EO187" s="290">
        <f>109.5+3265.9+5102.8+26.8+89.4</f>
        <v>8594.4</v>
      </c>
      <c r="EP187" s="282">
        <f t="shared" si="575"/>
        <v>8594.4</v>
      </c>
      <c r="EQ187" s="718">
        <f>127.3+106.1+4822+3526.9+22.2</f>
        <v>8604.5</v>
      </c>
      <c r="ER187" s="282">
        <f t="shared" si="576"/>
        <v>8604.5</v>
      </c>
      <c r="ES187" s="282">
        <f t="shared" si="576"/>
        <v>8604.5</v>
      </c>
      <c r="ET187" s="590">
        <f t="shared" si="576"/>
        <v>8604.5</v>
      </c>
      <c r="EU187" s="282">
        <f t="shared" si="576"/>
        <v>8604.5</v>
      </c>
      <c r="EV187" s="282">
        <f t="shared" si="576"/>
        <v>8604.5</v>
      </c>
      <c r="EW187" s="282">
        <f t="shared" si="576"/>
        <v>8604.5</v>
      </c>
      <c r="EX187" s="282">
        <f t="shared" si="576"/>
        <v>8604.5</v>
      </c>
      <c r="EY187" s="282">
        <f t="shared" si="576"/>
        <v>8604.5</v>
      </c>
      <c r="EZ187" s="282">
        <f t="shared" si="576"/>
        <v>8604.5</v>
      </c>
      <c r="FA187" s="590">
        <f t="shared" si="577"/>
        <v>8604.5</v>
      </c>
      <c r="FB187" s="282">
        <f t="shared" si="577"/>
        <v>8604.5</v>
      </c>
      <c r="FC187" s="282">
        <f t="shared" si="577"/>
        <v>8604.5</v>
      </c>
      <c r="FD187" s="282">
        <f t="shared" si="577"/>
        <v>8604.5</v>
      </c>
      <c r="FE187" s="282">
        <f t="shared" si="577"/>
        <v>8604.5</v>
      </c>
      <c r="FF187" s="282">
        <f t="shared" si="577"/>
        <v>8604.5</v>
      </c>
      <c r="FG187" s="282">
        <f t="shared" si="577"/>
        <v>8604.5</v>
      </c>
      <c r="FH187" s="590">
        <f t="shared" si="577"/>
        <v>8604.5</v>
      </c>
      <c r="FI187" s="282">
        <f t="shared" si="577"/>
        <v>8604.5</v>
      </c>
      <c r="FJ187" s="282">
        <f t="shared" si="577"/>
        <v>8604.5</v>
      </c>
      <c r="FK187" s="282">
        <f t="shared" si="577"/>
        <v>8604.5</v>
      </c>
      <c r="FL187" s="282">
        <f t="shared" si="577"/>
        <v>8604.5</v>
      </c>
      <c r="FM187" s="282">
        <f t="shared" si="577"/>
        <v>8604.5</v>
      </c>
      <c r="FN187" s="282">
        <f t="shared" si="577"/>
        <v>8604.5</v>
      </c>
      <c r="FO187" s="590">
        <f t="shared" si="577"/>
        <v>8604.5</v>
      </c>
      <c r="FP187" s="282">
        <f t="shared" si="586"/>
        <v>8604.5</v>
      </c>
      <c r="FQ187" s="282">
        <f t="shared" si="586"/>
        <v>8604.5</v>
      </c>
      <c r="FR187" s="282">
        <f t="shared" si="578"/>
        <v>8604.5</v>
      </c>
      <c r="FS187" s="282">
        <f t="shared" si="578"/>
        <v>8604.5</v>
      </c>
      <c r="FT187" s="282">
        <f t="shared" si="578"/>
        <v>8604.5</v>
      </c>
      <c r="FU187" s="282">
        <f t="shared" si="578"/>
        <v>8604.5</v>
      </c>
      <c r="FV187" s="590">
        <f t="shared" si="578"/>
        <v>8604.5</v>
      </c>
      <c r="FW187" s="534"/>
    </row>
    <row r="188" spans="1:280" s="331" customFormat="1" outlineLevel="1" x14ac:dyDescent="0.3">
      <c r="A188" s="485"/>
      <c r="B188" s="486" t="s">
        <v>531</v>
      </c>
      <c r="C188" s="280" t="s">
        <v>226</v>
      </c>
      <c r="D188" s="491">
        <f t="shared" ref="D188:BO188" si="587">SUM(D181:D187)</f>
        <v>721.1</v>
      </c>
      <c r="E188" s="491">
        <f t="shared" si="587"/>
        <v>747.4</v>
      </c>
      <c r="F188" s="491">
        <f t="shared" si="587"/>
        <v>747.4</v>
      </c>
      <c r="G188" s="491">
        <f t="shared" si="587"/>
        <v>783.3</v>
      </c>
      <c r="H188" s="491">
        <f t="shared" si="587"/>
        <v>788.6</v>
      </c>
      <c r="I188" s="491">
        <f t="shared" si="587"/>
        <v>788.6</v>
      </c>
      <c r="J188" s="369">
        <f t="shared" si="587"/>
        <v>788.6</v>
      </c>
      <c r="K188" s="369">
        <f t="shared" si="587"/>
        <v>815.09999999999991</v>
      </c>
      <c r="L188" s="369">
        <f t="shared" si="587"/>
        <v>970.1</v>
      </c>
      <c r="M188" s="369">
        <f t="shared" si="587"/>
        <v>970.1</v>
      </c>
      <c r="N188" s="369">
        <f t="shared" si="587"/>
        <v>989.3</v>
      </c>
      <c r="O188" s="369">
        <f t="shared" si="587"/>
        <v>1551.5</v>
      </c>
      <c r="P188" s="369">
        <f t="shared" si="587"/>
        <v>1551.5</v>
      </c>
      <c r="Q188" s="369">
        <f t="shared" si="587"/>
        <v>1551.5</v>
      </c>
      <c r="R188" s="369">
        <f t="shared" si="587"/>
        <v>1596.4999999999998</v>
      </c>
      <c r="S188" s="369">
        <f t="shared" si="587"/>
        <v>1627.0000000000002</v>
      </c>
      <c r="T188" s="369">
        <f t="shared" si="587"/>
        <v>1627.0000000000002</v>
      </c>
      <c r="U188" s="369">
        <f t="shared" si="587"/>
        <v>1586.8</v>
      </c>
      <c r="V188" s="369">
        <f t="shared" si="587"/>
        <v>1647</v>
      </c>
      <c r="W188" s="369">
        <f t="shared" si="587"/>
        <v>1647</v>
      </c>
      <c r="X188" s="369">
        <f t="shared" si="587"/>
        <v>1647</v>
      </c>
      <c r="Y188" s="369">
        <f t="shared" si="587"/>
        <v>1715.2000000000003</v>
      </c>
      <c r="Z188" s="369">
        <f t="shared" si="587"/>
        <v>1487.6000000000001</v>
      </c>
      <c r="AA188" s="369">
        <f t="shared" si="587"/>
        <v>1487.6000000000001</v>
      </c>
      <c r="AB188" s="369">
        <f t="shared" si="587"/>
        <v>1378.6</v>
      </c>
      <c r="AC188" s="369">
        <f t="shared" si="587"/>
        <v>1438.9999999999998</v>
      </c>
      <c r="AD188" s="369">
        <f t="shared" si="587"/>
        <v>1438.9999999999998</v>
      </c>
      <c r="AE188" s="369">
        <f t="shared" si="587"/>
        <v>1438.9999999999998</v>
      </c>
      <c r="AF188" s="369">
        <f t="shared" si="587"/>
        <v>1570.3000000000002</v>
      </c>
      <c r="AG188" s="369">
        <f t="shared" si="587"/>
        <v>1632.5</v>
      </c>
      <c r="AH188" s="369">
        <f t="shared" si="587"/>
        <v>1632.5</v>
      </c>
      <c r="AI188" s="369">
        <f t="shared" si="587"/>
        <v>1672.6999999999998</v>
      </c>
      <c r="AJ188" s="369">
        <f t="shared" si="587"/>
        <v>1714.3000000000002</v>
      </c>
      <c r="AK188" s="369">
        <f t="shared" si="587"/>
        <v>1714.3000000000002</v>
      </c>
      <c r="AL188" s="369">
        <f t="shared" si="587"/>
        <v>1714.3000000000002</v>
      </c>
      <c r="AM188" s="369">
        <f t="shared" si="587"/>
        <v>1629.5</v>
      </c>
      <c r="AN188" s="369">
        <f t="shared" si="587"/>
        <v>1485.7</v>
      </c>
      <c r="AO188" s="369">
        <f t="shared" si="587"/>
        <v>1485.7</v>
      </c>
      <c r="AP188" s="369">
        <f t="shared" si="587"/>
        <v>1513.1000000000001</v>
      </c>
      <c r="AQ188" s="369">
        <f t="shared" si="587"/>
        <v>1502.5</v>
      </c>
      <c r="AR188" s="369">
        <f t="shared" si="587"/>
        <v>1502.5</v>
      </c>
      <c r="AS188" s="369">
        <f t="shared" si="587"/>
        <v>1502.5</v>
      </c>
      <c r="AT188" s="369">
        <f t="shared" si="587"/>
        <v>1511.4</v>
      </c>
      <c r="AU188" s="369">
        <f t="shared" si="587"/>
        <v>1417.4</v>
      </c>
      <c r="AV188" s="369">
        <f t="shared" si="587"/>
        <v>1417.4</v>
      </c>
      <c r="AW188" s="369">
        <f t="shared" si="587"/>
        <v>1423</v>
      </c>
      <c r="AX188" s="369">
        <f t="shared" si="587"/>
        <v>1434.3999999999999</v>
      </c>
      <c r="AY188" s="369">
        <f t="shared" si="587"/>
        <v>1434.3999999999999</v>
      </c>
      <c r="AZ188" s="369">
        <f t="shared" si="587"/>
        <v>1434.3999999999999</v>
      </c>
      <c r="BA188" s="369">
        <f t="shared" si="587"/>
        <v>1398.1999999999998</v>
      </c>
      <c r="BB188" s="369">
        <f t="shared" si="587"/>
        <v>1401.1</v>
      </c>
      <c r="BC188" s="369">
        <f t="shared" si="587"/>
        <v>1401.1</v>
      </c>
      <c r="BD188" s="369">
        <f t="shared" si="587"/>
        <v>1381.9</v>
      </c>
      <c r="BE188" s="369">
        <f t="shared" si="587"/>
        <v>1416.6000000000001</v>
      </c>
      <c r="BF188" s="369">
        <f t="shared" si="587"/>
        <v>1416.6000000000001</v>
      </c>
      <c r="BG188" s="369">
        <f t="shared" si="587"/>
        <v>1416.6000000000001</v>
      </c>
      <c r="BH188" s="369">
        <f t="shared" si="587"/>
        <v>1323.7</v>
      </c>
      <c r="BI188" s="369">
        <f t="shared" si="587"/>
        <v>1321.8999999999999</v>
      </c>
      <c r="BJ188" s="369">
        <f t="shared" si="587"/>
        <v>1321.8999999999999</v>
      </c>
      <c r="BK188" s="369">
        <f t="shared" si="587"/>
        <v>1300.2</v>
      </c>
      <c r="BL188" s="369">
        <f t="shared" si="587"/>
        <v>1453.3</v>
      </c>
      <c r="BM188" s="369">
        <f t="shared" si="587"/>
        <v>1453.3</v>
      </c>
      <c r="BN188" s="369">
        <f t="shared" si="587"/>
        <v>1453.3</v>
      </c>
      <c r="BO188" s="369">
        <f t="shared" si="587"/>
        <v>1496.3</v>
      </c>
      <c r="BP188" s="369">
        <f t="shared" ref="BP188:DQ188" si="588">SUM(BP181:BP187)</f>
        <v>1505.8999999999999</v>
      </c>
      <c r="BQ188" s="369">
        <f t="shared" si="588"/>
        <v>1505.8999999999999</v>
      </c>
      <c r="BR188" s="369">
        <f t="shared" si="588"/>
        <v>1502.4</v>
      </c>
      <c r="BS188" s="369">
        <f t="shared" si="588"/>
        <v>1520.5</v>
      </c>
      <c r="BT188" s="369">
        <f t="shared" si="588"/>
        <v>1520.5</v>
      </c>
      <c r="BU188" s="369">
        <f t="shared" si="588"/>
        <v>1520.5</v>
      </c>
      <c r="BV188" s="369">
        <f t="shared" si="588"/>
        <v>1538.6999999999998</v>
      </c>
      <c r="BW188" s="369">
        <f t="shared" si="588"/>
        <v>1456.1</v>
      </c>
      <c r="BX188" s="369">
        <f t="shared" si="588"/>
        <v>1456.1</v>
      </c>
      <c r="BY188" s="369">
        <f t="shared" si="588"/>
        <v>1486</v>
      </c>
      <c r="BZ188" s="369">
        <f t="shared" si="588"/>
        <v>1504.5</v>
      </c>
      <c r="CA188" s="369">
        <f t="shared" si="588"/>
        <v>1504.5</v>
      </c>
      <c r="CB188" s="369">
        <f t="shared" si="588"/>
        <v>1504.5</v>
      </c>
      <c r="CC188" s="369">
        <f t="shared" si="588"/>
        <v>1459.6999999999998</v>
      </c>
      <c r="CD188" s="369">
        <f t="shared" si="588"/>
        <v>1462.3000000000002</v>
      </c>
      <c r="CE188" s="369">
        <f t="shared" si="588"/>
        <v>1462.3000000000002</v>
      </c>
      <c r="CF188" s="369">
        <f t="shared" si="588"/>
        <v>1409.9999999999998</v>
      </c>
      <c r="CG188" s="369">
        <f t="shared" si="588"/>
        <v>1380.6</v>
      </c>
      <c r="CH188" s="369">
        <f t="shared" si="588"/>
        <v>1380.6</v>
      </c>
      <c r="CI188" s="369">
        <f t="shared" si="588"/>
        <v>1380.6</v>
      </c>
      <c r="CJ188" s="369">
        <f t="shared" si="588"/>
        <v>1400.3999999999999</v>
      </c>
      <c r="CK188" s="369">
        <f t="shared" si="588"/>
        <v>1422.3000000000002</v>
      </c>
      <c r="CL188" s="369">
        <f t="shared" si="588"/>
        <v>1422.3000000000002</v>
      </c>
      <c r="CM188" s="369">
        <f t="shared" si="588"/>
        <v>1445.4</v>
      </c>
      <c r="CN188" s="369">
        <f t="shared" si="588"/>
        <v>1508.4</v>
      </c>
      <c r="CO188" s="369">
        <f t="shared" si="588"/>
        <v>1508.4</v>
      </c>
      <c r="CP188" s="487">
        <f t="shared" si="588"/>
        <v>1508.4</v>
      </c>
      <c r="CQ188" s="487">
        <f t="shared" si="588"/>
        <v>3214.7</v>
      </c>
      <c r="CR188" s="487">
        <f t="shared" si="588"/>
        <v>3218.2999999999997</v>
      </c>
      <c r="CS188" s="487">
        <f t="shared" si="588"/>
        <v>3218.2999999999997</v>
      </c>
      <c r="CT188" s="487">
        <f t="shared" si="588"/>
        <v>3236.2999999999997</v>
      </c>
      <c r="CU188" s="487">
        <f t="shared" si="588"/>
        <v>3278.5000000000005</v>
      </c>
      <c r="CV188" s="487">
        <f t="shared" si="588"/>
        <v>3278.5000000000005</v>
      </c>
      <c r="CW188" s="487">
        <f t="shared" si="588"/>
        <v>3278.5000000000005</v>
      </c>
      <c r="CX188" s="487">
        <f t="shared" si="588"/>
        <v>3364.7</v>
      </c>
      <c r="CY188" s="487">
        <f t="shared" si="588"/>
        <v>3302.0000000000005</v>
      </c>
      <c r="CZ188" s="487">
        <f t="shared" si="588"/>
        <v>3302.0000000000005</v>
      </c>
      <c r="DA188" s="487">
        <f t="shared" si="588"/>
        <v>3320</v>
      </c>
      <c r="DB188" s="487">
        <f t="shared" si="588"/>
        <v>3119.9000000000005</v>
      </c>
      <c r="DC188" s="487">
        <f>SUM(DC181:DC187)</f>
        <v>3119.9000000000005</v>
      </c>
      <c r="DD188" s="613">
        <f>SUM(DD181:DD187)</f>
        <v>3119.9000000000005</v>
      </c>
      <c r="DE188" s="487">
        <f t="shared" si="588"/>
        <v>3169.6000000000004</v>
      </c>
      <c r="DF188" s="487">
        <f t="shared" si="588"/>
        <v>3169.7999999999997</v>
      </c>
      <c r="DG188" s="487">
        <f>SUM(DG181:DG187)</f>
        <v>3169.7999999999997</v>
      </c>
      <c r="DH188" s="487">
        <f t="shared" si="588"/>
        <v>3215.7</v>
      </c>
      <c r="DI188" s="487">
        <f t="shared" si="588"/>
        <v>3145.3999999999996</v>
      </c>
      <c r="DJ188" s="487">
        <f t="shared" si="588"/>
        <v>3145.3999999999996</v>
      </c>
      <c r="DK188" s="613">
        <f t="shared" si="588"/>
        <v>3145.3999999999996</v>
      </c>
      <c r="DL188" s="492">
        <f t="shared" si="588"/>
        <v>3108.1</v>
      </c>
      <c r="DM188" s="487">
        <f t="shared" si="588"/>
        <v>3064.4</v>
      </c>
      <c r="DN188" s="487">
        <f>SUM(DN181:DN187)</f>
        <v>3064.4</v>
      </c>
      <c r="DO188" s="487">
        <f t="shared" si="588"/>
        <v>3054.9</v>
      </c>
      <c r="DP188" s="487">
        <f t="shared" si="588"/>
        <v>3119.2000000000003</v>
      </c>
      <c r="DQ188" s="487">
        <f t="shared" si="588"/>
        <v>3119.2000000000003</v>
      </c>
      <c r="DR188" s="613">
        <f t="shared" ref="DR188:EM188" si="589">SUM(DR181:DR187)</f>
        <v>3119.2000000000003</v>
      </c>
      <c r="DS188" s="487">
        <f t="shared" si="589"/>
        <v>3215.6</v>
      </c>
      <c r="DT188" s="487">
        <f t="shared" si="589"/>
        <v>3183.7999999999997</v>
      </c>
      <c r="DU188" s="487">
        <f t="shared" si="589"/>
        <v>3183.7999999999997</v>
      </c>
      <c r="DV188" s="306">
        <f t="shared" si="589"/>
        <v>3306.7999999999997</v>
      </c>
      <c r="DW188" s="487">
        <f t="shared" si="589"/>
        <v>3404</v>
      </c>
      <c r="DX188" s="487">
        <f t="shared" si="589"/>
        <v>3404</v>
      </c>
      <c r="DY188" s="613">
        <f t="shared" si="589"/>
        <v>3404</v>
      </c>
      <c r="DZ188" s="487">
        <f t="shared" si="589"/>
        <v>3379.9</v>
      </c>
      <c r="EA188" s="487">
        <f t="shared" si="589"/>
        <v>3298.2</v>
      </c>
      <c r="EB188" s="487">
        <f t="shared" si="589"/>
        <v>3298.2</v>
      </c>
      <c r="EC188" s="487">
        <f t="shared" si="589"/>
        <v>3402.6</v>
      </c>
      <c r="ED188" s="487">
        <f t="shared" si="589"/>
        <v>3484.2000000000003</v>
      </c>
      <c r="EE188" s="487">
        <f t="shared" si="589"/>
        <v>3484.2000000000003</v>
      </c>
      <c r="EF188" s="613">
        <f t="shared" si="589"/>
        <v>3484.2000000000003</v>
      </c>
      <c r="EG188" s="487">
        <f t="shared" si="589"/>
        <v>3484.8</v>
      </c>
      <c r="EH188" s="487">
        <f t="shared" si="589"/>
        <v>3522.4000000000005</v>
      </c>
      <c r="EI188" s="487">
        <f t="shared" si="589"/>
        <v>3522.4000000000005</v>
      </c>
      <c r="EJ188" s="487">
        <f t="shared" si="589"/>
        <v>3418.1000000000004</v>
      </c>
      <c r="EK188" s="487">
        <f t="shared" si="589"/>
        <v>3528.1</v>
      </c>
      <c r="EL188" s="487">
        <f t="shared" si="589"/>
        <v>3528.1</v>
      </c>
      <c r="EM188" s="613">
        <f t="shared" si="589"/>
        <v>3528.1</v>
      </c>
      <c r="EN188" s="487">
        <f t="shared" ref="EN188:EP188" si="590">SUM(EN181:EN187)</f>
        <v>3615.0000000000005</v>
      </c>
      <c r="EO188" s="487">
        <f t="shared" si="590"/>
        <v>12042.2</v>
      </c>
      <c r="EP188" s="487">
        <f t="shared" si="590"/>
        <v>12042.2</v>
      </c>
      <c r="EQ188" s="492">
        <f t="shared" ref="EQ188" si="591">SUM(EQ181:EQ187)</f>
        <v>12085.7</v>
      </c>
      <c r="ER188" s="487">
        <f t="shared" ref="ER188:FV188" si="592">SUM(ER181:ER187)</f>
        <v>12062.3562</v>
      </c>
      <c r="ES188" s="487">
        <f t="shared" si="592"/>
        <v>12062.3562</v>
      </c>
      <c r="ET188" s="613">
        <f t="shared" si="592"/>
        <v>12062.3562</v>
      </c>
      <c r="EU188" s="487">
        <f t="shared" si="592"/>
        <v>12080.640464</v>
      </c>
      <c r="EV188" s="487">
        <f t="shared" si="592"/>
        <v>12095.68270992</v>
      </c>
      <c r="EW188" s="487">
        <f t="shared" si="592"/>
        <v>12095.68270992</v>
      </c>
      <c r="EX188" s="487">
        <f t="shared" si="592"/>
        <v>12112.1699182176</v>
      </c>
      <c r="EY188" s="487">
        <f t="shared" si="592"/>
        <v>12129.097137764127</v>
      </c>
      <c r="EZ188" s="487">
        <f t="shared" si="592"/>
        <v>12129.097137764127</v>
      </c>
      <c r="FA188" s="613">
        <f t="shared" si="592"/>
        <v>12129.097137764127</v>
      </c>
      <c r="FB188" s="487">
        <f t="shared" si="592"/>
        <v>12145.030671684128</v>
      </c>
      <c r="FC188" s="487">
        <f t="shared" si="592"/>
        <v>12157.669582481729</v>
      </c>
      <c r="FD188" s="487">
        <f t="shared" si="592"/>
        <v>12157.669582481729</v>
      </c>
      <c r="FE188" s="487">
        <f t="shared" si="592"/>
        <v>12171.671029528256</v>
      </c>
      <c r="FF188" s="487">
        <f t="shared" si="592"/>
        <v>12186.122653611179</v>
      </c>
      <c r="FG188" s="487">
        <f t="shared" si="592"/>
        <v>12186.122653611179</v>
      </c>
      <c r="FH188" s="613">
        <f t="shared" si="592"/>
        <v>12186.122653611179</v>
      </c>
      <c r="FI188" s="487">
        <f t="shared" si="592"/>
        <v>12198.69723022878</v>
      </c>
      <c r="FJ188" s="487">
        <f t="shared" si="592"/>
        <v>12207.923678437808</v>
      </c>
      <c r="FK188" s="487">
        <f t="shared" si="592"/>
        <v>12207.923678437808</v>
      </c>
      <c r="FL188" s="487">
        <f t="shared" si="592"/>
        <v>12218.426385708231</v>
      </c>
      <c r="FM188" s="487">
        <f t="shared" si="592"/>
        <v>12229.389664912393</v>
      </c>
      <c r="FN188" s="487">
        <f t="shared" si="592"/>
        <v>12229.389664912393</v>
      </c>
      <c r="FO188" s="613">
        <f t="shared" si="592"/>
        <v>12229.389664912393</v>
      </c>
      <c r="FP188" s="487">
        <f t="shared" si="592"/>
        <v>12241.596847641222</v>
      </c>
      <c r="FQ188" s="487">
        <f t="shared" si="592"/>
        <v>12250.401479794707</v>
      </c>
      <c r="FR188" s="487">
        <f t="shared" si="592"/>
        <v>12250.401479794707</v>
      </c>
      <c r="FS188" s="487">
        <f t="shared" si="592"/>
        <v>12260.392119266056</v>
      </c>
      <c r="FT188" s="487">
        <f t="shared" si="592"/>
        <v>12270.853959655062</v>
      </c>
      <c r="FU188" s="487">
        <f t="shared" si="592"/>
        <v>12270.853959655062</v>
      </c>
      <c r="FV188" s="613">
        <f t="shared" si="592"/>
        <v>12270.853959655062</v>
      </c>
      <c r="FW188" s="645"/>
      <c r="FX188" s="636"/>
      <c r="FY188" s="636"/>
      <c r="FZ188" s="636"/>
      <c r="GA188" s="636"/>
      <c r="GB188"/>
      <c r="GC188"/>
      <c r="GD188"/>
      <c r="GE188"/>
      <c r="GF188"/>
      <c r="GG188"/>
      <c r="GH188" s="637"/>
      <c r="GI188" s="637"/>
      <c r="GJ188" s="637"/>
      <c r="GK188" s="637"/>
      <c r="GL188" s="637"/>
      <c r="GM188" s="637"/>
      <c r="GN188" s="637"/>
      <c r="GO188" s="637"/>
      <c r="GP188" s="637"/>
      <c r="GQ188" s="637"/>
      <c r="GR188" s="637"/>
      <c r="GS188" s="637"/>
      <c r="GT188" s="637"/>
      <c r="GU188" s="637"/>
      <c r="GV188" s="637"/>
      <c r="GW188" s="637"/>
      <c r="GX188" s="637"/>
      <c r="GY188" s="637"/>
      <c r="GZ188" s="637"/>
      <c r="HA188" s="637"/>
      <c r="HB188" s="637"/>
      <c r="HC188" s="637"/>
      <c r="HD188" s="637"/>
      <c r="HE188" s="637"/>
      <c r="HF188" s="637"/>
      <c r="HG188" s="637"/>
      <c r="HH188" s="637"/>
      <c r="HI188" s="637"/>
      <c r="HJ188" s="637"/>
      <c r="HK188" s="637"/>
      <c r="HL188" s="637"/>
      <c r="HM188" s="637"/>
      <c r="HN188" s="637"/>
      <c r="HO188" s="637"/>
      <c r="HP188" s="637"/>
      <c r="HQ188" s="637"/>
      <c r="HR188" s="637"/>
      <c r="HS188" s="637"/>
      <c r="HT188" s="637"/>
      <c r="HU188" s="637"/>
      <c r="HV188" s="637"/>
      <c r="HW188" s="637"/>
      <c r="HX188" s="637"/>
      <c r="HY188" s="637"/>
      <c r="HZ188" s="637"/>
      <c r="IA188" s="637"/>
      <c r="IB188" s="637"/>
      <c r="IC188" s="637"/>
      <c r="ID188" s="637"/>
      <c r="IE188" s="637"/>
      <c r="IF188" s="637"/>
      <c r="IG188" s="637"/>
      <c r="IH188" s="637"/>
      <c r="II188" s="637"/>
      <c r="IJ188" s="637"/>
      <c r="IK188" s="637"/>
      <c r="IL188" s="637"/>
      <c r="IM188" s="637"/>
      <c r="IN188" s="637"/>
      <c r="IO188" s="637"/>
      <c r="IP188" s="637"/>
      <c r="IQ188" s="637"/>
      <c r="IR188" s="637"/>
      <c r="IS188" s="637"/>
      <c r="IT188" s="637"/>
      <c r="IU188" s="637"/>
      <c r="IV188" s="637"/>
      <c r="IW188" s="637"/>
      <c r="IX188" s="637"/>
      <c r="IY188" s="637"/>
      <c r="IZ188" s="637"/>
      <c r="JA188" s="637"/>
      <c r="JB188" s="637"/>
      <c r="JC188" s="637"/>
      <c r="JD188" s="637"/>
      <c r="JE188" s="637"/>
      <c r="JF188" s="637"/>
      <c r="JG188" s="637"/>
      <c r="JH188" s="637"/>
      <c r="JI188" s="637"/>
      <c r="JJ188" s="637"/>
      <c r="JK188" s="637"/>
      <c r="JL188" s="637"/>
      <c r="JM188" s="637"/>
      <c r="JN188" s="637"/>
      <c r="JO188" s="637"/>
      <c r="JP188" s="637"/>
      <c r="JQ188" s="637"/>
      <c r="JR188" s="637"/>
      <c r="JS188" s="637"/>
      <c r="JT188" s="637"/>
    </row>
    <row r="189" spans="1:280" s="331" customFormat="1" outlineLevel="1" x14ac:dyDescent="0.3">
      <c r="A189" s="485"/>
      <c r="B189" s="486" t="s">
        <v>532</v>
      </c>
      <c r="C189" s="280" t="s">
        <v>226</v>
      </c>
      <c r="D189" s="491">
        <f t="shared" ref="D189:BO189" si="593">D188+D179</f>
        <v>1182.5</v>
      </c>
      <c r="E189" s="491">
        <f t="shared" si="593"/>
        <v>1200.5</v>
      </c>
      <c r="F189" s="491">
        <f t="shared" si="593"/>
        <v>1200.5</v>
      </c>
      <c r="G189" s="491">
        <f t="shared" si="593"/>
        <v>1212.7</v>
      </c>
      <c r="H189" s="491">
        <f t="shared" si="593"/>
        <v>1445.4</v>
      </c>
      <c r="I189" s="491">
        <f t="shared" si="593"/>
        <v>1445.4</v>
      </c>
      <c r="J189" s="369">
        <f t="shared" si="593"/>
        <v>1445.4</v>
      </c>
      <c r="K189" s="369">
        <f t="shared" si="593"/>
        <v>1352.1999999999998</v>
      </c>
      <c r="L189" s="369">
        <f t="shared" si="593"/>
        <v>1396.3</v>
      </c>
      <c r="M189" s="369">
        <f t="shared" si="593"/>
        <v>1396.3</v>
      </c>
      <c r="N189" s="369">
        <f t="shared" si="593"/>
        <v>1410.1999999999998</v>
      </c>
      <c r="O189" s="369">
        <f t="shared" si="593"/>
        <v>2128.1</v>
      </c>
      <c r="P189" s="369">
        <f t="shared" si="593"/>
        <v>2128.1</v>
      </c>
      <c r="Q189" s="369">
        <f t="shared" si="593"/>
        <v>2128.1</v>
      </c>
      <c r="R189" s="369">
        <f t="shared" si="593"/>
        <v>2217.7999999999997</v>
      </c>
      <c r="S189" s="369">
        <f t="shared" si="593"/>
        <v>2197.9</v>
      </c>
      <c r="T189" s="369">
        <f t="shared" si="593"/>
        <v>2197.9</v>
      </c>
      <c r="U189" s="369">
        <f t="shared" si="593"/>
        <v>2155.9</v>
      </c>
      <c r="V189" s="369">
        <f t="shared" si="593"/>
        <v>2179.9</v>
      </c>
      <c r="W189" s="369">
        <f t="shared" si="593"/>
        <v>2179.9</v>
      </c>
      <c r="X189" s="369">
        <f t="shared" si="593"/>
        <v>2179.9</v>
      </c>
      <c r="Y189" s="369">
        <f t="shared" si="593"/>
        <v>2357.3000000000002</v>
      </c>
      <c r="Z189" s="369">
        <f t="shared" si="593"/>
        <v>2043.7000000000003</v>
      </c>
      <c r="AA189" s="369">
        <f t="shared" si="593"/>
        <v>2043.7000000000003</v>
      </c>
      <c r="AB189" s="369">
        <f t="shared" si="593"/>
        <v>1827</v>
      </c>
      <c r="AC189" s="369">
        <f t="shared" si="593"/>
        <v>1891.6999999999998</v>
      </c>
      <c r="AD189" s="369">
        <f t="shared" si="593"/>
        <v>1891.6999999999998</v>
      </c>
      <c r="AE189" s="369">
        <f t="shared" si="593"/>
        <v>1891.6999999999998</v>
      </c>
      <c r="AF189" s="369">
        <f t="shared" si="593"/>
        <v>2041.6000000000001</v>
      </c>
      <c r="AG189" s="369">
        <f t="shared" si="593"/>
        <v>2120.6999999999998</v>
      </c>
      <c r="AH189" s="369">
        <f t="shared" si="593"/>
        <v>2120.6999999999998</v>
      </c>
      <c r="AI189" s="369">
        <f t="shared" si="593"/>
        <v>2130.8999999999996</v>
      </c>
      <c r="AJ189" s="369">
        <f t="shared" si="593"/>
        <v>2178.8000000000002</v>
      </c>
      <c r="AK189" s="369">
        <f t="shared" si="593"/>
        <v>2178.8000000000002</v>
      </c>
      <c r="AL189" s="369">
        <f t="shared" si="593"/>
        <v>2178.8000000000002</v>
      </c>
      <c r="AM189" s="369">
        <f t="shared" si="593"/>
        <v>2132</v>
      </c>
      <c r="AN189" s="369">
        <f t="shared" si="593"/>
        <v>1980.8</v>
      </c>
      <c r="AO189" s="369">
        <f t="shared" si="593"/>
        <v>1980.8</v>
      </c>
      <c r="AP189" s="369">
        <f t="shared" si="593"/>
        <v>1971.8000000000002</v>
      </c>
      <c r="AQ189" s="369">
        <f t="shared" si="593"/>
        <v>1960.6</v>
      </c>
      <c r="AR189" s="369">
        <f t="shared" si="593"/>
        <v>1960.6</v>
      </c>
      <c r="AS189" s="369">
        <f t="shared" si="593"/>
        <v>1960.6</v>
      </c>
      <c r="AT189" s="369">
        <f t="shared" si="593"/>
        <v>2017.6000000000001</v>
      </c>
      <c r="AU189" s="369">
        <f t="shared" si="593"/>
        <v>1882</v>
      </c>
      <c r="AV189" s="369">
        <f t="shared" si="593"/>
        <v>1882</v>
      </c>
      <c r="AW189" s="369">
        <f t="shared" si="593"/>
        <v>1876.5</v>
      </c>
      <c r="AX189" s="369">
        <f t="shared" si="593"/>
        <v>2310</v>
      </c>
      <c r="AY189" s="369">
        <f t="shared" si="593"/>
        <v>2310</v>
      </c>
      <c r="AZ189" s="369">
        <f t="shared" si="593"/>
        <v>2310</v>
      </c>
      <c r="BA189" s="369">
        <f t="shared" si="593"/>
        <v>2258.8000000000002</v>
      </c>
      <c r="BB189" s="369">
        <f t="shared" si="593"/>
        <v>2076.8000000000002</v>
      </c>
      <c r="BC189" s="369">
        <f t="shared" si="593"/>
        <v>2076.8000000000002</v>
      </c>
      <c r="BD189" s="369">
        <f t="shared" si="593"/>
        <v>2066.6999999999998</v>
      </c>
      <c r="BE189" s="369">
        <f t="shared" si="593"/>
        <v>2107.6000000000004</v>
      </c>
      <c r="BF189" s="369">
        <f t="shared" si="593"/>
        <v>2107.6000000000004</v>
      </c>
      <c r="BG189" s="369">
        <f t="shared" si="593"/>
        <v>2107.6000000000004</v>
      </c>
      <c r="BH189" s="369">
        <f t="shared" si="593"/>
        <v>2001.6</v>
      </c>
      <c r="BI189" s="369">
        <f t="shared" si="593"/>
        <v>1895.8999999999999</v>
      </c>
      <c r="BJ189" s="369">
        <f t="shared" si="593"/>
        <v>1895.8999999999999</v>
      </c>
      <c r="BK189" s="369">
        <f t="shared" si="593"/>
        <v>1918.5</v>
      </c>
      <c r="BL189" s="369">
        <f t="shared" si="593"/>
        <v>2106.5</v>
      </c>
      <c r="BM189" s="369">
        <f t="shared" si="593"/>
        <v>2106.5</v>
      </c>
      <c r="BN189" s="369">
        <f t="shared" si="593"/>
        <v>2106.5</v>
      </c>
      <c r="BO189" s="369">
        <f t="shared" si="593"/>
        <v>2000.3</v>
      </c>
      <c r="BP189" s="369">
        <f t="shared" ref="BP189:DQ189" si="594">BP188+BP179</f>
        <v>2070.8999999999996</v>
      </c>
      <c r="BQ189" s="369">
        <f t="shared" si="594"/>
        <v>2070.8999999999996</v>
      </c>
      <c r="BR189" s="369">
        <f t="shared" si="594"/>
        <v>2015.2</v>
      </c>
      <c r="BS189" s="369">
        <f t="shared" si="594"/>
        <v>2044.5</v>
      </c>
      <c r="BT189" s="369">
        <f t="shared" si="594"/>
        <v>2044.5</v>
      </c>
      <c r="BU189" s="369">
        <f t="shared" si="594"/>
        <v>2044.5</v>
      </c>
      <c r="BV189" s="369">
        <f t="shared" si="594"/>
        <v>2077.6</v>
      </c>
      <c r="BW189" s="369">
        <f t="shared" si="594"/>
        <v>1978</v>
      </c>
      <c r="BX189" s="369">
        <f t="shared" si="594"/>
        <v>1978</v>
      </c>
      <c r="BY189" s="369">
        <f t="shared" si="594"/>
        <v>1964</v>
      </c>
      <c r="BZ189" s="369">
        <f t="shared" si="594"/>
        <v>2040.4</v>
      </c>
      <c r="CA189" s="369">
        <f t="shared" si="594"/>
        <v>2040.4</v>
      </c>
      <c r="CB189" s="369">
        <f t="shared" si="594"/>
        <v>2040.4</v>
      </c>
      <c r="CC189" s="369">
        <f t="shared" si="594"/>
        <v>1980.5</v>
      </c>
      <c r="CD189" s="369">
        <f t="shared" si="594"/>
        <v>1994.5</v>
      </c>
      <c r="CE189" s="369">
        <f t="shared" si="594"/>
        <v>1994.5</v>
      </c>
      <c r="CF189" s="369">
        <f t="shared" si="594"/>
        <v>1909.5999999999997</v>
      </c>
      <c r="CG189" s="369">
        <f t="shared" si="594"/>
        <v>2012.6999999999998</v>
      </c>
      <c r="CH189" s="369">
        <f t="shared" si="594"/>
        <v>2012.6999999999998</v>
      </c>
      <c r="CI189" s="369">
        <f t="shared" si="594"/>
        <v>2012.6999999999998</v>
      </c>
      <c r="CJ189" s="369">
        <f t="shared" si="594"/>
        <v>1993.6</v>
      </c>
      <c r="CK189" s="369">
        <f t="shared" si="594"/>
        <v>2081.4</v>
      </c>
      <c r="CL189" s="369">
        <f t="shared" si="594"/>
        <v>2081.4</v>
      </c>
      <c r="CM189" s="369">
        <f t="shared" si="594"/>
        <v>2208.6000000000004</v>
      </c>
      <c r="CN189" s="369">
        <f t="shared" si="594"/>
        <v>2351</v>
      </c>
      <c r="CO189" s="369">
        <f t="shared" si="594"/>
        <v>2351</v>
      </c>
      <c r="CP189" s="487">
        <f t="shared" si="594"/>
        <v>2351</v>
      </c>
      <c r="CQ189" s="487">
        <f t="shared" si="594"/>
        <v>3986.7999999999997</v>
      </c>
      <c r="CR189" s="487">
        <f t="shared" si="594"/>
        <v>3997.2999999999997</v>
      </c>
      <c r="CS189" s="487">
        <f t="shared" si="594"/>
        <v>3997.2999999999997</v>
      </c>
      <c r="CT189" s="487">
        <f t="shared" si="594"/>
        <v>3961.3999999999996</v>
      </c>
      <c r="CU189" s="487">
        <f t="shared" si="594"/>
        <v>4032.6000000000004</v>
      </c>
      <c r="CV189" s="487">
        <f t="shared" si="594"/>
        <v>4032.6000000000004</v>
      </c>
      <c r="CW189" s="487">
        <f t="shared" si="594"/>
        <v>4032.6000000000004</v>
      </c>
      <c r="CX189" s="487">
        <f t="shared" si="594"/>
        <v>4112.3999999999996</v>
      </c>
      <c r="CY189" s="487">
        <f t="shared" si="594"/>
        <v>4102.6000000000004</v>
      </c>
      <c r="CZ189" s="487">
        <f t="shared" si="594"/>
        <v>4102.6000000000004</v>
      </c>
      <c r="DA189" s="487">
        <f t="shared" si="594"/>
        <v>4139.3999999999996</v>
      </c>
      <c r="DB189" s="493">
        <f t="shared" si="594"/>
        <v>4028.3000000000006</v>
      </c>
      <c r="DC189" s="487">
        <f>DC188+DC179</f>
        <v>4028.3000000000006</v>
      </c>
      <c r="DD189" s="582">
        <f>DD188+DD179</f>
        <v>4028.3000000000006</v>
      </c>
      <c r="DE189" s="488">
        <f t="shared" si="594"/>
        <v>4034.2000000000003</v>
      </c>
      <c r="DF189" s="487">
        <f t="shared" si="594"/>
        <v>4199.6000000000004</v>
      </c>
      <c r="DG189" s="487">
        <f>DG188+DG179</f>
        <v>4199.6000000000004</v>
      </c>
      <c r="DH189" s="487">
        <f t="shared" si="594"/>
        <v>4450.8999999999996</v>
      </c>
      <c r="DI189" s="487">
        <f t="shared" si="594"/>
        <v>4088.9999999999995</v>
      </c>
      <c r="DJ189" s="487">
        <f t="shared" si="594"/>
        <v>4088.9999999999995</v>
      </c>
      <c r="DK189" s="582">
        <f t="shared" si="594"/>
        <v>4088.9999999999995</v>
      </c>
      <c r="DL189" s="489">
        <f t="shared" si="594"/>
        <v>3967.2</v>
      </c>
      <c r="DM189" s="487">
        <f t="shared" si="594"/>
        <v>3953.2</v>
      </c>
      <c r="DN189" s="487">
        <f>DN188+DN179</f>
        <v>3953.2</v>
      </c>
      <c r="DO189" s="488">
        <f t="shared" si="594"/>
        <v>3993.5</v>
      </c>
      <c r="DP189" s="487">
        <f t="shared" si="594"/>
        <v>4243.2000000000007</v>
      </c>
      <c r="DQ189" s="487">
        <f t="shared" si="594"/>
        <v>4243.2000000000007</v>
      </c>
      <c r="DR189" s="582">
        <f t="shared" ref="DR189:EM189" si="595">DR188+DR179</f>
        <v>4243.2000000000007</v>
      </c>
      <c r="DS189" s="487">
        <f t="shared" si="595"/>
        <v>4241</v>
      </c>
      <c r="DT189" s="487">
        <f t="shared" si="595"/>
        <v>4152.5</v>
      </c>
      <c r="DU189" s="487">
        <f t="shared" si="595"/>
        <v>4152.5</v>
      </c>
      <c r="DV189" s="545">
        <f t="shared" si="595"/>
        <v>4307.5999999999995</v>
      </c>
      <c r="DW189" s="487">
        <f t="shared" si="595"/>
        <v>4479.1000000000004</v>
      </c>
      <c r="DX189" s="487">
        <f t="shared" si="595"/>
        <v>4479.1000000000004</v>
      </c>
      <c r="DY189" s="582">
        <f t="shared" si="595"/>
        <v>4479.1000000000004</v>
      </c>
      <c r="DZ189" s="487">
        <f t="shared" si="595"/>
        <v>4461.7000000000007</v>
      </c>
      <c r="EA189" s="487">
        <f t="shared" si="595"/>
        <v>4450.6000000000004</v>
      </c>
      <c r="EB189" s="487">
        <f t="shared" si="595"/>
        <v>4450.6000000000004</v>
      </c>
      <c r="EC189" s="487">
        <f t="shared" si="595"/>
        <v>4815.6000000000004</v>
      </c>
      <c r="ED189" s="487">
        <f t="shared" si="595"/>
        <v>4912.6000000000004</v>
      </c>
      <c r="EE189" s="487">
        <f t="shared" si="595"/>
        <v>4912.6000000000004</v>
      </c>
      <c r="EF189" s="582">
        <f t="shared" si="595"/>
        <v>4912.6000000000004</v>
      </c>
      <c r="EG189" s="487">
        <f t="shared" si="595"/>
        <v>4928</v>
      </c>
      <c r="EH189" s="487">
        <f t="shared" si="595"/>
        <v>4973.3000000000011</v>
      </c>
      <c r="EI189" s="487">
        <f t="shared" si="595"/>
        <v>4973.3000000000011</v>
      </c>
      <c r="EJ189" s="487">
        <f t="shared" si="595"/>
        <v>4908.2000000000007</v>
      </c>
      <c r="EK189" s="487">
        <f t="shared" si="595"/>
        <v>5229.8999999999996</v>
      </c>
      <c r="EL189" s="487">
        <f t="shared" si="595"/>
        <v>5229.8999999999996</v>
      </c>
      <c r="EM189" s="582">
        <f t="shared" si="595"/>
        <v>5229.8999999999996</v>
      </c>
      <c r="EN189" s="487">
        <f t="shared" ref="EN189:EP189" si="596">EN188+EN179</f>
        <v>6786.7000000000007</v>
      </c>
      <c r="EO189" s="487">
        <f t="shared" si="596"/>
        <v>14069</v>
      </c>
      <c r="EP189" s="487">
        <f t="shared" si="596"/>
        <v>14069</v>
      </c>
      <c r="EQ189" s="492">
        <f t="shared" ref="EQ189" si="597">EQ188+EQ179</f>
        <v>13804.5</v>
      </c>
      <c r="ER189" s="487">
        <f t="shared" ref="ER189:FV189" si="598">ER188+ER179</f>
        <v>13880.871252035369</v>
      </c>
      <c r="ES189" s="487">
        <f t="shared" si="598"/>
        <v>13880.871252035369</v>
      </c>
      <c r="ET189" s="613">
        <f t="shared" si="598"/>
        <v>13880.871252035369</v>
      </c>
      <c r="EU189" s="487">
        <f t="shared" si="598"/>
        <v>13919.440283786722</v>
      </c>
      <c r="EV189" s="487">
        <f t="shared" si="598"/>
        <v>13964.056642377058</v>
      </c>
      <c r="EW189" s="487">
        <f t="shared" si="598"/>
        <v>13964.056642377058</v>
      </c>
      <c r="EX189" s="487">
        <f t="shared" si="598"/>
        <v>13955.651757144151</v>
      </c>
      <c r="EY189" s="487">
        <f t="shared" si="598"/>
        <v>14038.80927430536</v>
      </c>
      <c r="EZ189" s="487">
        <f t="shared" si="598"/>
        <v>14038.80927430536</v>
      </c>
      <c r="FA189" s="613">
        <f t="shared" si="598"/>
        <v>14038.80927430536</v>
      </c>
      <c r="FB189" s="487">
        <f t="shared" si="598"/>
        <v>14085.192238664742</v>
      </c>
      <c r="FC189" s="487">
        <f t="shared" si="598"/>
        <v>14145.9093033709</v>
      </c>
      <c r="FD189" s="487">
        <f t="shared" si="598"/>
        <v>14145.9093033709</v>
      </c>
      <c r="FE189" s="487">
        <f t="shared" si="598"/>
        <v>14132.06951983653</v>
      </c>
      <c r="FF189" s="487">
        <f t="shared" si="598"/>
        <v>14210.822763386499</v>
      </c>
      <c r="FG189" s="487">
        <f t="shared" si="598"/>
        <v>14210.822763386499</v>
      </c>
      <c r="FH189" s="613">
        <f t="shared" si="598"/>
        <v>14210.822763386499</v>
      </c>
      <c r="FI189" s="487">
        <f t="shared" si="598"/>
        <v>14234.027078446283</v>
      </c>
      <c r="FJ189" s="487">
        <f t="shared" si="598"/>
        <v>14289.070001295353</v>
      </c>
      <c r="FK189" s="487">
        <f t="shared" si="598"/>
        <v>14289.070001295353</v>
      </c>
      <c r="FL189" s="487">
        <f t="shared" si="598"/>
        <v>14267.49742245464</v>
      </c>
      <c r="FM189" s="487">
        <f t="shared" si="598"/>
        <v>14338.627472815244</v>
      </c>
      <c r="FN189" s="487">
        <f t="shared" si="598"/>
        <v>14338.627472815244</v>
      </c>
      <c r="FO189" s="613">
        <f t="shared" si="598"/>
        <v>14338.627472815244</v>
      </c>
      <c r="FP189" s="487">
        <f t="shared" si="598"/>
        <v>14367.354856943955</v>
      </c>
      <c r="FQ189" s="487">
        <f t="shared" si="598"/>
        <v>14434.573612627244</v>
      </c>
      <c r="FR189" s="487">
        <f t="shared" si="598"/>
        <v>14434.573612627244</v>
      </c>
      <c r="FS189" s="487">
        <f t="shared" si="598"/>
        <v>14414.515995388912</v>
      </c>
      <c r="FT189" s="487">
        <f t="shared" si="598"/>
        <v>14484.740995403785</v>
      </c>
      <c r="FU189" s="487">
        <f t="shared" si="598"/>
        <v>14484.740995403785</v>
      </c>
      <c r="FV189" s="613">
        <f t="shared" si="598"/>
        <v>14484.740995403785</v>
      </c>
      <c r="FW189" s="645"/>
      <c r="FX189" s="636"/>
      <c r="FY189" s="636"/>
      <c r="FZ189" s="636"/>
      <c r="GA189" s="636"/>
      <c r="GB189"/>
      <c r="GC189"/>
      <c r="GD189"/>
      <c r="GE189"/>
      <c r="GF189"/>
      <c r="GG189"/>
      <c r="GH189" s="637"/>
      <c r="GI189" s="637"/>
      <c r="GJ189" s="637"/>
      <c r="GK189" s="637"/>
      <c r="GL189" s="637"/>
      <c r="GM189" s="637"/>
      <c r="GN189" s="637"/>
      <c r="GO189" s="637"/>
      <c r="GP189" s="637"/>
      <c r="GQ189" s="637"/>
      <c r="GR189" s="637"/>
      <c r="GS189" s="637"/>
      <c r="GT189" s="637"/>
      <c r="GU189" s="637"/>
      <c r="GV189" s="637"/>
      <c r="GW189" s="637"/>
      <c r="GX189" s="637"/>
      <c r="GY189" s="637"/>
      <c r="GZ189" s="637"/>
      <c r="HA189" s="637"/>
      <c r="HB189" s="637"/>
      <c r="HC189" s="637"/>
      <c r="HD189" s="637"/>
      <c r="HE189" s="637"/>
      <c r="HF189" s="637"/>
      <c r="HG189" s="637"/>
      <c r="HH189" s="637"/>
      <c r="HI189" s="637"/>
      <c r="HJ189" s="637"/>
      <c r="HK189" s="637"/>
      <c r="HL189" s="637"/>
      <c r="HM189" s="637"/>
      <c r="HN189" s="637"/>
      <c r="HO189" s="637"/>
      <c r="HP189" s="637"/>
      <c r="HQ189" s="637"/>
      <c r="HR189" s="637"/>
      <c r="HS189" s="637"/>
      <c r="HT189" s="637"/>
      <c r="HU189" s="637"/>
      <c r="HV189" s="637"/>
      <c r="HW189" s="637"/>
      <c r="HX189" s="637"/>
      <c r="HY189" s="637"/>
      <c r="HZ189" s="637"/>
      <c r="IA189" s="637"/>
      <c r="IB189" s="637"/>
      <c r="IC189" s="637"/>
      <c r="ID189" s="637"/>
      <c r="IE189" s="637"/>
      <c r="IF189" s="637"/>
      <c r="IG189" s="637"/>
      <c r="IH189" s="637"/>
      <c r="II189" s="637"/>
      <c r="IJ189" s="637"/>
      <c r="IK189" s="637"/>
      <c r="IL189" s="637"/>
      <c r="IM189" s="637"/>
      <c r="IN189" s="637"/>
      <c r="IO189" s="637"/>
      <c r="IP189" s="637"/>
      <c r="IQ189" s="637"/>
      <c r="IR189" s="637"/>
      <c r="IS189" s="637"/>
      <c r="IT189" s="637"/>
      <c r="IU189" s="637"/>
      <c r="IV189" s="637"/>
      <c r="IW189" s="637"/>
      <c r="IX189" s="637"/>
      <c r="IY189" s="637"/>
      <c r="IZ189" s="637"/>
      <c r="JA189" s="637"/>
      <c r="JB189" s="637"/>
      <c r="JC189" s="637"/>
      <c r="JD189" s="637"/>
      <c r="JE189" s="637"/>
      <c r="JF189" s="637"/>
      <c r="JG189" s="637"/>
      <c r="JH189" s="637"/>
      <c r="JI189" s="637"/>
      <c r="JJ189" s="637"/>
      <c r="JK189" s="637"/>
      <c r="JL189" s="637"/>
      <c r="JM189" s="637"/>
      <c r="JN189" s="637"/>
      <c r="JO189" s="637"/>
      <c r="JP189" s="637"/>
      <c r="JQ189" s="637"/>
      <c r="JR189" s="637"/>
      <c r="JS189" s="637"/>
      <c r="JT189" s="637"/>
    </row>
    <row r="190" spans="1:280" outlineLevel="1" x14ac:dyDescent="0.3">
      <c r="B190" s="273" t="s">
        <v>533</v>
      </c>
      <c r="C190" s="415"/>
      <c r="D190" s="273"/>
      <c r="E190" s="273"/>
      <c r="F190" s="273"/>
      <c r="G190" s="273"/>
      <c r="H190" s="273"/>
      <c r="I190" s="273"/>
      <c r="J190" s="273"/>
      <c r="K190" s="273"/>
      <c r="L190" s="273"/>
      <c r="M190" s="273"/>
      <c r="N190" s="273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3"/>
      <c r="AG190" s="273"/>
      <c r="AH190" s="273"/>
      <c r="AI190" s="273"/>
      <c r="AJ190" s="273"/>
      <c r="AK190" s="273"/>
      <c r="AL190" s="273"/>
      <c r="AM190" s="273"/>
      <c r="AN190" s="273"/>
      <c r="AO190" s="273"/>
      <c r="AP190" s="273"/>
      <c r="AQ190" s="273"/>
      <c r="AR190" s="273"/>
      <c r="AS190" s="273"/>
      <c r="AT190" s="273"/>
      <c r="AU190" s="273"/>
      <c r="AV190" s="273"/>
      <c r="AW190" s="273"/>
      <c r="AX190" s="273"/>
      <c r="AY190" s="273"/>
      <c r="AZ190" s="273"/>
      <c r="BA190" s="273"/>
      <c r="BB190" s="273"/>
      <c r="BC190" s="273"/>
      <c r="BD190" s="273"/>
      <c r="BE190" s="273"/>
      <c r="BF190" s="273"/>
      <c r="BG190" s="273"/>
      <c r="BH190" s="273"/>
      <c r="BI190" s="273"/>
      <c r="BJ190" s="273"/>
      <c r="BK190" s="273"/>
      <c r="BL190" s="273"/>
      <c r="BM190" s="273"/>
      <c r="BN190" s="273"/>
      <c r="BO190" s="273"/>
      <c r="BP190" s="273"/>
      <c r="BQ190" s="273"/>
      <c r="BR190" s="273"/>
      <c r="BS190" s="273"/>
      <c r="BT190" s="273"/>
      <c r="BU190" s="273"/>
      <c r="BV190" s="273"/>
      <c r="BW190" s="273"/>
      <c r="BX190" s="273"/>
      <c r="BY190" s="273"/>
      <c r="BZ190" s="273"/>
      <c r="CA190" s="273"/>
      <c r="CB190" s="273"/>
      <c r="CC190" s="273"/>
      <c r="CD190" s="273"/>
      <c r="CE190" s="273"/>
      <c r="CF190" s="273"/>
      <c r="CG190" s="273"/>
      <c r="CH190" s="273"/>
      <c r="CI190" s="273"/>
      <c r="CJ190" s="273"/>
      <c r="CK190" s="273"/>
      <c r="CL190" s="273"/>
      <c r="CM190" s="273"/>
      <c r="CN190" s="273"/>
      <c r="CO190" s="273"/>
      <c r="CP190" s="273"/>
      <c r="CQ190" s="273"/>
      <c r="CR190" s="273"/>
      <c r="CS190" s="273"/>
      <c r="CT190" s="273"/>
      <c r="CU190" s="273"/>
      <c r="CV190" s="273"/>
      <c r="CW190" s="273"/>
      <c r="CX190" s="273"/>
      <c r="CY190" s="273"/>
      <c r="CZ190" s="273"/>
      <c r="DA190" s="273"/>
      <c r="DB190" s="273"/>
      <c r="DC190" s="273"/>
      <c r="DD190" s="602"/>
      <c r="DE190" s="273"/>
      <c r="DF190" s="273"/>
      <c r="DG190" s="273"/>
      <c r="DH190" s="273"/>
      <c r="DI190" s="273"/>
      <c r="DJ190" s="273"/>
      <c r="DK190" s="602"/>
      <c r="DL190" s="416"/>
      <c r="DM190" s="273"/>
      <c r="DN190" s="273"/>
      <c r="DO190" s="273"/>
      <c r="DP190" s="273"/>
      <c r="DQ190" s="273"/>
      <c r="DR190" s="602"/>
      <c r="DS190" s="273"/>
      <c r="DT190" s="273"/>
      <c r="DU190" s="273"/>
      <c r="DV190" s="273"/>
      <c r="DW190" s="273"/>
      <c r="DX190" s="273"/>
      <c r="DY190" s="602"/>
      <c r="DZ190" s="273"/>
      <c r="EA190" s="273"/>
      <c r="EB190" s="273"/>
      <c r="EC190" s="273"/>
      <c r="ED190" s="273"/>
      <c r="EE190" s="273"/>
      <c r="EF190" s="602"/>
      <c r="EG190" s="273"/>
      <c r="EH190" s="273"/>
      <c r="EI190" s="273"/>
      <c r="EJ190" s="273"/>
      <c r="EK190" s="273"/>
      <c r="EL190" s="273"/>
      <c r="EM190" s="602"/>
      <c r="EN190" s="273"/>
      <c r="EO190" s="273"/>
      <c r="EP190" s="273"/>
      <c r="EQ190" s="416"/>
      <c r="ER190" s="273"/>
      <c r="ES190" s="273"/>
      <c r="ET190" s="602"/>
      <c r="EU190" s="273"/>
      <c r="EV190" s="273"/>
      <c r="EW190" s="273"/>
      <c r="EX190" s="273"/>
      <c r="EY190" s="273"/>
      <c r="EZ190" s="273"/>
      <c r="FA190" s="602"/>
      <c r="FB190" s="273"/>
      <c r="FC190" s="273"/>
      <c r="FD190" s="273"/>
      <c r="FE190" s="273"/>
      <c r="FF190" s="273"/>
      <c r="FG190" s="273"/>
      <c r="FH190" s="602"/>
      <c r="FI190" s="273"/>
      <c r="FJ190" s="273"/>
      <c r="FK190" s="273"/>
      <c r="FL190" s="273"/>
      <c r="FM190" s="273"/>
      <c r="FN190" s="273"/>
      <c r="FO190" s="602"/>
      <c r="FP190" s="273"/>
      <c r="FQ190" s="273"/>
      <c r="FR190" s="273"/>
      <c r="FS190" s="273"/>
      <c r="FT190" s="273"/>
      <c r="FU190" s="273"/>
      <c r="FV190" s="602"/>
    </row>
    <row r="191" spans="1:280" outlineLevel="1" x14ac:dyDescent="0.3">
      <c r="B191" s="253" t="s">
        <v>534</v>
      </c>
      <c r="C191" s="280" t="s">
        <v>226</v>
      </c>
      <c r="D191" s="340">
        <v>104.3</v>
      </c>
      <c r="E191" s="320">
        <f>F191</f>
        <v>120.3</v>
      </c>
      <c r="F191" s="340">
        <v>120.3</v>
      </c>
      <c r="G191" s="340">
        <v>107.8</v>
      </c>
      <c r="H191" s="320">
        <f t="shared" ref="H191:I198" si="599">I191</f>
        <v>117.8</v>
      </c>
      <c r="I191" s="320">
        <f t="shared" si="599"/>
        <v>117.8</v>
      </c>
      <c r="J191" s="289">
        <v>117.8</v>
      </c>
      <c r="K191" s="289">
        <v>114.5</v>
      </c>
      <c r="L191" s="281">
        <f>M191</f>
        <v>116.5</v>
      </c>
      <c r="M191" s="289">
        <v>116.5</v>
      </c>
      <c r="N191" s="289">
        <v>96.2</v>
      </c>
      <c r="O191" s="281">
        <f t="shared" ref="O191:P198" si="600">P191</f>
        <v>100.8</v>
      </c>
      <c r="P191" s="281">
        <f t="shared" si="600"/>
        <v>100.8</v>
      </c>
      <c r="Q191" s="289">
        <v>100.8</v>
      </c>
      <c r="R191" s="289">
        <v>125.8</v>
      </c>
      <c r="S191" s="281">
        <f>T191</f>
        <v>150.9</v>
      </c>
      <c r="T191" s="289">
        <v>150.9</v>
      </c>
      <c r="U191" s="289">
        <v>114.2</v>
      </c>
      <c r="V191" s="281">
        <f t="shared" ref="V191:W198" si="601">W191</f>
        <v>107.6</v>
      </c>
      <c r="W191" s="281">
        <f t="shared" si="601"/>
        <v>107.6</v>
      </c>
      <c r="X191" s="289">
        <v>107.6</v>
      </c>
      <c r="Y191" s="289">
        <v>92.4</v>
      </c>
      <c r="Z191" s="281">
        <f>AA191</f>
        <v>109</v>
      </c>
      <c r="AA191" s="289">
        <v>109</v>
      </c>
      <c r="AB191" s="289">
        <v>105.9</v>
      </c>
      <c r="AC191" s="281">
        <f t="shared" ref="AC191:AD196" si="602">AD191</f>
        <v>89.1</v>
      </c>
      <c r="AD191" s="281">
        <f t="shared" si="602"/>
        <v>89.1</v>
      </c>
      <c r="AE191" s="289">
        <v>89.1</v>
      </c>
      <c r="AF191" s="289">
        <v>88.5</v>
      </c>
      <c r="AG191" s="281">
        <f>AH191</f>
        <v>96.4</v>
      </c>
      <c r="AH191" s="289">
        <v>96.4</v>
      </c>
      <c r="AI191" s="289">
        <v>74.8</v>
      </c>
      <c r="AJ191" s="281">
        <f t="shared" ref="AJ191:AK196" si="603">AK191</f>
        <v>100.9</v>
      </c>
      <c r="AK191" s="281">
        <f t="shared" si="603"/>
        <v>100.9</v>
      </c>
      <c r="AL191" s="289">
        <v>100.9</v>
      </c>
      <c r="AM191" s="289">
        <v>92.9</v>
      </c>
      <c r="AN191" s="281">
        <f>AO191</f>
        <v>94</v>
      </c>
      <c r="AO191" s="289">
        <v>94</v>
      </c>
      <c r="AP191" s="289">
        <v>99.7</v>
      </c>
      <c r="AQ191" s="281">
        <f t="shared" ref="AQ191:AR196" si="604">AR191</f>
        <v>106.4</v>
      </c>
      <c r="AR191" s="281">
        <f t="shared" si="604"/>
        <v>106.4</v>
      </c>
      <c r="AS191" s="289">
        <v>106.4</v>
      </c>
      <c r="AT191" s="289">
        <v>99.2</v>
      </c>
      <c r="AU191" s="281">
        <f t="shared" ref="AU191:AU196" si="605">+AV191</f>
        <v>101.1</v>
      </c>
      <c r="AV191" s="289">
        <v>101.1</v>
      </c>
      <c r="AW191" s="289">
        <v>103.6</v>
      </c>
      <c r="AX191" s="289">
        <v>92.6</v>
      </c>
      <c r="AY191" s="281">
        <f t="shared" ref="AY191:AZ196" si="606">+AX191</f>
        <v>92.6</v>
      </c>
      <c r="AZ191" s="281">
        <f t="shared" si="606"/>
        <v>92.6</v>
      </c>
      <c r="BA191" s="289">
        <v>94.1</v>
      </c>
      <c r="BB191" s="281">
        <f>+BC191</f>
        <v>95.9</v>
      </c>
      <c r="BC191" s="289">
        <v>95.9</v>
      </c>
      <c r="BD191" s="289">
        <v>88.1</v>
      </c>
      <c r="BE191" s="281">
        <f t="shared" ref="BE191:BF196" si="607">+BF191</f>
        <v>98.1</v>
      </c>
      <c r="BF191" s="281">
        <f t="shared" si="607"/>
        <v>98.1</v>
      </c>
      <c r="BG191" s="289">
        <v>98.1</v>
      </c>
      <c r="BH191" s="289">
        <v>111.9</v>
      </c>
      <c r="BI191" s="281">
        <f t="shared" ref="BI191:BI196" si="608">+BJ191</f>
        <v>127.3</v>
      </c>
      <c r="BJ191" s="289">
        <v>127.3</v>
      </c>
      <c r="BK191" s="289">
        <v>121</v>
      </c>
      <c r="BL191" s="289">
        <v>142</v>
      </c>
      <c r="BM191" s="281">
        <f>BM230</f>
        <v>142</v>
      </c>
      <c r="BN191" s="281">
        <f>BN230</f>
        <v>142</v>
      </c>
      <c r="BO191" s="289">
        <v>150</v>
      </c>
      <c r="BP191" s="289">
        <v>155.19999999999999</v>
      </c>
      <c r="BQ191" s="281">
        <f t="shared" ref="BQ191:BQ198" si="609">+BP191</f>
        <v>155.19999999999999</v>
      </c>
      <c r="BR191" s="289">
        <v>136</v>
      </c>
      <c r="BS191" s="289">
        <v>149.6</v>
      </c>
      <c r="BT191" s="281">
        <f>BS191</f>
        <v>149.6</v>
      </c>
      <c r="BU191" s="281">
        <f>BT191</f>
        <v>149.6</v>
      </c>
      <c r="BV191" s="289">
        <f>150.4</f>
        <v>150.4</v>
      </c>
      <c r="BW191" s="289">
        <v>145.80000000000001</v>
      </c>
      <c r="BX191" s="281">
        <f>BW191</f>
        <v>145.80000000000001</v>
      </c>
      <c r="BY191" s="289">
        <v>136.69999999999999</v>
      </c>
      <c r="BZ191" s="289">
        <v>127.2</v>
      </c>
      <c r="CA191" s="281">
        <f t="shared" ref="CA191:CB198" si="610">BZ191</f>
        <v>127.2</v>
      </c>
      <c r="CB191" s="281">
        <f t="shared" si="610"/>
        <v>127.2</v>
      </c>
      <c r="CC191" s="289">
        <v>151.30000000000001</v>
      </c>
      <c r="CD191" s="289">
        <v>146.6</v>
      </c>
      <c r="CE191" s="281">
        <f t="shared" ref="CE191:CE198" si="611">CD191</f>
        <v>146.6</v>
      </c>
      <c r="CF191" s="289">
        <v>169.9</v>
      </c>
      <c r="CG191" s="289">
        <v>173.5</v>
      </c>
      <c r="CH191" s="281">
        <f t="shared" ref="CH191:CI198" si="612">CG191</f>
        <v>173.5</v>
      </c>
      <c r="CI191" s="281">
        <f t="shared" si="612"/>
        <v>173.5</v>
      </c>
      <c r="CJ191" s="289">
        <v>177.6</v>
      </c>
      <c r="CK191" s="289">
        <v>183.1</v>
      </c>
      <c r="CL191" s="281">
        <f t="shared" ref="CL191:CL198" si="613">CK191</f>
        <v>183.1</v>
      </c>
      <c r="CM191" s="289">
        <f>189.4</f>
        <v>189.4</v>
      </c>
      <c r="CN191" s="289">
        <v>193.3</v>
      </c>
      <c r="CO191" s="281">
        <f t="shared" ref="CO191:CP198" si="614">CN191</f>
        <v>193.3</v>
      </c>
      <c r="CP191" s="282">
        <f t="shared" si="614"/>
        <v>193.3</v>
      </c>
      <c r="CQ191" s="290">
        <v>258.3</v>
      </c>
      <c r="CR191" s="290">
        <v>274.5</v>
      </c>
      <c r="CS191" s="282">
        <f t="shared" ref="CS191:CT198" si="615">CR191</f>
        <v>274.5</v>
      </c>
      <c r="CT191" s="290">
        <v>274.89999999999998</v>
      </c>
      <c r="CU191" s="290">
        <v>255.5</v>
      </c>
      <c r="CV191" s="282">
        <f t="shared" ref="CV191:CW198" si="616">CU191</f>
        <v>255.5</v>
      </c>
      <c r="CW191" s="282">
        <f t="shared" si="616"/>
        <v>255.5</v>
      </c>
      <c r="CX191" s="291">
        <v>292.60000000000002</v>
      </c>
      <c r="CY191" s="290">
        <v>264.2</v>
      </c>
      <c r="CZ191" s="282">
        <f t="shared" ref="CZ191:CZ198" si="617">CY191</f>
        <v>264.2</v>
      </c>
      <c r="DA191" s="290">
        <v>270.7</v>
      </c>
      <c r="DB191" s="290">
        <v>274.7</v>
      </c>
      <c r="DC191" s="282">
        <f t="shared" ref="DC191:DD198" si="618">DB191</f>
        <v>274.7</v>
      </c>
      <c r="DD191" s="670">
        <f t="shared" si="618"/>
        <v>274.7</v>
      </c>
      <c r="DE191" s="290">
        <v>274.10000000000002</v>
      </c>
      <c r="DF191" s="290">
        <v>291.10000000000002</v>
      </c>
      <c r="DG191" s="282">
        <f t="shared" ref="DG191:DG198" si="619">DF191</f>
        <v>291.10000000000002</v>
      </c>
      <c r="DH191" s="290">
        <v>332.7</v>
      </c>
      <c r="DI191" s="290">
        <v>307</v>
      </c>
      <c r="DJ191" s="282">
        <f t="shared" ref="DJ191:DK198" si="620">DI191</f>
        <v>307</v>
      </c>
      <c r="DK191" s="670">
        <f t="shared" si="620"/>
        <v>307</v>
      </c>
      <c r="DL191" s="292">
        <v>350.4</v>
      </c>
      <c r="DM191" s="290">
        <v>355.5</v>
      </c>
      <c r="DN191" s="282">
        <f t="shared" ref="DN191:DN198" si="621">DM191</f>
        <v>355.5</v>
      </c>
      <c r="DO191" s="290">
        <v>389.2</v>
      </c>
      <c r="DP191" s="282">
        <f t="shared" ref="DP191:DQ198" si="622">+DQ191</f>
        <v>458</v>
      </c>
      <c r="DQ191" s="282">
        <f t="shared" si="622"/>
        <v>458</v>
      </c>
      <c r="DR191" s="670">
        <v>458</v>
      </c>
      <c r="DS191" s="290">
        <v>477.3</v>
      </c>
      <c r="DT191" s="290">
        <v>419.8</v>
      </c>
      <c r="DU191" s="282">
        <f t="shared" ref="DU191:DU198" si="623">DT191</f>
        <v>419.8</v>
      </c>
      <c r="DV191" s="290">
        <v>396.5</v>
      </c>
      <c r="DW191" s="282">
        <f t="shared" ref="DW191:DW198" si="624">+DX191</f>
        <v>387.7</v>
      </c>
      <c r="DX191" s="282">
        <f t="shared" ref="DX191:DX198" si="625">+DY191</f>
        <v>387.7</v>
      </c>
      <c r="DY191" s="670">
        <v>387.7</v>
      </c>
      <c r="DZ191" s="290">
        <v>397.8</v>
      </c>
      <c r="EA191" s="290">
        <v>414.7</v>
      </c>
      <c r="EB191" s="282">
        <f t="shared" ref="EB191:EB198" si="626">EA191</f>
        <v>414.7</v>
      </c>
      <c r="EC191" s="290">
        <v>440</v>
      </c>
      <c r="ED191" s="282">
        <f t="shared" ref="ED191:ED198" si="627">+EE191</f>
        <v>463.3</v>
      </c>
      <c r="EE191" s="282">
        <f t="shared" ref="EE191:EE198" si="628">+EF191</f>
        <v>463.3</v>
      </c>
      <c r="EF191" s="670">
        <v>463.3</v>
      </c>
      <c r="EG191" s="290">
        <v>445.3</v>
      </c>
      <c r="EH191" s="290">
        <v>412</v>
      </c>
      <c r="EI191" s="282">
        <f t="shared" ref="EI191:EI198" si="629">EH191</f>
        <v>412</v>
      </c>
      <c r="EJ191" s="290">
        <v>391.1</v>
      </c>
      <c r="EK191" s="282">
        <f t="shared" ref="EK191:EK198" si="630">+EL191</f>
        <v>446.4</v>
      </c>
      <c r="EL191" s="282">
        <f t="shared" ref="EL191:EL198" si="631">+EM191</f>
        <v>446.4</v>
      </c>
      <c r="EM191" s="670">
        <v>446.4</v>
      </c>
      <c r="EN191" s="290">
        <v>502.5</v>
      </c>
      <c r="EO191" s="290">
        <v>669.8</v>
      </c>
      <c r="EP191" s="282">
        <f t="shared" ref="EP191:EP198" si="632">EO191</f>
        <v>669.8</v>
      </c>
      <c r="EQ191" s="292">
        <v>667.2</v>
      </c>
      <c r="ER191" s="282">
        <f>ER230</f>
        <v>650.36719343427865</v>
      </c>
      <c r="ES191" s="282">
        <f t="shared" ref="ES191:EV198" si="633">ER191</f>
        <v>650.36719343427865</v>
      </c>
      <c r="ET191" s="590">
        <f t="shared" si="633"/>
        <v>650.36719343427865</v>
      </c>
      <c r="EU191" s="282">
        <f>EU230</f>
        <v>780.54370406858436</v>
      </c>
      <c r="EV191" s="282">
        <f>EV230</f>
        <v>756.18448427356702</v>
      </c>
      <c r="EW191" s="282">
        <f t="shared" ref="EW191:EY198" si="634">EV191</f>
        <v>756.18448427356702</v>
      </c>
      <c r="EX191" s="282">
        <f>EX230</f>
        <v>752.36351651494124</v>
      </c>
      <c r="EY191" s="282">
        <f>EY230</f>
        <v>705.46311781297402</v>
      </c>
      <c r="EZ191" s="282">
        <f t="shared" ref="EZ191:FC198" si="635">EY191</f>
        <v>705.46311781297402</v>
      </c>
      <c r="FA191" s="590">
        <f t="shared" si="635"/>
        <v>705.46311781297402</v>
      </c>
      <c r="FB191" s="282">
        <f>FB230</f>
        <v>852.67835633445509</v>
      </c>
      <c r="FC191" s="282">
        <f>FC230</f>
        <v>836.65567309969606</v>
      </c>
      <c r="FD191" s="282">
        <f t="shared" ref="FD191:FF198" si="636">FC191</f>
        <v>836.65567309969606</v>
      </c>
      <c r="FE191" s="282">
        <f>FE230</f>
        <v>832.22304743415327</v>
      </c>
      <c r="FF191" s="282">
        <f>FF230</f>
        <v>774.93210042455371</v>
      </c>
      <c r="FG191" s="282">
        <f t="shared" ref="FG191:FJ198" si="637">FF191</f>
        <v>774.93210042455371</v>
      </c>
      <c r="FH191" s="590">
        <f t="shared" si="637"/>
        <v>774.93210042455371</v>
      </c>
      <c r="FI191" s="282">
        <f>FI230</f>
        <v>920.40539403667401</v>
      </c>
      <c r="FJ191" s="282">
        <f>FJ230</f>
        <v>899.02797138416713</v>
      </c>
      <c r="FK191" s="282">
        <f t="shared" ref="FK191:FM198" si="638">FJ191</f>
        <v>899.02797138416713</v>
      </c>
      <c r="FL191" s="282">
        <f>FL230</f>
        <v>892.79053615602425</v>
      </c>
      <c r="FM191" s="282">
        <f>FM230</f>
        <v>826.00481451865278</v>
      </c>
      <c r="FN191" s="282">
        <f t="shared" ref="FN191:FQ198" si="639">FM191</f>
        <v>826.00481451865278</v>
      </c>
      <c r="FO191" s="590">
        <f t="shared" si="639"/>
        <v>826.00481451865278</v>
      </c>
      <c r="FP191" s="282">
        <f>FP230</f>
        <v>984.75909881691416</v>
      </c>
      <c r="FQ191" s="282">
        <f>FQ230</f>
        <v>968.1937401736318</v>
      </c>
      <c r="FR191" s="282">
        <f t="shared" ref="FR191:FT198" si="640">FQ191</f>
        <v>968.1937401736318</v>
      </c>
      <c r="FS191" s="282">
        <f>FS230</f>
        <v>964.54652963674152</v>
      </c>
      <c r="FT191" s="282">
        <f>FT230</f>
        <v>889.2277341429558</v>
      </c>
      <c r="FU191" s="282">
        <f t="shared" ref="FU191:FV198" si="641">FT191</f>
        <v>889.2277341429558</v>
      </c>
      <c r="FV191" s="590">
        <f t="shared" si="641"/>
        <v>889.2277341429558</v>
      </c>
      <c r="FW191" s="534"/>
    </row>
    <row r="192" spans="1:280" outlineLevel="1" x14ac:dyDescent="0.3">
      <c r="B192" s="253" t="s">
        <v>535</v>
      </c>
      <c r="C192" s="280" t="s">
        <v>226</v>
      </c>
      <c r="D192" s="340">
        <v>25.7</v>
      </c>
      <c r="E192" s="320">
        <f t="shared" ref="E192:E198" si="642">F192</f>
        <v>25.7</v>
      </c>
      <c r="F192" s="340">
        <v>25.7</v>
      </c>
      <c r="G192" s="340">
        <v>27.1</v>
      </c>
      <c r="H192" s="320">
        <f t="shared" si="599"/>
        <v>302.7</v>
      </c>
      <c r="I192" s="320">
        <f t="shared" si="599"/>
        <v>302.7</v>
      </c>
      <c r="J192" s="289">
        <f>121.7+181</f>
        <v>302.7</v>
      </c>
      <c r="K192" s="289">
        <v>137</v>
      </c>
      <c r="L192" s="281">
        <f t="shared" ref="L192:L198" si="643">M192</f>
        <v>135</v>
      </c>
      <c r="M192" s="289">
        <v>135</v>
      </c>
      <c r="N192" s="289">
        <v>88</v>
      </c>
      <c r="O192" s="281">
        <f t="shared" si="600"/>
        <v>83</v>
      </c>
      <c r="P192" s="281">
        <f t="shared" si="600"/>
        <v>83</v>
      </c>
      <c r="Q192" s="289">
        <v>83</v>
      </c>
      <c r="R192" s="289">
        <v>60</v>
      </c>
      <c r="S192" s="281">
        <f t="shared" ref="S192:S198" si="644">T192</f>
        <v>93</v>
      </c>
      <c r="T192" s="289">
        <v>93</v>
      </c>
      <c r="U192" s="289">
        <v>106</v>
      </c>
      <c r="V192" s="281">
        <f t="shared" si="601"/>
        <v>90</v>
      </c>
      <c r="W192" s="281">
        <f t="shared" si="601"/>
        <v>90</v>
      </c>
      <c r="X192" s="289">
        <v>90</v>
      </c>
      <c r="Y192" s="289">
        <v>101.7</v>
      </c>
      <c r="Z192" s="281">
        <f t="shared" ref="Z192:Z198" si="645">AA192</f>
        <v>104.7</v>
      </c>
      <c r="AA192" s="289">
        <v>104.7</v>
      </c>
      <c r="AB192" s="289">
        <v>97.2</v>
      </c>
      <c r="AC192" s="281">
        <f t="shared" si="602"/>
        <v>93.3</v>
      </c>
      <c r="AD192" s="281">
        <f t="shared" si="602"/>
        <v>93.3</v>
      </c>
      <c r="AE192" s="289">
        <v>93.3</v>
      </c>
      <c r="AF192" s="289">
        <f>50+196</f>
        <v>246</v>
      </c>
      <c r="AG192" s="281">
        <f t="shared" ref="AG192:AG198" si="646">AH192</f>
        <v>194</v>
      </c>
      <c r="AH192" s="289">
        <f>50+144</f>
        <v>194</v>
      </c>
      <c r="AI192" s="289">
        <v>139</v>
      </c>
      <c r="AJ192" s="281">
        <f t="shared" si="603"/>
        <v>95</v>
      </c>
      <c r="AK192" s="281">
        <f t="shared" si="603"/>
        <v>95</v>
      </c>
      <c r="AL192" s="289">
        <v>95</v>
      </c>
      <c r="AM192" s="289">
        <v>45</v>
      </c>
      <c r="AN192" s="281">
        <f t="shared" ref="AN192:AN198" si="647">AO192</f>
        <v>45</v>
      </c>
      <c r="AO192" s="289">
        <v>45</v>
      </c>
      <c r="AP192" s="289">
        <v>0</v>
      </c>
      <c r="AQ192" s="281">
        <f t="shared" si="604"/>
        <v>0</v>
      </c>
      <c r="AR192" s="281">
        <f t="shared" si="604"/>
        <v>0</v>
      </c>
      <c r="AS192" s="289">
        <v>0</v>
      </c>
      <c r="AT192" s="281">
        <f>AS192</f>
        <v>0</v>
      </c>
      <c r="AU192" s="281">
        <f t="shared" si="605"/>
        <v>0</v>
      </c>
      <c r="AV192" s="289">
        <v>0</v>
      </c>
      <c r="AW192" s="281">
        <f>AU192</f>
        <v>0</v>
      </c>
      <c r="AX192" s="289">
        <v>30.9</v>
      </c>
      <c r="AY192" s="281">
        <f t="shared" si="606"/>
        <v>30.9</v>
      </c>
      <c r="AZ192" s="281">
        <f t="shared" si="606"/>
        <v>30.9</v>
      </c>
      <c r="BA192" s="289">
        <v>0</v>
      </c>
      <c r="BB192" s="281">
        <f>BA192</f>
        <v>0</v>
      </c>
      <c r="BC192" s="289">
        <v>0</v>
      </c>
      <c r="BD192" s="289">
        <v>0</v>
      </c>
      <c r="BE192" s="281">
        <f t="shared" si="607"/>
        <v>0</v>
      </c>
      <c r="BF192" s="281">
        <f t="shared" si="607"/>
        <v>0</v>
      </c>
      <c r="BG192" s="289">
        <v>0</v>
      </c>
      <c r="BH192" s="289">
        <v>0</v>
      </c>
      <c r="BI192" s="281">
        <f t="shared" si="608"/>
        <v>0</v>
      </c>
      <c r="BJ192" s="289">
        <v>0</v>
      </c>
      <c r="BK192" s="289">
        <v>22.7</v>
      </c>
      <c r="BL192" s="289">
        <v>47</v>
      </c>
      <c r="BM192" s="281">
        <f>+BL192</f>
        <v>47</v>
      </c>
      <c r="BN192" s="281">
        <f>BM192</f>
        <v>47</v>
      </c>
      <c r="BO192" s="289">
        <v>48.6</v>
      </c>
      <c r="BP192" s="289">
        <v>0</v>
      </c>
      <c r="BQ192" s="281">
        <f t="shared" si="609"/>
        <v>0</v>
      </c>
      <c r="BR192" s="289">
        <f>BP192</f>
        <v>0</v>
      </c>
      <c r="BS192" s="289">
        <v>13.6</v>
      </c>
      <c r="BT192" s="281">
        <f>+BS192</f>
        <v>13.6</v>
      </c>
      <c r="BU192" s="281">
        <f>BT192</f>
        <v>13.6</v>
      </c>
      <c r="BV192" s="289">
        <f>27.5</f>
        <v>27.5</v>
      </c>
      <c r="BW192" s="289">
        <v>98</v>
      </c>
      <c r="BX192" s="281">
        <f>+BW192</f>
        <v>98</v>
      </c>
      <c r="BY192" s="289">
        <v>24.2</v>
      </c>
      <c r="BZ192" s="289">
        <v>50.7</v>
      </c>
      <c r="CA192" s="281">
        <f t="shared" si="610"/>
        <v>50.7</v>
      </c>
      <c r="CB192" s="281">
        <f t="shared" si="610"/>
        <v>50.7</v>
      </c>
      <c r="CC192" s="289">
        <v>73.900000000000006</v>
      </c>
      <c r="CD192" s="289">
        <v>26.1</v>
      </c>
      <c r="CE192" s="281">
        <f t="shared" si="611"/>
        <v>26.1</v>
      </c>
      <c r="CF192" s="289">
        <v>24.8</v>
      </c>
      <c r="CG192" s="289">
        <v>52.4</v>
      </c>
      <c r="CH192" s="281">
        <f t="shared" si="612"/>
        <v>52.4</v>
      </c>
      <c r="CI192" s="281">
        <f t="shared" si="612"/>
        <v>52.4</v>
      </c>
      <c r="CJ192" s="289">
        <v>0</v>
      </c>
      <c r="CK192" s="289">
        <v>0</v>
      </c>
      <c r="CL192" s="281">
        <f t="shared" si="613"/>
        <v>0</v>
      </c>
      <c r="CM192" s="289">
        <v>0</v>
      </c>
      <c r="CN192" s="289">
        <v>0</v>
      </c>
      <c r="CO192" s="281">
        <f t="shared" si="614"/>
        <v>0</v>
      </c>
      <c r="CP192" s="282">
        <f t="shared" si="614"/>
        <v>0</v>
      </c>
      <c r="CQ192" s="290">
        <v>464.6</v>
      </c>
      <c r="CR192" s="282">
        <v>0</v>
      </c>
      <c r="CS192" s="282">
        <f t="shared" si="615"/>
        <v>0</v>
      </c>
      <c r="CT192" s="282">
        <f t="shared" si="615"/>
        <v>0</v>
      </c>
      <c r="CU192" s="282">
        <f>CT192</f>
        <v>0</v>
      </c>
      <c r="CV192" s="282">
        <f t="shared" si="616"/>
        <v>0</v>
      </c>
      <c r="CW192" s="282">
        <f t="shared" si="616"/>
        <v>0</v>
      </c>
      <c r="CX192" s="291">
        <v>0</v>
      </c>
      <c r="CY192" s="290">
        <v>0</v>
      </c>
      <c r="CZ192" s="282">
        <f t="shared" si="617"/>
        <v>0</v>
      </c>
      <c r="DA192" s="282">
        <v>0</v>
      </c>
      <c r="DB192" s="290">
        <v>0</v>
      </c>
      <c r="DC192" s="282">
        <f t="shared" si="618"/>
        <v>0</v>
      </c>
      <c r="DD192" s="670">
        <f t="shared" si="618"/>
        <v>0</v>
      </c>
      <c r="DE192" s="290">
        <v>0</v>
      </c>
      <c r="DF192" s="290">
        <v>0</v>
      </c>
      <c r="DG192" s="282">
        <f t="shared" si="619"/>
        <v>0</v>
      </c>
      <c r="DH192" s="290">
        <v>396.4</v>
      </c>
      <c r="DI192" s="290">
        <v>0</v>
      </c>
      <c r="DJ192" s="282">
        <f t="shared" si="620"/>
        <v>0</v>
      </c>
      <c r="DK192" s="670">
        <f t="shared" si="620"/>
        <v>0</v>
      </c>
      <c r="DL192" s="292">
        <v>0</v>
      </c>
      <c r="DM192" s="290">
        <v>0</v>
      </c>
      <c r="DN192" s="282">
        <f t="shared" si="621"/>
        <v>0</v>
      </c>
      <c r="DO192" s="290">
        <v>0</v>
      </c>
      <c r="DP192" s="282">
        <f t="shared" si="622"/>
        <v>0</v>
      </c>
      <c r="DQ192" s="282">
        <f t="shared" si="622"/>
        <v>0</v>
      </c>
      <c r="DR192" s="670">
        <v>0</v>
      </c>
      <c r="DS192" s="290">
        <v>0</v>
      </c>
      <c r="DT192" s="290">
        <v>0</v>
      </c>
      <c r="DU192" s="282">
        <f t="shared" si="623"/>
        <v>0</v>
      </c>
      <c r="DV192" s="290">
        <v>0</v>
      </c>
      <c r="DW192" s="282">
        <f t="shared" si="624"/>
        <v>0</v>
      </c>
      <c r="DX192" s="282">
        <f t="shared" si="625"/>
        <v>0</v>
      </c>
      <c r="DY192" s="670">
        <v>0</v>
      </c>
      <c r="DZ192" s="290">
        <v>0</v>
      </c>
      <c r="EA192" s="290">
        <v>0</v>
      </c>
      <c r="EB192" s="282">
        <f t="shared" si="626"/>
        <v>0</v>
      </c>
      <c r="EC192" s="290">
        <v>7.5</v>
      </c>
      <c r="ED192" s="282">
        <f t="shared" si="627"/>
        <v>7.5</v>
      </c>
      <c r="EE192" s="282">
        <f t="shared" si="628"/>
        <v>7.5</v>
      </c>
      <c r="EF192" s="670">
        <v>7.5</v>
      </c>
      <c r="EG192" s="290">
        <v>7.5</v>
      </c>
      <c r="EH192" s="290">
        <v>7.5</v>
      </c>
      <c r="EI192" s="282">
        <f t="shared" si="629"/>
        <v>7.5</v>
      </c>
      <c r="EJ192" s="290">
        <v>7.5</v>
      </c>
      <c r="EK192" s="282">
        <f t="shared" si="630"/>
        <v>9.4</v>
      </c>
      <c r="EL192" s="282">
        <f t="shared" si="631"/>
        <v>9.4</v>
      </c>
      <c r="EM192" s="670">
        <v>9.4</v>
      </c>
      <c r="EN192" s="290">
        <v>0</v>
      </c>
      <c r="EO192" s="290">
        <v>43.8</v>
      </c>
      <c r="EP192" s="282">
        <f t="shared" si="632"/>
        <v>43.8</v>
      </c>
      <c r="EQ192" s="292">
        <v>43.8</v>
      </c>
      <c r="ER192" s="282">
        <f t="shared" ref="ER192:ER196" si="648">EQ192</f>
        <v>43.8</v>
      </c>
      <c r="ES192" s="282">
        <f t="shared" si="633"/>
        <v>43.8</v>
      </c>
      <c r="ET192" s="590">
        <f t="shared" si="633"/>
        <v>43.8</v>
      </c>
      <c r="EU192" s="282">
        <f t="shared" si="633"/>
        <v>43.8</v>
      </c>
      <c r="EV192" s="282">
        <f t="shared" si="633"/>
        <v>43.8</v>
      </c>
      <c r="EW192" s="282">
        <f t="shared" si="634"/>
        <v>43.8</v>
      </c>
      <c r="EX192" s="282">
        <f t="shared" si="634"/>
        <v>43.8</v>
      </c>
      <c r="EY192" s="282">
        <f t="shared" si="634"/>
        <v>43.8</v>
      </c>
      <c r="EZ192" s="282">
        <f t="shared" si="635"/>
        <v>43.8</v>
      </c>
      <c r="FA192" s="590">
        <f t="shared" si="635"/>
        <v>43.8</v>
      </c>
      <c r="FB192" s="282">
        <f t="shared" si="635"/>
        <v>43.8</v>
      </c>
      <c r="FC192" s="282">
        <f t="shared" si="635"/>
        <v>43.8</v>
      </c>
      <c r="FD192" s="282">
        <f t="shared" si="636"/>
        <v>43.8</v>
      </c>
      <c r="FE192" s="282">
        <f t="shared" si="636"/>
        <v>43.8</v>
      </c>
      <c r="FF192" s="282">
        <f t="shared" si="636"/>
        <v>43.8</v>
      </c>
      <c r="FG192" s="282">
        <f t="shared" si="637"/>
        <v>43.8</v>
      </c>
      <c r="FH192" s="590">
        <f t="shared" si="637"/>
        <v>43.8</v>
      </c>
      <c r="FI192" s="282">
        <f t="shared" si="637"/>
        <v>43.8</v>
      </c>
      <c r="FJ192" s="282">
        <f t="shared" si="637"/>
        <v>43.8</v>
      </c>
      <c r="FK192" s="282">
        <f t="shared" si="638"/>
        <v>43.8</v>
      </c>
      <c r="FL192" s="282">
        <f t="shared" si="638"/>
        <v>43.8</v>
      </c>
      <c r="FM192" s="282">
        <f t="shared" si="638"/>
        <v>43.8</v>
      </c>
      <c r="FN192" s="282">
        <f t="shared" si="639"/>
        <v>43.8</v>
      </c>
      <c r="FO192" s="590">
        <f t="shared" si="639"/>
        <v>43.8</v>
      </c>
      <c r="FP192" s="282">
        <f t="shared" si="639"/>
        <v>43.8</v>
      </c>
      <c r="FQ192" s="282">
        <f t="shared" si="639"/>
        <v>43.8</v>
      </c>
      <c r="FR192" s="282">
        <f t="shared" si="640"/>
        <v>43.8</v>
      </c>
      <c r="FS192" s="282">
        <f t="shared" si="640"/>
        <v>43.8</v>
      </c>
      <c r="FT192" s="282">
        <f t="shared" si="640"/>
        <v>43.8</v>
      </c>
      <c r="FU192" s="282">
        <f t="shared" si="641"/>
        <v>43.8</v>
      </c>
      <c r="FV192" s="590">
        <f t="shared" si="641"/>
        <v>43.8</v>
      </c>
      <c r="FW192" s="534"/>
    </row>
    <row r="193" spans="1:280" outlineLevel="1" x14ac:dyDescent="0.3">
      <c r="B193" s="253" t="s">
        <v>91</v>
      </c>
      <c r="C193" s="280" t="s">
        <v>226</v>
      </c>
      <c r="D193" s="340">
        <f>24.2+8.6</f>
        <v>32.799999999999997</v>
      </c>
      <c r="E193" s="320">
        <f t="shared" si="642"/>
        <v>40.400000000000006</v>
      </c>
      <c r="F193" s="340">
        <f>31.6+8.8</f>
        <v>40.400000000000006</v>
      </c>
      <c r="G193" s="340">
        <f>43.2+8.5</f>
        <v>51.7</v>
      </c>
      <c r="H193" s="320">
        <f t="shared" si="599"/>
        <v>57.699999999999996</v>
      </c>
      <c r="I193" s="320">
        <f t="shared" si="599"/>
        <v>57.699999999999996</v>
      </c>
      <c r="J193" s="289">
        <f>46.3+11.4</f>
        <v>57.699999999999996</v>
      </c>
      <c r="K193" s="289">
        <f>37.2+7.6</f>
        <v>44.800000000000004</v>
      </c>
      <c r="L193" s="281">
        <f t="shared" si="643"/>
        <v>46.6</v>
      </c>
      <c r="M193" s="289">
        <f>38.5+8.1</f>
        <v>46.6</v>
      </c>
      <c r="N193" s="289">
        <f>40.4+8.2</f>
        <v>48.599999999999994</v>
      </c>
      <c r="O193" s="281">
        <f t="shared" si="600"/>
        <v>47.7</v>
      </c>
      <c r="P193" s="281">
        <f t="shared" si="600"/>
        <v>47.7</v>
      </c>
      <c r="Q193" s="289">
        <f>42+5.7</f>
        <v>47.7</v>
      </c>
      <c r="R193" s="289">
        <f>38+6.7</f>
        <v>44.7</v>
      </c>
      <c r="S193" s="281">
        <f t="shared" si="644"/>
        <v>45.4</v>
      </c>
      <c r="T193" s="289">
        <f>38.1+7.3</f>
        <v>45.4</v>
      </c>
      <c r="U193" s="289">
        <f>41.7+8.5</f>
        <v>50.2</v>
      </c>
      <c r="V193" s="281">
        <f t="shared" si="601"/>
        <v>43.9</v>
      </c>
      <c r="W193" s="281">
        <f t="shared" si="601"/>
        <v>43.9</v>
      </c>
      <c r="X193" s="289">
        <f>37+6.9</f>
        <v>43.9</v>
      </c>
      <c r="Y193" s="289">
        <f>21+7.8</f>
        <v>28.8</v>
      </c>
      <c r="Z193" s="281">
        <f t="shared" si="645"/>
        <v>40.699999999999996</v>
      </c>
      <c r="AA193" s="289">
        <f>32.8+7.9</f>
        <v>40.699999999999996</v>
      </c>
      <c r="AB193" s="289">
        <f>32.9+6.3</f>
        <v>39.199999999999996</v>
      </c>
      <c r="AC193" s="281">
        <f t="shared" si="602"/>
        <v>42.9</v>
      </c>
      <c r="AD193" s="281">
        <f t="shared" si="602"/>
        <v>42.9</v>
      </c>
      <c r="AE193" s="289">
        <f>35.5+7.4</f>
        <v>42.9</v>
      </c>
      <c r="AF193" s="289">
        <f>24.2+6.8</f>
        <v>31</v>
      </c>
      <c r="AG193" s="281">
        <f t="shared" si="646"/>
        <v>41.9</v>
      </c>
      <c r="AH193" s="289">
        <f>34.1+7.8</f>
        <v>41.9</v>
      </c>
      <c r="AI193" s="289">
        <f>37.1+7.5</f>
        <v>44.6</v>
      </c>
      <c r="AJ193" s="281">
        <f t="shared" si="603"/>
        <v>48.800000000000004</v>
      </c>
      <c r="AK193" s="281">
        <f t="shared" si="603"/>
        <v>48.800000000000004</v>
      </c>
      <c r="AL193" s="289">
        <f>42.1+6.7</f>
        <v>48.800000000000004</v>
      </c>
      <c r="AM193" s="289">
        <f>27.1+7</f>
        <v>34.1</v>
      </c>
      <c r="AN193" s="281">
        <f t="shared" si="647"/>
        <v>36.799999999999997</v>
      </c>
      <c r="AO193" s="289">
        <f>30.7+6.1</f>
        <v>36.799999999999997</v>
      </c>
      <c r="AP193" s="289">
        <f>33.2+5.9</f>
        <v>39.1</v>
      </c>
      <c r="AQ193" s="281">
        <f t="shared" si="604"/>
        <v>47</v>
      </c>
      <c r="AR193" s="281">
        <f t="shared" si="604"/>
        <v>47</v>
      </c>
      <c r="AS193" s="289">
        <f>40.9+6.1</f>
        <v>47</v>
      </c>
      <c r="AT193" s="289">
        <f>33.9+6.5</f>
        <v>40.4</v>
      </c>
      <c r="AU193" s="281">
        <f t="shared" si="605"/>
        <v>40.9</v>
      </c>
      <c r="AV193" s="289">
        <f>35.1+5.8</f>
        <v>40.9</v>
      </c>
      <c r="AW193" s="281">
        <f>17.4+34.3+5.1</f>
        <v>56.8</v>
      </c>
      <c r="AX193" s="289">
        <f>7.4+45.4</f>
        <v>52.8</v>
      </c>
      <c r="AY193" s="281">
        <f t="shared" si="606"/>
        <v>52.8</v>
      </c>
      <c r="AZ193" s="281">
        <f t="shared" si="606"/>
        <v>52.8</v>
      </c>
      <c r="BA193" s="326">
        <f>28.6+6.5</f>
        <v>35.1</v>
      </c>
      <c r="BB193" s="281">
        <f>+BC193</f>
        <v>42.5</v>
      </c>
      <c r="BC193" s="289">
        <f>36.1+6.4</f>
        <v>42.5</v>
      </c>
      <c r="BD193" s="289">
        <f>38.3+6.1</f>
        <v>44.4</v>
      </c>
      <c r="BE193" s="281">
        <f t="shared" si="607"/>
        <v>50.6</v>
      </c>
      <c r="BF193" s="281">
        <f t="shared" si="607"/>
        <v>50.6</v>
      </c>
      <c r="BG193" s="289">
        <f>44+6.6</f>
        <v>50.6</v>
      </c>
      <c r="BH193" s="289">
        <f>28.6+7.9</f>
        <v>36.5</v>
      </c>
      <c r="BI193" s="281">
        <f t="shared" si="608"/>
        <v>49.9</v>
      </c>
      <c r="BJ193" s="289">
        <f>40.3+9.6</f>
        <v>49.9</v>
      </c>
      <c r="BK193" s="289">
        <v>42.2</v>
      </c>
      <c r="BL193" s="281">
        <f>124.6+56.7+7.7</f>
        <v>189</v>
      </c>
      <c r="BM193" s="281">
        <f>+BL193</f>
        <v>189</v>
      </c>
      <c r="BN193" s="281">
        <f>BM193</f>
        <v>189</v>
      </c>
      <c r="BO193" s="289">
        <f>32.2+7.6</f>
        <v>39.800000000000004</v>
      </c>
      <c r="BP193" s="289">
        <f>44.2+8.8</f>
        <v>53</v>
      </c>
      <c r="BQ193" s="281">
        <f t="shared" si="609"/>
        <v>53</v>
      </c>
      <c r="BR193" s="289">
        <f>49.7+9.6</f>
        <v>59.300000000000004</v>
      </c>
      <c r="BS193" s="289">
        <f>60.6+8.9</f>
        <v>69.5</v>
      </c>
      <c r="BT193" s="281">
        <f>+BS193</f>
        <v>69.5</v>
      </c>
      <c r="BU193" s="281">
        <f>BT193</f>
        <v>69.5</v>
      </c>
      <c r="BV193" s="289">
        <f>0</f>
        <v>0</v>
      </c>
      <c r="BW193" s="289">
        <f>48+10.9</f>
        <v>58.9</v>
      </c>
      <c r="BX193" s="281">
        <f>+BW193</f>
        <v>58.9</v>
      </c>
      <c r="BY193" s="289">
        <f>53.9+11.2</f>
        <v>65.099999999999994</v>
      </c>
      <c r="BZ193" s="289">
        <f>63+12.2</f>
        <v>75.2</v>
      </c>
      <c r="CA193" s="281">
        <f t="shared" si="610"/>
        <v>75.2</v>
      </c>
      <c r="CB193" s="281">
        <f t="shared" si="610"/>
        <v>75.2</v>
      </c>
      <c r="CC193" s="289">
        <f>36.5+8.7</f>
        <v>45.2</v>
      </c>
      <c r="CD193" s="289">
        <f>46.1+9.1</f>
        <v>55.2</v>
      </c>
      <c r="CE193" s="281">
        <f t="shared" si="611"/>
        <v>55.2</v>
      </c>
      <c r="CF193" s="289">
        <f>55.9+9.7</f>
        <v>65.599999999999994</v>
      </c>
      <c r="CG193" s="289">
        <f>60.5+9.4</f>
        <v>69.900000000000006</v>
      </c>
      <c r="CH193" s="281">
        <f t="shared" si="612"/>
        <v>69.900000000000006</v>
      </c>
      <c r="CI193" s="281">
        <f t="shared" si="612"/>
        <v>69.900000000000006</v>
      </c>
      <c r="CJ193" s="289">
        <f>11.9+46.1</f>
        <v>58</v>
      </c>
      <c r="CK193" s="289">
        <v>51.1</v>
      </c>
      <c r="CL193" s="281">
        <f t="shared" si="613"/>
        <v>51.1</v>
      </c>
      <c r="CM193" s="289">
        <f>60.4+8.1</f>
        <v>68.5</v>
      </c>
      <c r="CN193" s="289">
        <f>61.8+7.3</f>
        <v>69.099999999999994</v>
      </c>
      <c r="CO193" s="281">
        <f t="shared" si="614"/>
        <v>69.099999999999994</v>
      </c>
      <c r="CP193" s="282">
        <f t="shared" si="614"/>
        <v>69.099999999999994</v>
      </c>
      <c r="CQ193" s="290">
        <f>53.7+7.5</f>
        <v>61.2</v>
      </c>
      <c r="CR193" s="290">
        <f>59.4+6.2</f>
        <v>65.599999999999994</v>
      </c>
      <c r="CS193" s="282">
        <f t="shared" si="615"/>
        <v>65.599999999999994</v>
      </c>
      <c r="CT193" s="290">
        <f>76+6.9</f>
        <v>82.9</v>
      </c>
      <c r="CU193" s="290">
        <f>84.9+6.8</f>
        <v>91.7</v>
      </c>
      <c r="CV193" s="282">
        <f t="shared" si="616"/>
        <v>91.7</v>
      </c>
      <c r="CW193" s="282">
        <f t="shared" si="616"/>
        <v>91.7</v>
      </c>
      <c r="CX193" s="291">
        <f>62.6+6.8</f>
        <v>69.400000000000006</v>
      </c>
      <c r="CY193" s="290">
        <f>65.1+6.7</f>
        <v>71.8</v>
      </c>
      <c r="CZ193" s="282">
        <f t="shared" si="617"/>
        <v>71.8</v>
      </c>
      <c r="DA193" s="290">
        <v>75</v>
      </c>
      <c r="DB193" s="290">
        <v>87.1</v>
      </c>
      <c r="DC193" s="282">
        <f t="shared" si="618"/>
        <v>87.1</v>
      </c>
      <c r="DD193" s="670">
        <f t="shared" si="618"/>
        <v>87.1</v>
      </c>
      <c r="DE193" s="290">
        <v>63.9</v>
      </c>
      <c r="DF193" s="290">
        <v>81</v>
      </c>
      <c r="DG193" s="282">
        <f t="shared" si="619"/>
        <v>81</v>
      </c>
      <c r="DH193" s="290">
        <v>88.1</v>
      </c>
      <c r="DI193" s="290">
        <v>112.5</v>
      </c>
      <c r="DJ193" s="282">
        <f t="shared" si="620"/>
        <v>112.5</v>
      </c>
      <c r="DK193" s="670">
        <f t="shared" si="620"/>
        <v>112.5</v>
      </c>
      <c r="DL193" s="292">
        <f>72.1+5.9</f>
        <v>78</v>
      </c>
      <c r="DM193" s="290">
        <v>85.4</v>
      </c>
      <c r="DN193" s="282">
        <f t="shared" si="621"/>
        <v>85.4</v>
      </c>
      <c r="DO193" s="290">
        <v>94</v>
      </c>
      <c r="DP193" s="282">
        <f t="shared" si="622"/>
        <v>123.3</v>
      </c>
      <c r="DQ193" s="282">
        <f t="shared" si="622"/>
        <v>123.3</v>
      </c>
      <c r="DR193" s="670">
        <f>116.6+6.7</f>
        <v>123.3</v>
      </c>
      <c r="DS193" s="290">
        <f>82.5+6</f>
        <v>88.5</v>
      </c>
      <c r="DT193" s="290">
        <f>96.4+5.6</f>
        <v>102</v>
      </c>
      <c r="DU193" s="282">
        <f t="shared" si="623"/>
        <v>102</v>
      </c>
      <c r="DV193" s="290">
        <f>91.2+5.2</f>
        <v>96.4</v>
      </c>
      <c r="DW193" s="282">
        <f t="shared" si="624"/>
        <v>113.7</v>
      </c>
      <c r="DX193" s="282">
        <f t="shared" si="625"/>
        <v>113.7</v>
      </c>
      <c r="DY193" s="670">
        <f>108.3+5.4</f>
        <v>113.7</v>
      </c>
      <c r="DZ193" s="290">
        <f>82+3.8</f>
        <v>85.8</v>
      </c>
      <c r="EA193" s="290">
        <f>106.6+3.6</f>
        <v>110.19999999999999</v>
      </c>
      <c r="EB193" s="282">
        <f t="shared" si="626"/>
        <v>110.19999999999999</v>
      </c>
      <c r="EC193" s="290">
        <f>122.7+6.1</f>
        <v>128.80000000000001</v>
      </c>
      <c r="ED193" s="282">
        <f t="shared" si="627"/>
        <v>150.60000000000002</v>
      </c>
      <c r="EE193" s="282">
        <f t="shared" si="628"/>
        <v>150.60000000000002</v>
      </c>
      <c r="EF193" s="670">
        <f>143.3+7.3</f>
        <v>150.60000000000002</v>
      </c>
      <c r="EG193" s="290">
        <f>87.8+6.8</f>
        <v>94.6</v>
      </c>
      <c r="EH193" s="290">
        <f>105.5+6.2</f>
        <v>111.7</v>
      </c>
      <c r="EI193" s="282">
        <f t="shared" si="629"/>
        <v>111.7</v>
      </c>
      <c r="EJ193" s="290">
        <f>108.5+6.7</f>
        <v>115.2</v>
      </c>
      <c r="EK193" s="282">
        <f t="shared" si="630"/>
        <v>140.60000000000002</v>
      </c>
      <c r="EL193" s="282">
        <f t="shared" si="631"/>
        <v>140.60000000000002</v>
      </c>
      <c r="EM193" s="670">
        <f>133.3+7.3</f>
        <v>140.60000000000002</v>
      </c>
      <c r="EN193" s="290">
        <f>88.6+6.8</f>
        <v>95.399999999999991</v>
      </c>
      <c r="EO193" s="290">
        <f>181.6+10.6</f>
        <v>192.2</v>
      </c>
      <c r="EP193" s="282">
        <f t="shared" si="632"/>
        <v>192.2</v>
      </c>
      <c r="EQ193" s="292">
        <f>150.7+11.2</f>
        <v>161.89999999999998</v>
      </c>
      <c r="ER193" s="282">
        <f t="shared" si="648"/>
        <v>161.89999999999998</v>
      </c>
      <c r="ES193" s="282">
        <f t="shared" si="633"/>
        <v>161.89999999999998</v>
      </c>
      <c r="ET193" s="590">
        <f t="shared" si="633"/>
        <v>161.89999999999998</v>
      </c>
      <c r="EU193" s="282">
        <f t="shared" si="633"/>
        <v>161.89999999999998</v>
      </c>
      <c r="EV193" s="282">
        <f t="shared" si="633"/>
        <v>161.89999999999998</v>
      </c>
      <c r="EW193" s="282">
        <f t="shared" si="634"/>
        <v>161.89999999999998</v>
      </c>
      <c r="EX193" s="282">
        <f t="shared" si="634"/>
        <v>161.89999999999998</v>
      </c>
      <c r="EY193" s="282">
        <f t="shared" si="634"/>
        <v>161.89999999999998</v>
      </c>
      <c r="EZ193" s="282">
        <f t="shared" si="635"/>
        <v>161.89999999999998</v>
      </c>
      <c r="FA193" s="590">
        <f t="shared" si="635"/>
        <v>161.89999999999998</v>
      </c>
      <c r="FB193" s="282">
        <f t="shared" si="635"/>
        <v>161.89999999999998</v>
      </c>
      <c r="FC193" s="282">
        <f t="shared" si="635"/>
        <v>161.89999999999998</v>
      </c>
      <c r="FD193" s="282">
        <f t="shared" si="636"/>
        <v>161.89999999999998</v>
      </c>
      <c r="FE193" s="282">
        <f t="shared" si="636"/>
        <v>161.89999999999998</v>
      </c>
      <c r="FF193" s="282">
        <f t="shared" si="636"/>
        <v>161.89999999999998</v>
      </c>
      <c r="FG193" s="282">
        <f t="shared" si="637"/>
        <v>161.89999999999998</v>
      </c>
      <c r="FH193" s="590">
        <f t="shared" si="637"/>
        <v>161.89999999999998</v>
      </c>
      <c r="FI193" s="282">
        <f t="shared" si="637"/>
        <v>161.89999999999998</v>
      </c>
      <c r="FJ193" s="282">
        <f t="shared" si="637"/>
        <v>161.89999999999998</v>
      </c>
      <c r="FK193" s="282">
        <f t="shared" si="638"/>
        <v>161.89999999999998</v>
      </c>
      <c r="FL193" s="282">
        <f t="shared" si="638"/>
        <v>161.89999999999998</v>
      </c>
      <c r="FM193" s="282">
        <f t="shared" si="638"/>
        <v>161.89999999999998</v>
      </c>
      <c r="FN193" s="282">
        <f t="shared" si="639"/>
        <v>161.89999999999998</v>
      </c>
      <c r="FO193" s="590">
        <f t="shared" si="639"/>
        <v>161.89999999999998</v>
      </c>
      <c r="FP193" s="282">
        <f t="shared" si="639"/>
        <v>161.89999999999998</v>
      </c>
      <c r="FQ193" s="282">
        <f t="shared" si="639"/>
        <v>161.89999999999998</v>
      </c>
      <c r="FR193" s="282">
        <f t="shared" si="640"/>
        <v>161.89999999999998</v>
      </c>
      <c r="FS193" s="282">
        <f t="shared" si="640"/>
        <v>161.89999999999998</v>
      </c>
      <c r="FT193" s="282">
        <f t="shared" si="640"/>
        <v>161.89999999999998</v>
      </c>
      <c r="FU193" s="282">
        <f t="shared" si="641"/>
        <v>161.89999999999998</v>
      </c>
      <c r="FV193" s="590">
        <f t="shared" si="641"/>
        <v>161.89999999999998</v>
      </c>
      <c r="FW193" s="534"/>
    </row>
    <row r="194" spans="1:280" outlineLevel="1" x14ac:dyDescent="0.3">
      <c r="B194" s="253" t="s">
        <v>92</v>
      </c>
      <c r="C194" s="280" t="s">
        <v>226</v>
      </c>
      <c r="D194" s="340">
        <v>47.3</v>
      </c>
      <c r="E194" s="320">
        <f t="shared" si="642"/>
        <v>30.9</v>
      </c>
      <c r="F194" s="340">
        <v>30.9</v>
      </c>
      <c r="G194" s="340">
        <v>38.200000000000003</v>
      </c>
      <c r="H194" s="320">
        <f t="shared" si="599"/>
        <v>24.5</v>
      </c>
      <c r="I194" s="320">
        <f t="shared" si="599"/>
        <v>24.5</v>
      </c>
      <c r="J194" s="289">
        <v>24.5</v>
      </c>
      <c r="K194" s="289">
        <v>33.1</v>
      </c>
      <c r="L194" s="281">
        <f t="shared" si="643"/>
        <v>16.399999999999999</v>
      </c>
      <c r="M194" s="289">
        <v>16.399999999999999</v>
      </c>
      <c r="N194" s="289">
        <v>22.2</v>
      </c>
      <c r="O194" s="281">
        <f t="shared" si="600"/>
        <v>10.6</v>
      </c>
      <c r="P194" s="281">
        <f t="shared" si="600"/>
        <v>10.6</v>
      </c>
      <c r="Q194" s="289">
        <v>10.6</v>
      </c>
      <c r="R194" s="289">
        <v>26.1</v>
      </c>
      <c r="S194" s="281">
        <f t="shared" si="644"/>
        <v>11.8</v>
      </c>
      <c r="T194" s="289">
        <v>11.8</v>
      </c>
      <c r="U194" s="289">
        <v>15.7</v>
      </c>
      <c r="V194" s="281">
        <f t="shared" si="601"/>
        <v>13</v>
      </c>
      <c r="W194" s="281">
        <f t="shared" si="601"/>
        <v>13</v>
      </c>
      <c r="X194" s="289">
        <v>13</v>
      </c>
      <c r="Y194" s="289">
        <v>11.8</v>
      </c>
      <c r="Z194" s="281">
        <f t="shared" si="645"/>
        <v>12.9</v>
      </c>
      <c r="AA194" s="289">
        <v>12.9</v>
      </c>
      <c r="AB194" s="289">
        <v>61.2</v>
      </c>
      <c r="AC194" s="281">
        <f t="shared" si="602"/>
        <v>1.4</v>
      </c>
      <c r="AD194" s="281">
        <f t="shared" si="602"/>
        <v>1.4</v>
      </c>
      <c r="AE194" s="289">
        <v>1.4</v>
      </c>
      <c r="AF194" s="289">
        <v>1.3</v>
      </c>
      <c r="AG194" s="281">
        <f t="shared" si="646"/>
        <v>3.6</v>
      </c>
      <c r="AH194" s="289">
        <v>3.6</v>
      </c>
      <c r="AI194" s="289">
        <v>9.5</v>
      </c>
      <c r="AJ194" s="281">
        <f t="shared" si="603"/>
        <v>34.9</v>
      </c>
      <c r="AK194" s="281">
        <f t="shared" si="603"/>
        <v>34.9</v>
      </c>
      <c r="AL194" s="289">
        <v>34.9</v>
      </c>
      <c r="AM194" s="289">
        <v>0.5</v>
      </c>
      <c r="AN194" s="281">
        <f t="shared" si="647"/>
        <v>0</v>
      </c>
      <c r="AO194" s="289">
        <v>0</v>
      </c>
      <c r="AP194" s="289">
        <v>1.4</v>
      </c>
      <c r="AQ194" s="281">
        <f t="shared" si="604"/>
        <v>3.9</v>
      </c>
      <c r="AR194" s="281">
        <f t="shared" si="604"/>
        <v>3.9</v>
      </c>
      <c r="AS194" s="289">
        <v>3.9</v>
      </c>
      <c r="AT194" s="289">
        <v>3.6</v>
      </c>
      <c r="AU194" s="281">
        <f t="shared" si="605"/>
        <v>2</v>
      </c>
      <c r="AV194" s="289">
        <v>2</v>
      </c>
      <c r="AW194" s="289">
        <v>2.8</v>
      </c>
      <c r="AX194" s="289">
        <v>81.7</v>
      </c>
      <c r="AY194" s="281">
        <f t="shared" si="606"/>
        <v>81.7</v>
      </c>
      <c r="AZ194" s="281">
        <f t="shared" si="606"/>
        <v>81.7</v>
      </c>
      <c r="BA194" s="289">
        <v>86.6</v>
      </c>
      <c r="BB194" s="281">
        <f>+BC194</f>
        <v>4.0999999999999996</v>
      </c>
      <c r="BC194" s="289">
        <v>4.0999999999999996</v>
      </c>
      <c r="BD194" s="289">
        <v>6.4</v>
      </c>
      <c r="BE194" s="281">
        <f t="shared" si="607"/>
        <v>6</v>
      </c>
      <c r="BF194" s="281">
        <f t="shared" si="607"/>
        <v>6</v>
      </c>
      <c r="BG194" s="289">
        <v>6</v>
      </c>
      <c r="BH194" s="289">
        <v>7.2</v>
      </c>
      <c r="BI194" s="281">
        <f t="shared" si="608"/>
        <v>7.4</v>
      </c>
      <c r="BJ194" s="289">
        <v>7.4</v>
      </c>
      <c r="BK194" s="289">
        <v>4.7</v>
      </c>
      <c r="BL194" s="289">
        <v>5.4</v>
      </c>
      <c r="BM194" s="281">
        <f>+BL194</f>
        <v>5.4</v>
      </c>
      <c r="BN194" s="281">
        <f>BM194</f>
        <v>5.4</v>
      </c>
      <c r="BO194" s="289">
        <v>6.5</v>
      </c>
      <c r="BP194" s="289">
        <v>5.5</v>
      </c>
      <c r="BQ194" s="281">
        <f t="shared" si="609"/>
        <v>5.5</v>
      </c>
      <c r="BR194" s="289">
        <v>3.3</v>
      </c>
      <c r="BS194" s="289">
        <v>1.8</v>
      </c>
      <c r="BT194" s="281">
        <f>+BS194</f>
        <v>1.8</v>
      </c>
      <c r="BU194" s="281">
        <f>BT194</f>
        <v>1.8</v>
      </c>
      <c r="BV194" s="289">
        <f>15.1</f>
        <v>15.1</v>
      </c>
      <c r="BW194" s="289">
        <v>4.3</v>
      </c>
      <c r="BX194" s="281">
        <f>+BW194</f>
        <v>4.3</v>
      </c>
      <c r="BY194" s="289">
        <v>7.3</v>
      </c>
      <c r="BZ194" s="289">
        <v>4.8</v>
      </c>
      <c r="CA194" s="281">
        <f t="shared" si="610"/>
        <v>4.8</v>
      </c>
      <c r="CB194" s="281">
        <f t="shared" si="610"/>
        <v>4.8</v>
      </c>
      <c r="CC194" s="289">
        <v>14.4</v>
      </c>
      <c r="CD194" s="289">
        <v>1.2</v>
      </c>
      <c r="CE194" s="281">
        <f t="shared" si="611"/>
        <v>1.2</v>
      </c>
      <c r="CF194" s="289">
        <v>5.7</v>
      </c>
      <c r="CG194" s="289">
        <v>1.9</v>
      </c>
      <c r="CH194" s="281">
        <f t="shared" si="612"/>
        <v>1.9</v>
      </c>
      <c r="CI194" s="281">
        <f t="shared" si="612"/>
        <v>1.9</v>
      </c>
      <c r="CJ194" s="289">
        <v>9.1</v>
      </c>
      <c r="CK194" s="289">
        <v>4</v>
      </c>
      <c r="CL194" s="281">
        <f t="shared" si="613"/>
        <v>4</v>
      </c>
      <c r="CM194" s="289">
        <v>2</v>
      </c>
      <c r="CN194" s="289">
        <v>3.2</v>
      </c>
      <c r="CO194" s="281">
        <f t="shared" si="614"/>
        <v>3.2</v>
      </c>
      <c r="CP194" s="282">
        <f t="shared" si="614"/>
        <v>3.2</v>
      </c>
      <c r="CQ194" s="290">
        <v>8.1</v>
      </c>
      <c r="CR194" s="290">
        <v>11.1</v>
      </c>
      <c r="CS194" s="282">
        <f t="shared" si="615"/>
        <v>11.1</v>
      </c>
      <c r="CT194" s="290">
        <v>16.7</v>
      </c>
      <c r="CU194" s="290">
        <v>13.4</v>
      </c>
      <c r="CV194" s="282">
        <f t="shared" si="616"/>
        <v>13.4</v>
      </c>
      <c r="CW194" s="282">
        <f t="shared" si="616"/>
        <v>13.4</v>
      </c>
      <c r="CX194" s="291">
        <v>21.2</v>
      </c>
      <c r="CY194" s="290">
        <v>13.4</v>
      </c>
      <c r="CZ194" s="282">
        <f t="shared" si="617"/>
        <v>13.4</v>
      </c>
      <c r="DA194" s="290">
        <v>13.6</v>
      </c>
      <c r="DB194" s="290">
        <v>8.9</v>
      </c>
      <c r="DC194" s="282">
        <f t="shared" si="618"/>
        <v>8.9</v>
      </c>
      <c r="DD194" s="670">
        <f t="shared" si="618"/>
        <v>8.9</v>
      </c>
      <c r="DE194" s="290">
        <v>19</v>
      </c>
      <c r="DF194" s="290">
        <v>9.1</v>
      </c>
      <c r="DG194" s="282">
        <f t="shared" si="619"/>
        <v>9.1</v>
      </c>
      <c r="DH194" s="290">
        <v>10.7</v>
      </c>
      <c r="DI194" s="290">
        <v>6.6</v>
      </c>
      <c r="DJ194" s="282">
        <f t="shared" si="620"/>
        <v>6.6</v>
      </c>
      <c r="DK194" s="670">
        <f t="shared" si="620"/>
        <v>6.6</v>
      </c>
      <c r="DL194" s="292">
        <v>15.2</v>
      </c>
      <c r="DM194" s="290">
        <v>2.2999999999999998</v>
      </c>
      <c r="DN194" s="282">
        <f t="shared" si="621"/>
        <v>2.2999999999999998</v>
      </c>
      <c r="DO194" s="290">
        <v>16.2</v>
      </c>
      <c r="DP194" s="282">
        <f t="shared" si="622"/>
        <v>9.5</v>
      </c>
      <c r="DQ194" s="282">
        <f t="shared" si="622"/>
        <v>9.5</v>
      </c>
      <c r="DR194" s="670">
        <v>9.5</v>
      </c>
      <c r="DS194" s="290">
        <v>20.6</v>
      </c>
      <c r="DT194" s="290">
        <v>4.0999999999999996</v>
      </c>
      <c r="DU194" s="282">
        <f t="shared" si="623"/>
        <v>4.0999999999999996</v>
      </c>
      <c r="DV194" s="290">
        <v>15.6</v>
      </c>
      <c r="DW194" s="282">
        <f t="shared" si="624"/>
        <v>15.4</v>
      </c>
      <c r="DX194" s="282">
        <f t="shared" si="625"/>
        <v>15.4</v>
      </c>
      <c r="DY194" s="670">
        <v>15.4</v>
      </c>
      <c r="DZ194" s="290">
        <v>40.200000000000003</v>
      </c>
      <c r="EA194" s="290">
        <v>0.9</v>
      </c>
      <c r="EB194" s="282">
        <f t="shared" si="626"/>
        <v>0.9</v>
      </c>
      <c r="EC194" s="290">
        <v>12.3</v>
      </c>
      <c r="ED194" s="282">
        <f t="shared" si="627"/>
        <v>13</v>
      </c>
      <c r="EE194" s="282">
        <f t="shared" si="628"/>
        <v>13</v>
      </c>
      <c r="EF194" s="670">
        <v>13</v>
      </c>
      <c r="EG194" s="290">
        <v>35</v>
      </c>
      <c r="EH194" s="290">
        <v>1.5</v>
      </c>
      <c r="EI194" s="282">
        <f t="shared" si="629"/>
        <v>1.5</v>
      </c>
      <c r="EJ194" s="290">
        <v>2.7</v>
      </c>
      <c r="EK194" s="282">
        <f t="shared" si="630"/>
        <v>10.3</v>
      </c>
      <c r="EL194" s="282">
        <f t="shared" si="631"/>
        <v>10.3</v>
      </c>
      <c r="EM194" s="670">
        <v>10.3</v>
      </c>
      <c r="EN194" s="290">
        <v>15.1</v>
      </c>
      <c r="EO194" s="290">
        <v>7.1</v>
      </c>
      <c r="EP194" s="282">
        <f t="shared" si="632"/>
        <v>7.1</v>
      </c>
      <c r="EQ194" s="292">
        <v>14.4</v>
      </c>
      <c r="ER194" s="282">
        <f t="shared" si="648"/>
        <v>14.4</v>
      </c>
      <c r="ES194" s="282">
        <f t="shared" si="633"/>
        <v>14.4</v>
      </c>
      <c r="ET194" s="590">
        <f t="shared" si="633"/>
        <v>14.4</v>
      </c>
      <c r="EU194" s="282">
        <f t="shared" si="633"/>
        <v>14.4</v>
      </c>
      <c r="EV194" s="282">
        <f t="shared" si="633"/>
        <v>14.4</v>
      </c>
      <c r="EW194" s="282">
        <f t="shared" si="634"/>
        <v>14.4</v>
      </c>
      <c r="EX194" s="282">
        <f t="shared" si="634"/>
        <v>14.4</v>
      </c>
      <c r="EY194" s="282">
        <f t="shared" si="634"/>
        <v>14.4</v>
      </c>
      <c r="EZ194" s="282">
        <f t="shared" si="635"/>
        <v>14.4</v>
      </c>
      <c r="FA194" s="590">
        <f t="shared" si="635"/>
        <v>14.4</v>
      </c>
      <c r="FB194" s="282">
        <f t="shared" si="635"/>
        <v>14.4</v>
      </c>
      <c r="FC194" s="282">
        <f t="shared" si="635"/>
        <v>14.4</v>
      </c>
      <c r="FD194" s="282">
        <f t="shared" si="636"/>
        <v>14.4</v>
      </c>
      <c r="FE194" s="282">
        <f t="shared" si="636"/>
        <v>14.4</v>
      </c>
      <c r="FF194" s="282">
        <f t="shared" si="636"/>
        <v>14.4</v>
      </c>
      <c r="FG194" s="282">
        <f t="shared" si="637"/>
        <v>14.4</v>
      </c>
      <c r="FH194" s="590">
        <f t="shared" si="637"/>
        <v>14.4</v>
      </c>
      <c r="FI194" s="282">
        <f t="shared" si="637"/>
        <v>14.4</v>
      </c>
      <c r="FJ194" s="282">
        <f t="shared" si="637"/>
        <v>14.4</v>
      </c>
      <c r="FK194" s="282">
        <f t="shared" si="638"/>
        <v>14.4</v>
      </c>
      <c r="FL194" s="282">
        <f t="shared" si="638"/>
        <v>14.4</v>
      </c>
      <c r="FM194" s="282">
        <f t="shared" si="638"/>
        <v>14.4</v>
      </c>
      <c r="FN194" s="282">
        <f t="shared" si="639"/>
        <v>14.4</v>
      </c>
      <c r="FO194" s="590">
        <f t="shared" si="639"/>
        <v>14.4</v>
      </c>
      <c r="FP194" s="282">
        <f t="shared" si="639"/>
        <v>14.4</v>
      </c>
      <c r="FQ194" s="282">
        <f t="shared" si="639"/>
        <v>14.4</v>
      </c>
      <c r="FR194" s="282">
        <f t="shared" si="640"/>
        <v>14.4</v>
      </c>
      <c r="FS194" s="282">
        <f t="shared" si="640"/>
        <v>14.4</v>
      </c>
      <c r="FT194" s="282">
        <f t="shared" si="640"/>
        <v>14.4</v>
      </c>
      <c r="FU194" s="282">
        <f t="shared" si="641"/>
        <v>14.4</v>
      </c>
      <c r="FV194" s="590">
        <f t="shared" si="641"/>
        <v>14.4</v>
      </c>
      <c r="FW194" s="534"/>
    </row>
    <row r="195" spans="1:280" outlineLevel="1" x14ac:dyDescent="0.3">
      <c r="B195" s="253" t="s">
        <v>536</v>
      </c>
      <c r="C195" s="280" t="s">
        <v>226</v>
      </c>
      <c r="D195" s="341"/>
      <c r="E195" s="320">
        <f t="shared" si="642"/>
        <v>0</v>
      </c>
      <c r="F195" s="341"/>
      <c r="G195" s="341"/>
      <c r="H195" s="320">
        <f t="shared" si="599"/>
        <v>0</v>
      </c>
      <c r="I195" s="320">
        <f t="shared" si="599"/>
        <v>0</v>
      </c>
      <c r="J195" s="326"/>
      <c r="K195" s="326"/>
      <c r="L195" s="281">
        <f t="shared" si="643"/>
        <v>0</v>
      </c>
      <c r="M195" s="326"/>
      <c r="N195" s="326"/>
      <c r="O195" s="281">
        <f t="shared" si="600"/>
        <v>63.5</v>
      </c>
      <c r="P195" s="281">
        <f t="shared" si="600"/>
        <v>63.5</v>
      </c>
      <c r="Q195" s="289">
        <v>63.5</v>
      </c>
      <c r="R195" s="289">
        <v>66.8</v>
      </c>
      <c r="S195" s="281">
        <f t="shared" si="644"/>
        <v>69.5</v>
      </c>
      <c r="T195" s="289">
        <v>69.5</v>
      </c>
      <c r="U195" s="289">
        <v>69.400000000000006</v>
      </c>
      <c r="V195" s="281">
        <f t="shared" si="601"/>
        <v>78.7</v>
      </c>
      <c r="W195" s="281">
        <f t="shared" si="601"/>
        <v>78.7</v>
      </c>
      <c r="X195" s="289">
        <v>78.7</v>
      </c>
      <c r="Y195" s="289">
        <v>82.5</v>
      </c>
      <c r="Z195" s="281">
        <f t="shared" si="645"/>
        <v>68.7</v>
      </c>
      <c r="AA195" s="289">
        <v>68.7</v>
      </c>
      <c r="AB195" s="289">
        <v>59.4</v>
      </c>
      <c r="AC195" s="281">
        <f t="shared" si="602"/>
        <v>78.2</v>
      </c>
      <c r="AD195" s="281">
        <f t="shared" si="602"/>
        <v>78.2</v>
      </c>
      <c r="AE195" s="289">
        <v>78.2</v>
      </c>
      <c r="AF195" s="289">
        <v>92.5</v>
      </c>
      <c r="AG195" s="281">
        <f t="shared" si="646"/>
        <v>100</v>
      </c>
      <c r="AH195" s="289">
        <v>100</v>
      </c>
      <c r="AI195" s="289">
        <v>102.1</v>
      </c>
      <c r="AJ195" s="281">
        <f t="shared" si="603"/>
        <v>106.7</v>
      </c>
      <c r="AK195" s="281">
        <f t="shared" si="603"/>
        <v>106.7</v>
      </c>
      <c r="AL195" s="289">
        <v>106.7</v>
      </c>
      <c r="AM195" s="289">
        <v>99.3</v>
      </c>
      <c r="AN195" s="281">
        <f t="shared" si="647"/>
        <v>112.6</v>
      </c>
      <c r="AO195" s="289">
        <v>112.6</v>
      </c>
      <c r="AP195" s="289">
        <v>118.4</v>
      </c>
      <c r="AQ195" s="281">
        <f t="shared" si="604"/>
        <v>111.1</v>
      </c>
      <c r="AR195" s="281">
        <f t="shared" si="604"/>
        <v>111.1</v>
      </c>
      <c r="AS195" s="289">
        <v>111.1</v>
      </c>
      <c r="AT195" s="289">
        <v>115.4</v>
      </c>
      <c r="AU195" s="281">
        <f t="shared" si="605"/>
        <v>105</v>
      </c>
      <c r="AV195" s="289">
        <v>105</v>
      </c>
      <c r="AW195" s="289">
        <v>109.3</v>
      </c>
      <c r="AX195" s="289">
        <v>125.3</v>
      </c>
      <c r="AY195" s="281">
        <f t="shared" si="606"/>
        <v>125.3</v>
      </c>
      <c r="AZ195" s="281">
        <f t="shared" si="606"/>
        <v>125.3</v>
      </c>
      <c r="BA195" s="289">
        <v>122.2</v>
      </c>
      <c r="BB195" s="281">
        <f>+BC195</f>
        <v>126.1</v>
      </c>
      <c r="BC195" s="289">
        <v>126.1</v>
      </c>
      <c r="BD195" s="289">
        <v>125.1</v>
      </c>
      <c r="BE195" s="281">
        <f t="shared" si="607"/>
        <v>135</v>
      </c>
      <c r="BF195" s="281">
        <f t="shared" si="607"/>
        <v>135</v>
      </c>
      <c r="BG195" s="289">
        <v>135</v>
      </c>
      <c r="BH195" s="289">
        <v>120</v>
      </c>
      <c r="BI195" s="281">
        <f t="shared" si="608"/>
        <v>120.6</v>
      </c>
      <c r="BJ195" s="289">
        <v>120.6</v>
      </c>
      <c r="BK195" s="289">
        <v>115.8</v>
      </c>
      <c r="BL195" s="289">
        <v>134.5</v>
      </c>
      <c r="BM195" s="281">
        <f>+BL195</f>
        <v>134.5</v>
      </c>
      <c r="BN195" s="281">
        <f>BM195</f>
        <v>134.5</v>
      </c>
      <c r="BO195" s="289">
        <v>137.5</v>
      </c>
      <c r="BP195" s="289">
        <v>127.9</v>
      </c>
      <c r="BQ195" s="281">
        <f t="shared" si="609"/>
        <v>127.9</v>
      </c>
      <c r="BR195" s="289">
        <v>119.5</v>
      </c>
      <c r="BS195" s="289">
        <v>131.6</v>
      </c>
      <c r="BT195" s="281">
        <f>+BS195</f>
        <v>131.6</v>
      </c>
      <c r="BU195" s="281">
        <f>BT195</f>
        <v>131.6</v>
      </c>
      <c r="BV195" s="289">
        <f>132.3</f>
        <v>132.30000000000001</v>
      </c>
      <c r="BW195" s="289">
        <v>121</v>
      </c>
      <c r="BX195" s="281">
        <f>+BW195</f>
        <v>121</v>
      </c>
      <c r="BY195" s="289">
        <v>125.9</v>
      </c>
      <c r="BZ195" s="289">
        <v>125.9</v>
      </c>
      <c r="CA195" s="281">
        <f t="shared" si="610"/>
        <v>125.9</v>
      </c>
      <c r="CB195" s="281">
        <f t="shared" si="610"/>
        <v>125.9</v>
      </c>
      <c r="CC195" s="289">
        <v>122.3</v>
      </c>
      <c r="CD195" s="289">
        <v>125.5</v>
      </c>
      <c r="CE195" s="281">
        <f t="shared" si="611"/>
        <v>125.5</v>
      </c>
      <c r="CF195" s="289">
        <v>119</v>
      </c>
      <c r="CG195" s="289">
        <v>116.4</v>
      </c>
      <c r="CH195" s="281">
        <f t="shared" si="612"/>
        <v>116.4</v>
      </c>
      <c r="CI195" s="281">
        <f t="shared" si="612"/>
        <v>116.4</v>
      </c>
      <c r="CJ195" s="289">
        <v>117.2</v>
      </c>
      <c r="CK195" s="289">
        <v>119.4</v>
      </c>
      <c r="CL195" s="281">
        <f t="shared" si="613"/>
        <v>119.4</v>
      </c>
      <c r="CM195" s="289">
        <v>115.1</v>
      </c>
      <c r="CN195" s="289">
        <v>114.1</v>
      </c>
      <c r="CO195" s="281">
        <f t="shared" si="614"/>
        <v>114.1</v>
      </c>
      <c r="CP195" s="282">
        <f t="shared" si="614"/>
        <v>114.1</v>
      </c>
      <c r="CQ195" s="290">
        <v>109.8</v>
      </c>
      <c r="CR195" s="290">
        <v>107.2</v>
      </c>
      <c r="CS195" s="282">
        <f t="shared" si="615"/>
        <v>107.2</v>
      </c>
      <c r="CT195" s="290">
        <v>104.9</v>
      </c>
      <c r="CU195" s="290">
        <v>110.5</v>
      </c>
      <c r="CV195" s="282">
        <f t="shared" si="616"/>
        <v>110.5</v>
      </c>
      <c r="CW195" s="282">
        <f t="shared" si="616"/>
        <v>110.5</v>
      </c>
      <c r="CX195" s="291">
        <v>109.2</v>
      </c>
      <c r="CY195" s="290">
        <v>105.3</v>
      </c>
      <c r="CZ195" s="282">
        <f t="shared" si="617"/>
        <v>105.3</v>
      </c>
      <c r="DA195" s="290">
        <v>109.2</v>
      </c>
      <c r="DB195" s="290">
        <v>103.9</v>
      </c>
      <c r="DC195" s="282">
        <f t="shared" si="618"/>
        <v>103.9</v>
      </c>
      <c r="DD195" s="670">
        <f t="shared" si="618"/>
        <v>103.9</v>
      </c>
      <c r="DE195" s="290">
        <v>115.8</v>
      </c>
      <c r="DF195" s="290">
        <v>119.7</v>
      </c>
      <c r="DG195" s="282">
        <f t="shared" si="619"/>
        <v>119.7</v>
      </c>
      <c r="DH195" s="290">
        <v>129.6</v>
      </c>
      <c r="DI195" s="290">
        <v>122.2</v>
      </c>
      <c r="DJ195" s="282">
        <f t="shared" si="620"/>
        <v>122.2</v>
      </c>
      <c r="DK195" s="670">
        <f t="shared" si="620"/>
        <v>122.2</v>
      </c>
      <c r="DL195" s="292">
        <v>120.9</v>
      </c>
      <c r="DM195" s="290">
        <v>115.8</v>
      </c>
      <c r="DN195" s="282">
        <f t="shared" si="621"/>
        <v>115.8</v>
      </c>
      <c r="DO195" s="290">
        <v>116.7</v>
      </c>
      <c r="DP195" s="282">
        <f t="shared" si="622"/>
        <v>132.9</v>
      </c>
      <c r="DQ195" s="282">
        <f t="shared" si="622"/>
        <v>132.9</v>
      </c>
      <c r="DR195" s="670">
        <v>132.9</v>
      </c>
      <c r="DS195" s="290">
        <v>122.5</v>
      </c>
      <c r="DT195" s="290">
        <v>115.2</v>
      </c>
      <c r="DU195" s="282">
        <f t="shared" si="623"/>
        <v>115.2</v>
      </c>
      <c r="DV195" s="290">
        <v>120.4</v>
      </c>
      <c r="DW195" s="282">
        <f t="shared" si="624"/>
        <v>119.4</v>
      </c>
      <c r="DX195" s="282">
        <f t="shared" si="625"/>
        <v>119.4</v>
      </c>
      <c r="DY195" s="670">
        <v>119.4</v>
      </c>
      <c r="DZ195" s="290">
        <v>118</v>
      </c>
      <c r="EA195" s="290">
        <v>114.9</v>
      </c>
      <c r="EB195" s="282">
        <f t="shared" si="626"/>
        <v>114.9</v>
      </c>
      <c r="EC195" s="290">
        <v>121.8</v>
      </c>
      <c r="ED195" s="282">
        <f t="shared" si="627"/>
        <v>116.7</v>
      </c>
      <c r="EE195" s="282">
        <f t="shared" si="628"/>
        <v>116.7</v>
      </c>
      <c r="EF195" s="670">
        <v>116.7</v>
      </c>
      <c r="EG195" s="290">
        <v>118.7</v>
      </c>
      <c r="EH195" s="290">
        <v>124.2</v>
      </c>
      <c r="EI195" s="282">
        <f t="shared" si="629"/>
        <v>124.2</v>
      </c>
      <c r="EJ195" s="290">
        <v>111.4</v>
      </c>
      <c r="EK195" s="282">
        <f t="shared" si="630"/>
        <v>119.4</v>
      </c>
      <c r="EL195" s="282">
        <f t="shared" si="631"/>
        <v>119.4</v>
      </c>
      <c r="EM195" s="670">
        <v>119.4</v>
      </c>
      <c r="EN195" s="290">
        <v>124.5</v>
      </c>
      <c r="EO195" s="290">
        <v>125.7</v>
      </c>
      <c r="EP195" s="282">
        <f t="shared" si="632"/>
        <v>125.7</v>
      </c>
      <c r="EQ195" s="292">
        <v>127.3</v>
      </c>
      <c r="ER195" s="282">
        <f t="shared" si="648"/>
        <v>127.3</v>
      </c>
      <c r="ES195" s="282">
        <f t="shared" si="633"/>
        <v>127.3</v>
      </c>
      <c r="ET195" s="590">
        <f t="shared" si="633"/>
        <v>127.3</v>
      </c>
      <c r="EU195" s="282">
        <f t="shared" si="633"/>
        <v>127.3</v>
      </c>
      <c r="EV195" s="282">
        <f t="shared" si="633"/>
        <v>127.3</v>
      </c>
      <c r="EW195" s="282">
        <f t="shared" si="634"/>
        <v>127.3</v>
      </c>
      <c r="EX195" s="282">
        <f t="shared" si="634"/>
        <v>127.3</v>
      </c>
      <c r="EY195" s="282">
        <f t="shared" si="634"/>
        <v>127.3</v>
      </c>
      <c r="EZ195" s="282">
        <f t="shared" si="635"/>
        <v>127.3</v>
      </c>
      <c r="FA195" s="590">
        <f t="shared" si="635"/>
        <v>127.3</v>
      </c>
      <c r="FB195" s="282">
        <f t="shared" si="635"/>
        <v>127.3</v>
      </c>
      <c r="FC195" s="282">
        <f t="shared" si="635"/>
        <v>127.3</v>
      </c>
      <c r="FD195" s="282">
        <f t="shared" si="636"/>
        <v>127.3</v>
      </c>
      <c r="FE195" s="282">
        <f t="shared" si="636"/>
        <v>127.3</v>
      </c>
      <c r="FF195" s="282">
        <f t="shared" si="636"/>
        <v>127.3</v>
      </c>
      <c r="FG195" s="282">
        <f t="shared" si="637"/>
        <v>127.3</v>
      </c>
      <c r="FH195" s="590">
        <f t="shared" si="637"/>
        <v>127.3</v>
      </c>
      <c r="FI195" s="282">
        <f t="shared" si="637"/>
        <v>127.3</v>
      </c>
      <c r="FJ195" s="282">
        <f t="shared" si="637"/>
        <v>127.3</v>
      </c>
      <c r="FK195" s="282">
        <f t="shared" si="638"/>
        <v>127.3</v>
      </c>
      <c r="FL195" s="282">
        <f t="shared" si="638"/>
        <v>127.3</v>
      </c>
      <c r="FM195" s="282">
        <f t="shared" si="638"/>
        <v>127.3</v>
      </c>
      <c r="FN195" s="282">
        <f t="shared" si="639"/>
        <v>127.3</v>
      </c>
      <c r="FO195" s="590">
        <f t="shared" si="639"/>
        <v>127.3</v>
      </c>
      <c r="FP195" s="282">
        <f t="shared" si="639"/>
        <v>127.3</v>
      </c>
      <c r="FQ195" s="282">
        <f t="shared" si="639"/>
        <v>127.3</v>
      </c>
      <c r="FR195" s="282">
        <f t="shared" si="640"/>
        <v>127.3</v>
      </c>
      <c r="FS195" s="282">
        <f t="shared" si="640"/>
        <v>127.3</v>
      </c>
      <c r="FT195" s="282">
        <f t="shared" si="640"/>
        <v>127.3</v>
      </c>
      <c r="FU195" s="282">
        <f t="shared" si="641"/>
        <v>127.3</v>
      </c>
      <c r="FV195" s="590">
        <f t="shared" si="641"/>
        <v>127.3</v>
      </c>
      <c r="FW195" s="534"/>
    </row>
    <row r="196" spans="1:280" outlineLevel="1" x14ac:dyDescent="0.3">
      <c r="B196" s="253" t="s">
        <v>537</v>
      </c>
      <c r="C196" s="280" t="s">
        <v>226</v>
      </c>
      <c r="D196" s="341"/>
      <c r="E196" s="320">
        <f t="shared" si="642"/>
        <v>0</v>
      </c>
      <c r="F196" s="341"/>
      <c r="G196" s="341"/>
      <c r="H196" s="320">
        <f t="shared" si="599"/>
        <v>0</v>
      </c>
      <c r="I196" s="320">
        <f t="shared" si="599"/>
        <v>0</v>
      </c>
      <c r="J196" s="326"/>
      <c r="K196" s="326"/>
      <c r="L196" s="281">
        <f t="shared" si="643"/>
        <v>0</v>
      </c>
      <c r="M196" s="326"/>
      <c r="N196" s="326"/>
      <c r="O196" s="281">
        <f t="shared" si="600"/>
        <v>2.7</v>
      </c>
      <c r="P196" s="281">
        <f t="shared" si="600"/>
        <v>2.7</v>
      </c>
      <c r="Q196" s="289">
        <v>2.7</v>
      </c>
      <c r="R196" s="289">
        <v>2.9</v>
      </c>
      <c r="S196" s="281">
        <f t="shared" si="644"/>
        <v>3</v>
      </c>
      <c r="T196" s="289">
        <v>3</v>
      </c>
      <c r="U196" s="289">
        <v>3</v>
      </c>
      <c r="V196" s="281">
        <f t="shared" si="601"/>
        <v>6.9</v>
      </c>
      <c r="W196" s="281">
        <f t="shared" si="601"/>
        <v>6.9</v>
      </c>
      <c r="X196" s="289">
        <v>6.9</v>
      </c>
      <c r="Y196" s="289">
        <v>7.2</v>
      </c>
      <c r="Z196" s="281">
        <f t="shared" si="645"/>
        <v>6</v>
      </c>
      <c r="AA196" s="289">
        <v>6</v>
      </c>
      <c r="AB196" s="289">
        <v>5.2</v>
      </c>
      <c r="AC196" s="281">
        <f t="shared" si="602"/>
        <v>0.6</v>
      </c>
      <c r="AD196" s="281">
        <f t="shared" si="602"/>
        <v>0.6</v>
      </c>
      <c r="AE196" s="289">
        <v>0.6</v>
      </c>
      <c r="AF196" s="289">
        <v>0.7</v>
      </c>
      <c r="AG196" s="281">
        <f t="shared" si="646"/>
        <v>0.7</v>
      </c>
      <c r="AH196" s="289">
        <v>0.7</v>
      </c>
      <c r="AI196" s="289">
        <v>0.7</v>
      </c>
      <c r="AJ196" s="281">
        <f t="shared" si="603"/>
        <v>0.1</v>
      </c>
      <c r="AK196" s="281">
        <f t="shared" si="603"/>
        <v>0.1</v>
      </c>
      <c r="AL196" s="289">
        <v>0.1</v>
      </c>
      <c r="AM196" s="289">
        <v>0.1</v>
      </c>
      <c r="AN196" s="281">
        <f t="shared" si="647"/>
        <v>0.1</v>
      </c>
      <c r="AO196" s="289">
        <v>0.1</v>
      </c>
      <c r="AP196" s="289">
        <v>0.1</v>
      </c>
      <c r="AQ196" s="281">
        <f t="shared" si="604"/>
        <v>0.3</v>
      </c>
      <c r="AR196" s="281">
        <f t="shared" si="604"/>
        <v>0.3</v>
      </c>
      <c r="AS196" s="289">
        <v>0.3</v>
      </c>
      <c r="AT196" s="289">
        <v>0.4</v>
      </c>
      <c r="AU196" s="281">
        <f t="shared" si="605"/>
        <v>0.3</v>
      </c>
      <c r="AV196" s="289">
        <v>0.3</v>
      </c>
      <c r="AW196" s="281">
        <f>AV196</f>
        <v>0.3</v>
      </c>
      <c r="AX196" s="289">
        <v>0.5</v>
      </c>
      <c r="AY196" s="281">
        <f t="shared" si="606"/>
        <v>0.5</v>
      </c>
      <c r="AZ196" s="281">
        <f t="shared" si="606"/>
        <v>0.5</v>
      </c>
      <c r="BA196" s="289">
        <v>0.4</v>
      </c>
      <c r="BB196" s="281">
        <f>+BC196</f>
        <v>0.5</v>
      </c>
      <c r="BC196" s="289">
        <v>0.5</v>
      </c>
      <c r="BD196" s="289">
        <v>0.4</v>
      </c>
      <c r="BE196" s="281">
        <f t="shared" si="607"/>
        <v>0.9</v>
      </c>
      <c r="BF196" s="281">
        <f t="shared" si="607"/>
        <v>0.9</v>
      </c>
      <c r="BG196" s="289">
        <v>0.9</v>
      </c>
      <c r="BH196" s="289">
        <v>0.8</v>
      </c>
      <c r="BI196" s="281">
        <f t="shared" si="608"/>
        <v>0.8</v>
      </c>
      <c r="BJ196" s="289">
        <v>0.8</v>
      </c>
      <c r="BK196" s="289">
        <v>0.8</v>
      </c>
      <c r="BL196" s="289">
        <v>4.3</v>
      </c>
      <c r="BM196" s="281">
        <f>BL196</f>
        <v>4.3</v>
      </c>
      <c r="BN196" s="281">
        <f>BM196</f>
        <v>4.3</v>
      </c>
      <c r="BO196" s="289">
        <v>4.4000000000000004</v>
      </c>
      <c r="BP196" s="289">
        <v>4.0999999999999996</v>
      </c>
      <c r="BQ196" s="281">
        <f t="shared" si="609"/>
        <v>4.0999999999999996</v>
      </c>
      <c r="BR196" s="289">
        <v>3.8</v>
      </c>
      <c r="BS196" s="289">
        <v>4.5</v>
      </c>
      <c r="BT196" s="281">
        <f>BS196</f>
        <v>4.5</v>
      </c>
      <c r="BU196" s="281">
        <f>BT196</f>
        <v>4.5</v>
      </c>
      <c r="BV196" s="289">
        <f>4.6</f>
        <v>4.5999999999999996</v>
      </c>
      <c r="BW196" s="289">
        <v>4.2</v>
      </c>
      <c r="BX196" s="281">
        <f>BW196</f>
        <v>4.2</v>
      </c>
      <c r="BY196" s="289">
        <v>4.4000000000000004</v>
      </c>
      <c r="BZ196" s="289">
        <v>4.0999999999999996</v>
      </c>
      <c r="CA196" s="281">
        <f t="shared" si="610"/>
        <v>4.0999999999999996</v>
      </c>
      <c r="CB196" s="281">
        <f t="shared" si="610"/>
        <v>4.0999999999999996</v>
      </c>
      <c r="CC196" s="289">
        <v>4</v>
      </c>
      <c r="CD196" s="289">
        <v>4.0999999999999996</v>
      </c>
      <c r="CE196" s="281">
        <f t="shared" si="611"/>
        <v>4.0999999999999996</v>
      </c>
      <c r="CF196" s="289">
        <v>3.9</v>
      </c>
      <c r="CG196" s="289">
        <v>2.9</v>
      </c>
      <c r="CH196" s="281">
        <f t="shared" si="612"/>
        <v>2.9</v>
      </c>
      <c r="CI196" s="281">
        <f t="shared" si="612"/>
        <v>2.9</v>
      </c>
      <c r="CJ196" s="289">
        <v>2.9</v>
      </c>
      <c r="CK196" s="289">
        <v>3</v>
      </c>
      <c r="CL196" s="281">
        <f t="shared" si="613"/>
        <v>3</v>
      </c>
      <c r="CM196" s="289">
        <v>3</v>
      </c>
      <c r="CN196" s="289">
        <v>2.1</v>
      </c>
      <c r="CO196" s="281">
        <f t="shared" si="614"/>
        <v>2.1</v>
      </c>
      <c r="CP196" s="282">
        <f t="shared" si="614"/>
        <v>2.1</v>
      </c>
      <c r="CQ196" s="290">
        <v>2.1</v>
      </c>
      <c r="CR196" s="290">
        <v>2</v>
      </c>
      <c r="CS196" s="282">
        <f t="shared" si="615"/>
        <v>2</v>
      </c>
      <c r="CT196" s="290">
        <v>2</v>
      </c>
      <c r="CU196" s="290">
        <v>2</v>
      </c>
      <c r="CV196" s="282">
        <f t="shared" si="616"/>
        <v>2</v>
      </c>
      <c r="CW196" s="282">
        <f t="shared" si="616"/>
        <v>2</v>
      </c>
      <c r="CX196" s="291">
        <v>2</v>
      </c>
      <c r="CY196" s="290">
        <v>1.9</v>
      </c>
      <c r="CZ196" s="282">
        <f t="shared" si="617"/>
        <v>1.9</v>
      </c>
      <c r="DA196" s="290">
        <v>2</v>
      </c>
      <c r="DB196" s="290">
        <v>1.5</v>
      </c>
      <c r="DC196" s="282">
        <f t="shared" si="618"/>
        <v>1.5</v>
      </c>
      <c r="DD196" s="670">
        <f t="shared" si="618"/>
        <v>1.5</v>
      </c>
      <c r="DE196" s="290">
        <v>1.7</v>
      </c>
      <c r="DF196" s="290">
        <v>1.7</v>
      </c>
      <c r="DG196" s="282">
        <f t="shared" si="619"/>
        <v>1.7</v>
      </c>
      <c r="DH196" s="290">
        <v>1.9</v>
      </c>
      <c r="DI196" s="290">
        <v>1.6</v>
      </c>
      <c r="DJ196" s="282">
        <f t="shared" si="620"/>
        <v>1.6</v>
      </c>
      <c r="DK196" s="670">
        <f t="shared" si="620"/>
        <v>1.6</v>
      </c>
      <c r="DL196" s="292">
        <v>1.6</v>
      </c>
      <c r="DM196" s="290">
        <v>1.5</v>
      </c>
      <c r="DN196" s="282">
        <f t="shared" si="621"/>
        <v>1.5</v>
      </c>
      <c r="DO196" s="290">
        <v>1.5</v>
      </c>
      <c r="DP196" s="282">
        <f t="shared" si="622"/>
        <v>3.2</v>
      </c>
      <c r="DQ196" s="282">
        <f t="shared" si="622"/>
        <v>3.2</v>
      </c>
      <c r="DR196" s="670">
        <v>3.2</v>
      </c>
      <c r="DS196" s="290">
        <v>2.9</v>
      </c>
      <c r="DT196" s="290">
        <v>2.8</v>
      </c>
      <c r="DU196" s="282">
        <f t="shared" si="623"/>
        <v>2.8</v>
      </c>
      <c r="DV196" s="290">
        <v>2.9</v>
      </c>
      <c r="DW196" s="282">
        <f t="shared" si="624"/>
        <v>1.8</v>
      </c>
      <c r="DX196" s="282">
        <f t="shared" si="625"/>
        <v>1.8</v>
      </c>
      <c r="DY196" s="670">
        <v>1.8</v>
      </c>
      <c r="DZ196" s="290">
        <v>1.8</v>
      </c>
      <c r="EA196" s="290">
        <v>1.7</v>
      </c>
      <c r="EB196" s="282">
        <f t="shared" si="626"/>
        <v>1.7</v>
      </c>
      <c r="EC196" s="290">
        <v>1.8</v>
      </c>
      <c r="ED196" s="282">
        <f t="shared" si="627"/>
        <v>1.6</v>
      </c>
      <c r="EE196" s="282">
        <f t="shared" si="628"/>
        <v>1.6</v>
      </c>
      <c r="EF196" s="670">
        <v>1.6</v>
      </c>
      <c r="EG196" s="290">
        <v>1.6</v>
      </c>
      <c r="EH196" s="290">
        <v>1.7</v>
      </c>
      <c r="EI196" s="282">
        <f t="shared" si="629"/>
        <v>1.7</v>
      </c>
      <c r="EJ196" s="290">
        <v>1.5</v>
      </c>
      <c r="EK196" s="282">
        <f t="shared" si="630"/>
        <v>2.2999999999999998</v>
      </c>
      <c r="EL196" s="282">
        <f t="shared" si="631"/>
        <v>2.2999999999999998</v>
      </c>
      <c r="EM196" s="670">
        <v>2.2999999999999998</v>
      </c>
      <c r="EN196" s="290">
        <v>2.4</v>
      </c>
      <c r="EO196" s="290">
        <v>2.5</v>
      </c>
      <c r="EP196" s="282">
        <f t="shared" si="632"/>
        <v>2.5</v>
      </c>
      <c r="EQ196" s="292">
        <v>2.5</v>
      </c>
      <c r="ER196" s="282">
        <f t="shared" si="648"/>
        <v>2.5</v>
      </c>
      <c r="ES196" s="282">
        <f t="shared" si="633"/>
        <v>2.5</v>
      </c>
      <c r="ET196" s="590">
        <f t="shared" si="633"/>
        <v>2.5</v>
      </c>
      <c r="EU196" s="282">
        <f t="shared" si="633"/>
        <v>2.5</v>
      </c>
      <c r="EV196" s="282">
        <f t="shared" si="633"/>
        <v>2.5</v>
      </c>
      <c r="EW196" s="282">
        <f t="shared" si="634"/>
        <v>2.5</v>
      </c>
      <c r="EX196" s="282">
        <f t="shared" si="634"/>
        <v>2.5</v>
      </c>
      <c r="EY196" s="282">
        <f t="shared" si="634"/>
        <v>2.5</v>
      </c>
      <c r="EZ196" s="282">
        <f t="shared" si="635"/>
        <v>2.5</v>
      </c>
      <c r="FA196" s="590">
        <f t="shared" si="635"/>
        <v>2.5</v>
      </c>
      <c r="FB196" s="282">
        <f t="shared" si="635"/>
        <v>2.5</v>
      </c>
      <c r="FC196" s="282">
        <f t="shared" si="635"/>
        <v>2.5</v>
      </c>
      <c r="FD196" s="282">
        <f t="shared" si="636"/>
        <v>2.5</v>
      </c>
      <c r="FE196" s="282">
        <f t="shared" si="636"/>
        <v>2.5</v>
      </c>
      <c r="FF196" s="282">
        <f t="shared" si="636"/>
        <v>2.5</v>
      </c>
      <c r="FG196" s="282">
        <f t="shared" si="637"/>
        <v>2.5</v>
      </c>
      <c r="FH196" s="590">
        <f t="shared" si="637"/>
        <v>2.5</v>
      </c>
      <c r="FI196" s="282">
        <f t="shared" si="637"/>
        <v>2.5</v>
      </c>
      <c r="FJ196" s="282">
        <f t="shared" si="637"/>
        <v>2.5</v>
      </c>
      <c r="FK196" s="282">
        <f t="shared" si="638"/>
        <v>2.5</v>
      </c>
      <c r="FL196" s="282">
        <f t="shared" si="638"/>
        <v>2.5</v>
      </c>
      <c r="FM196" s="282">
        <f t="shared" si="638"/>
        <v>2.5</v>
      </c>
      <c r="FN196" s="282">
        <f t="shared" si="639"/>
        <v>2.5</v>
      </c>
      <c r="FO196" s="590">
        <f t="shared" si="639"/>
        <v>2.5</v>
      </c>
      <c r="FP196" s="282">
        <f t="shared" si="639"/>
        <v>2.5</v>
      </c>
      <c r="FQ196" s="282">
        <f t="shared" si="639"/>
        <v>2.5</v>
      </c>
      <c r="FR196" s="282">
        <f t="shared" si="640"/>
        <v>2.5</v>
      </c>
      <c r="FS196" s="282">
        <f t="shared" si="640"/>
        <v>2.5</v>
      </c>
      <c r="FT196" s="282">
        <f t="shared" si="640"/>
        <v>2.5</v>
      </c>
      <c r="FU196" s="282">
        <f t="shared" si="641"/>
        <v>2.5</v>
      </c>
      <c r="FV196" s="590">
        <f t="shared" si="641"/>
        <v>2.5</v>
      </c>
      <c r="FW196" s="534"/>
    </row>
    <row r="197" spans="1:280" outlineLevel="1" x14ac:dyDescent="0.3">
      <c r="B197" s="253" t="s">
        <v>538</v>
      </c>
      <c r="C197" s="280" t="s">
        <v>226</v>
      </c>
      <c r="D197" s="340">
        <v>27.5</v>
      </c>
      <c r="E197" s="320">
        <f t="shared" si="642"/>
        <v>0</v>
      </c>
      <c r="F197" s="341"/>
      <c r="G197" s="341"/>
      <c r="H197" s="320">
        <f t="shared" si="599"/>
        <v>0</v>
      </c>
      <c r="I197" s="320">
        <f t="shared" si="599"/>
        <v>0</v>
      </c>
      <c r="J197" s="289">
        <v>0</v>
      </c>
      <c r="K197" s="289">
        <v>18.7</v>
      </c>
      <c r="L197" s="281">
        <f t="shared" si="643"/>
        <v>0</v>
      </c>
      <c r="M197" s="326"/>
      <c r="N197" s="289">
        <v>23.4</v>
      </c>
      <c r="O197" s="281">
        <f t="shared" si="600"/>
        <v>0</v>
      </c>
      <c r="P197" s="281">
        <f t="shared" si="600"/>
        <v>0</v>
      </c>
      <c r="Q197" s="289">
        <v>0</v>
      </c>
      <c r="R197" s="289">
        <v>70.7</v>
      </c>
      <c r="S197" s="281">
        <f t="shared" si="644"/>
        <v>0</v>
      </c>
      <c r="T197" s="326"/>
      <c r="U197" s="326"/>
      <c r="V197" s="281">
        <f t="shared" si="601"/>
        <v>0</v>
      </c>
      <c r="W197" s="281">
        <f t="shared" si="601"/>
        <v>0</v>
      </c>
      <c r="X197" s="289">
        <v>0</v>
      </c>
      <c r="Y197" s="289">
        <v>34.6</v>
      </c>
      <c r="Z197" s="281">
        <f t="shared" si="645"/>
        <v>0</v>
      </c>
      <c r="AA197" s="326"/>
      <c r="AB197" s="326"/>
      <c r="AC197" s="281"/>
      <c r="AD197" s="281"/>
      <c r="AE197" s="326"/>
      <c r="AF197" s="326"/>
      <c r="AG197" s="281">
        <f t="shared" si="646"/>
        <v>0</v>
      </c>
      <c r="AH197" s="326"/>
      <c r="AI197" s="326"/>
      <c r="AJ197" s="281"/>
      <c r="AK197" s="281"/>
      <c r="AL197" s="326"/>
      <c r="AM197" s="281"/>
      <c r="AN197" s="281"/>
      <c r="AO197" s="281"/>
      <c r="AP197" s="326"/>
      <c r="AQ197" s="281"/>
      <c r="AR197" s="281"/>
      <c r="AS197" s="281"/>
      <c r="AT197" s="281"/>
      <c r="AU197" s="281"/>
      <c r="AV197" s="326"/>
      <c r="AW197" s="281"/>
      <c r="AX197" s="326"/>
      <c r="AY197" s="281"/>
      <c r="AZ197" s="281"/>
      <c r="BA197" s="289">
        <v>166.4</v>
      </c>
      <c r="BB197" s="281"/>
      <c r="BC197" s="289"/>
      <c r="BD197" s="289">
        <v>22.1</v>
      </c>
      <c r="BE197" s="281"/>
      <c r="BF197" s="281"/>
      <c r="BG197" s="281"/>
      <c r="BH197" s="289">
        <v>163.6</v>
      </c>
      <c r="BI197" s="281"/>
      <c r="BJ197" s="289"/>
      <c r="BK197" s="289">
        <v>35.5</v>
      </c>
      <c r="BL197" s="281"/>
      <c r="BM197" s="281"/>
      <c r="BN197" s="281"/>
      <c r="BO197" s="289">
        <v>232.4</v>
      </c>
      <c r="BP197" s="289">
        <v>0</v>
      </c>
      <c r="BQ197" s="281">
        <f t="shared" si="609"/>
        <v>0</v>
      </c>
      <c r="BR197" s="289">
        <v>36</v>
      </c>
      <c r="BS197" s="289"/>
      <c r="BT197" s="281"/>
      <c r="BU197" s="281"/>
      <c r="BV197" s="289">
        <f>215.8</f>
        <v>215.8</v>
      </c>
      <c r="BW197" s="289">
        <v>0</v>
      </c>
      <c r="BX197" s="281"/>
      <c r="BY197" s="289">
        <v>40.4</v>
      </c>
      <c r="BZ197" s="289">
        <v>0</v>
      </c>
      <c r="CA197" s="281">
        <f t="shared" si="610"/>
        <v>0</v>
      </c>
      <c r="CB197" s="281">
        <f t="shared" si="610"/>
        <v>0</v>
      </c>
      <c r="CC197" s="289">
        <v>128.69999999999999</v>
      </c>
      <c r="CD197" s="289">
        <v>0</v>
      </c>
      <c r="CE197" s="281">
        <f t="shared" si="611"/>
        <v>0</v>
      </c>
      <c r="CF197" s="289">
        <v>43.9</v>
      </c>
      <c r="CG197" s="289">
        <v>0</v>
      </c>
      <c r="CH197" s="281">
        <f t="shared" si="612"/>
        <v>0</v>
      </c>
      <c r="CI197" s="281">
        <f t="shared" si="612"/>
        <v>0</v>
      </c>
      <c r="CJ197" s="289">
        <f>125.8</f>
        <v>125.8</v>
      </c>
      <c r="CK197" s="289">
        <f>CM285</f>
        <v>0</v>
      </c>
      <c r="CL197" s="281">
        <f t="shared" si="613"/>
        <v>0</v>
      </c>
      <c r="CM197" s="289">
        <v>45.5</v>
      </c>
      <c r="CN197" s="289">
        <v>0</v>
      </c>
      <c r="CO197" s="281">
        <f t="shared" si="614"/>
        <v>0</v>
      </c>
      <c r="CP197" s="282">
        <f t="shared" si="614"/>
        <v>0</v>
      </c>
      <c r="CQ197" s="290">
        <v>127.8</v>
      </c>
      <c r="CR197" s="290">
        <v>0</v>
      </c>
      <c r="CS197" s="282">
        <f t="shared" si="615"/>
        <v>0</v>
      </c>
      <c r="CT197" s="290">
        <v>43.3</v>
      </c>
      <c r="CU197" s="290">
        <v>0</v>
      </c>
      <c r="CV197" s="282">
        <f t="shared" si="616"/>
        <v>0</v>
      </c>
      <c r="CW197" s="282">
        <f t="shared" si="616"/>
        <v>0</v>
      </c>
      <c r="CX197" s="291">
        <v>115.6</v>
      </c>
      <c r="CY197" s="290">
        <v>0</v>
      </c>
      <c r="CZ197" s="282">
        <f t="shared" si="617"/>
        <v>0</v>
      </c>
      <c r="DA197" s="290">
        <v>0</v>
      </c>
      <c r="DB197" s="290">
        <v>0</v>
      </c>
      <c r="DC197" s="282">
        <f t="shared" si="618"/>
        <v>0</v>
      </c>
      <c r="DD197" s="670">
        <f t="shared" si="618"/>
        <v>0</v>
      </c>
      <c r="DE197" s="290">
        <v>0</v>
      </c>
      <c r="DF197" s="290">
        <v>0</v>
      </c>
      <c r="DG197" s="282">
        <f t="shared" si="619"/>
        <v>0</v>
      </c>
      <c r="DH197" s="290">
        <v>0</v>
      </c>
      <c r="DI197" s="290">
        <v>303.7</v>
      </c>
      <c r="DJ197" s="282">
        <f t="shared" si="620"/>
        <v>303.7</v>
      </c>
      <c r="DK197" s="670">
        <f t="shared" si="620"/>
        <v>303.7</v>
      </c>
      <c r="DL197" s="292">
        <v>0</v>
      </c>
      <c r="DM197" s="290">
        <v>0</v>
      </c>
      <c r="DN197" s="282">
        <f t="shared" si="621"/>
        <v>0</v>
      </c>
      <c r="DO197" s="290">
        <v>0</v>
      </c>
      <c r="DP197" s="282">
        <f t="shared" si="622"/>
        <v>0</v>
      </c>
      <c r="DQ197" s="282">
        <f t="shared" si="622"/>
        <v>0</v>
      </c>
      <c r="DR197" s="670">
        <v>0</v>
      </c>
      <c r="DS197" s="290">
        <v>129</v>
      </c>
      <c r="DT197" s="290">
        <v>0</v>
      </c>
      <c r="DU197" s="282">
        <f t="shared" si="623"/>
        <v>0</v>
      </c>
      <c r="DV197" s="290">
        <v>0</v>
      </c>
      <c r="DW197" s="282">
        <f t="shared" si="624"/>
        <v>0</v>
      </c>
      <c r="DX197" s="282">
        <f t="shared" si="625"/>
        <v>0</v>
      </c>
      <c r="DY197" s="670">
        <v>0</v>
      </c>
      <c r="DZ197" s="290">
        <v>0</v>
      </c>
      <c r="EA197" s="290">
        <v>0</v>
      </c>
      <c r="EB197" s="282">
        <f t="shared" si="626"/>
        <v>0</v>
      </c>
      <c r="EC197" s="290">
        <v>0</v>
      </c>
      <c r="ED197" s="282">
        <f t="shared" si="627"/>
        <v>0</v>
      </c>
      <c r="EE197" s="282">
        <f t="shared" si="628"/>
        <v>0</v>
      </c>
      <c r="EF197" s="670">
        <v>0</v>
      </c>
      <c r="EG197" s="290">
        <v>0</v>
      </c>
      <c r="EH197" s="290">
        <v>0</v>
      </c>
      <c r="EI197" s="282">
        <f t="shared" si="629"/>
        <v>0</v>
      </c>
      <c r="EJ197" s="290">
        <v>0</v>
      </c>
      <c r="EK197" s="282">
        <f t="shared" si="630"/>
        <v>0</v>
      </c>
      <c r="EL197" s="282">
        <f t="shared" si="631"/>
        <v>0</v>
      </c>
      <c r="EM197" s="670">
        <v>0</v>
      </c>
      <c r="EN197" s="290">
        <v>0</v>
      </c>
      <c r="EO197" s="290">
        <v>0</v>
      </c>
      <c r="EP197" s="282">
        <f t="shared" si="632"/>
        <v>0</v>
      </c>
      <c r="EQ197" s="292">
        <v>0</v>
      </c>
      <c r="ER197" s="282">
        <f>GD285</f>
        <v>0</v>
      </c>
      <c r="ES197" s="282">
        <f t="shared" si="633"/>
        <v>0</v>
      </c>
      <c r="ET197" s="590">
        <f t="shared" si="633"/>
        <v>0</v>
      </c>
      <c r="EU197" s="282">
        <f>EV285</f>
        <v>0</v>
      </c>
      <c r="EV197" s="282">
        <f>EX285</f>
        <v>0</v>
      </c>
      <c r="EW197" s="282">
        <f t="shared" si="634"/>
        <v>0</v>
      </c>
      <c r="EX197" s="282">
        <f>EY285</f>
        <v>0</v>
      </c>
      <c r="EY197" s="282">
        <f>GK285</f>
        <v>0</v>
      </c>
      <c r="EZ197" s="282">
        <f t="shared" si="635"/>
        <v>0</v>
      </c>
      <c r="FA197" s="590">
        <f t="shared" si="635"/>
        <v>0</v>
      </c>
      <c r="FB197" s="282">
        <f>FC285</f>
        <v>0</v>
      </c>
      <c r="FC197" s="282">
        <f>FE285</f>
        <v>0</v>
      </c>
      <c r="FD197" s="282">
        <f t="shared" si="636"/>
        <v>0</v>
      </c>
      <c r="FE197" s="282">
        <f>FF285</f>
        <v>0</v>
      </c>
      <c r="FF197" s="282">
        <f>GR285</f>
        <v>0</v>
      </c>
      <c r="FG197" s="282">
        <f t="shared" si="637"/>
        <v>0</v>
      </c>
      <c r="FH197" s="590">
        <f t="shared" si="637"/>
        <v>0</v>
      </c>
      <c r="FI197" s="282">
        <f>FJ285</f>
        <v>0</v>
      </c>
      <c r="FJ197" s="282">
        <f>FL285</f>
        <v>0</v>
      </c>
      <c r="FK197" s="282">
        <f t="shared" si="638"/>
        <v>0</v>
      </c>
      <c r="FL197" s="282">
        <f>FM285</f>
        <v>0</v>
      </c>
      <c r="FM197" s="282">
        <f>GY285</f>
        <v>0</v>
      </c>
      <c r="FN197" s="282">
        <f t="shared" si="639"/>
        <v>0</v>
      </c>
      <c r="FO197" s="590">
        <f t="shared" si="639"/>
        <v>0</v>
      </c>
      <c r="FP197" s="282">
        <f>FQ285</f>
        <v>0</v>
      </c>
      <c r="FQ197" s="282">
        <f>FS285</f>
        <v>0</v>
      </c>
      <c r="FR197" s="282">
        <f t="shared" si="640"/>
        <v>0</v>
      </c>
      <c r="FS197" s="282">
        <f>FT285</f>
        <v>0</v>
      </c>
      <c r="FT197" s="282">
        <f>HF285</f>
        <v>0</v>
      </c>
      <c r="FU197" s="282">
        <f t="shared" si="641"/>
        <v>0</v>
      </c>
      <c r="FV197" s="590">
        <f t="shared" si="641"/>
        <v>0</v>
      </c>
      <c r="FW197" s="534"/>
    </row>
    <row r="198" spans="1:280" outlineLevel="1" x14ac:dyDescent="0.3">
      <c r="B198" s="253" t="s">
        <v>49</v>
      </c>
      <c r="C198" s="280" t="s">
        <v>226</v>
      </c>
      <c r="D198" s="340">
        <f>1.7+15</f>
        <v>16.7</v>
      </c>
      <c r="E198" s="320">
        <f t="shared" si="642"/>
        <v>1.2</v>
      </c>
      <c r="F198" s="340">
        <v>1.2</v>
      </c>
      <c r="G198" s="340">
        <v>1.2</v>
      </c>
      <c r="H198" s="320">
        <f t="shared" si="599"/>
        <v>3.3</v>
      </c>
      <c r="I198" s="320">
        <f t="shared" si="599"/>
        <v>3.3</v>
      </c>
      <c r="J198" s="289">
        <v>3.3</v>
      </c>
      <c r="K198" s="289">
        <v>3.2</v>
      </c>
      <c r="L198" s="281">
        <f t="shared" si="643"/>
        <v>3.1</v>
      </c>
      <c r="M198" s="289">
        <v>3.1</v>
      </c>
      <c r="N198" s="289">
        <v>6.4</v>
      </c>
      <c r="O198" s="281">
        <f t="shared" si="600"/>
        <v>9.3000000000000007</v>
      </c>
      <c r="P198" s="281">
        <f t="shared" si="600"/>
        <v>9.3000000000000007</v>
      </c>
      <c r="Q198" s="289">
        <v>9.3000000000000007</v>
      </c>
      <c r="R198" s="289">
        <v>14</v>
      </c>
      <c r="S198" s="281">
        <f t="shared" si="644"/>
        <v>14.8</v>
      </c>
      <c r="T198" s="289">
        <v>14.8</v>
      </c>
      <c r="U198" s="289">
        <v>9.1999999999999993</v>
      </c>
      <c r="V198" s="281">
        <f t="shared" si="601"/>
        <v>9.1</v>
      </c>
      <c r="W198" s="281">
        <f t="shared" si="601"/>
        <v>9.1</v>
      </c>
      <c r="X198" s="289">
        <v>9.1</v>
      </c>
      <c r="Y198" s="289">
        <v>36.799999999999997</v>
      </c>
      <c r="Z198" s="281">
        <f t="shared" si="645"/>
        <v>137.19999999999999</v>
      </c>
      <c r="AA198" s="289">
        <v>137.19999999999999</v>
      </c>
      <c r="AB198" s="289">
        <v>20.100000000000001</v>
      </c>
      <c r="AC198" s="281">
        <f>AD198</f>
        <v>9.5</v>
      </c>
      <c r="AD198" s="281">
        <f>AE198</f>
        <v>9.5</v>
      </c>
      <c r="AE198" s="289">
        <v>9.5</v>
      </c>
      <c r="AF198" s="289">
        <v>13.6</v>
      </c>
      <c r="AG198" s="281">
        <f t="shared" si="646"/>
        <v>22.1</v>
      </c>
      <c r="AH198" s="289">
        <v>22.1</v>
      </c>
      <c r="AI198" s="289">
        <v>23.4</v>
      </c>
      <c r="AJ198" s="281">
        <f>AK198</f>
        <v>27.7</v>
      </c>
      <c r="AK198" s="281">
        <f>AL198</f>
        <v>27.7</v>
      </c>
      <c r="AL198" s="289">
        <v>27.7</v>
      </c>
      <c r="AM198" s="289">
        <f>22.6</f>
        <v>22.6</v>
      </c>
      <c r="AN198" s="281">
        <f t="shared" si="647"/>
        <v>21</v>
      </c>
      <c r="AO198" s="289">
        <v>21</v>
      </c>
      <c r="AP198" s="289">
        <v>16.8</v>
      </c>
      <c r="AQ198" s="281">
        <f>AR198</f>
        <v>53.8</v>
      </c>
      <c r="AR198" s="281">
        <f>AS198</f>
        <v>53.8</v>
      </c>
      <c r="AS198" s="289">
        <v>53.8</v>
      </c>
      <c r="AT198" s="289">
        <v>22.8</v>
      </c>
      <c r="AU198" s="281">
        <f>+AV198</f>
        <v>25.6</v>
      </c>
      <c r="AV198" s="289">
        <v>25.6</v>
      </c>
      <c r="AW198" s="289">
        <v>27.7</v>
      </c>
      <c r="AX198" s="289">
        <v>19.3</v>
      </c>
      <c r="AY198" s="281">
        <f>+AX198</f>
        <v>19.3</v>
      </c>
      <c r="AZ198" s="281">
        <f>+AY198</f>
        <v>19.3</v>
      </c>
      <c r="BA198" s="289">
        <v>22.6</v>
      </c>
      <c r="BB198" s="281">
        <f>+BC198</f>
        <v>28.5</v>
      </c>
      <c r="BC198" s="289">
        <v>28.5</v>
      </c>
      <c r="BD198" s="289">
        <v>31.1</v>
      </c>
      <c r="BE198" s="281">
        <f>+BF198</f>
        <v>26.7</v>
      </c>
      <c r="BF198" s="281">
        <f>+BG198</f>
        <v>26.7</v>
      </c>
      <c r="BG198" s="289">
        <v>26.7</v>
      </c>
      <c r="BH198" s="289">
        <v>25.8</v>
      </c>
      <c r="BI198" s="281">
        <f>+BJ198</f>
        <v>25.9</v>
      </c>
      <c r="BJ198" s="289">
        <v>25.9</v>
      </c>
      <c r="BK198" s="289">
        <f>10.4+21.8</f>
        <v>32.200000000000003</v>
      </c>
      <c r="BL198" s="289">
        <v>15</v>
      </c>
      <c r="BM198" s="281">
        <f>+BL198</f>
        <v>15</v>
      </c>
      <c r="BN198" s="281">
        <f>BM198</f>
        <v>15</v>
      </c>
      <c r="BO198" s="289">
        <v>12.9</v>
      </c>
      <c r="BP198" s="289">
        <v>11.5</v>
      </c>
      <c r="BQ198" s="281">
        <f t="shared" si="609"/>
        <v>11.5</v>
      </c>
      <c r="BR198" s="289">
        <v>4.8</v>
      </c>
      <c r="BS198" s="289">
        <v>7.3</v>
      </c>
      <c r="BT198" s="281">
        <f>+BS198</f>
        <v>7.3</v>
      </c>
      <c r="BU198" s="281">
        <f>BT198</f>
        <v>7.3</v>
      </c>
      <c r="BV198" s="289">
        <f>11.1+37.3+12.1</f>
        <v>60.5</v>
      </c>
      <c r="BW198" s="289">
        <v>6.7</v>
      </c>
      <c r="BX198" s="281">
        <f>+BW198</f>
        <v>6.7</v>
      </c>
      <c r="BY198" s="289">
        <v>7.4</v>
      </c>
      <c r="BZ198" s="289">
        <v>11.9</v>
      </c>
      <c r="CA198" s="281">
        <f t="shared" si="610"/>
        <v>11.9</v>
      </c>
      <c r="CB198" s="281">
        <f t="shared" si="610"/>
        <v>11.9</v>
      </c>
      <c r="CC198" s="289">
        <v>15.7</v>
      </c>
      <c r="CD198" s="289">
        <v>13.4</v>
      </c>
      <c r="CE198" s="281">
        <f t="shared" si="611"/>
        <v>13.4</v>
      </c>
      <c r="CF198" s="289">
        <v>12.3</v>
      </c>
      <c r="CG198" s="289">
        <v>11.8</v>
      </c>
      <c r="CH198" s="281">
        <f t="shared" si="612"/>
        <v>11.8</v>
      </c>
      <c r="CI198" s="281">
        <f t="shared" si="612"/>
        <v>11.8</v>
      </c>
      <c r="CJ198" s="289">
        <f>12.4</f>
        <v>12.4</v>
      </c>
      <c r="CK198" s="289">
        <f>9.2+9.4</f>
        <v>18.600000000000001</v>
      </c>
      <c r="CL198" s="281">
        <f t="shared" si="613"/>
        <v>18.600000000000001</v>
      </c>
      <c r="CM198" s="289">
        <v>11</v>
      </c>
      <c r="CN198" s="289">
        <v>12.8</v>
      </c>
      <c r="CO198" s="281">
        <f t="shared" si="614"/>
        <v>12.8</v>
      </c>
      <c r="CP198" s="282">
        <f t="shared" si="614"/>
        <v>12.8</v>
      </c>
      <c r="CQ198" s="290">
        <v>23.4</v>
      </c>
      <c r="CR198" s="290">
        <v>13</v>
      </c>
      <c r="CS198" s="282">
        <f t="shared" si="615"/>
        <v>13</v>
      </c>
      <c r="CT198" s="290">
        <v>13.8</v>
      </c>
      <c r="CU198" s="290">
        <v>9.9</v>
      </c>
      <c r="CV198" s="282">
        <f t="shared" si="616"/>
        <v>9.9</v>
      </c>
      <c r="CW198" s="282">
        <f t="shared" si="616"/>
        <v>9.9</v>
      </c>
      <c r="CX198" s="291">
        <f>8.5+13.3+0.3</f>
        <v>22.1</v>
      </c>
      <c r="CY198" s="290">
        <f>13.1+0.3+12.1</f>
        <v>25.5</v>
      </c>
      <c r="CZ198" s="282">
        <f t="shared" si="617"/>
        <v>25.5</v>
      </c>
      <c r="DA198" s="290">
        <f>13.2+0.4+6.9+17.2</f>
        <v>37.700000000000003</v>
      </c>
      <c r="DB198" s="290">
        <f>12.1+0.5+7+14.3</f>
        <v>33.900000000000006</v>
      </c>
      <c r="DC198" s="282">
        <f t="shared" si="618"/>
        <v>33.900000000000006</v>
      </c>
      <c r="DD198" s="670">
        <f t="shared" si="618"/>
        <v>33.900000000000006</v>
      </c>
      <c r="DE198" s="290">
        <f>14.8+0.5+6.6+17.8</f>
        <v>39.700000000000003</v>
      </c>
      <c r="DF198" s="290">
        <f>15.1+1.1+7.2+19.2</f>
        <v>42.599999999999994</v>
      </c>
      <c r="DG198" s="282">
        <f t="shared" si="619"/>
        <v>42.599999999999994</v>
      </c>
      <c r="DH198" s="290">
        <f>16+0.8+6.8+25.5</f>
        <v>49.1</v>
      </c>
      <c r="DI198" s="290">
        <f>32.7+7.8+1+6</f>
        <v>47.5</v>
      </c>
      <c r="DJ198" s="282">
        <f t="shared" si="620"/>
        <v>47.5</v>
      </c>
      <c r="DK198" s="670">
        <f t="shared" si="620"/>
        <v>47.5</v>
      </c>
      <c r="DL198" s="292">
        <f>8.3+1+27.9</f>
        <v>37.200000000000003</v>
      </c>
      <c r="DM198" s="290">
        <f>9.1+0.9+7.6+33.6</f>
        <v>51.2</v>
      </c>
      <c r="DN198" s="282">
        <f t="shared" si="621"/>
        <v>51.2</v>
      </c>
      <c r="DO198" s="290">
        <f>9.3+1+7.4+53.2</f>
        <v>70.900000000000006</v>
      </c>
      <c r="DP198" s="282">
        <f t="shared" si="622"/>
        <v>43</v>
      </c>
      <c r="DQ198" s="282">
        <f t="shared" si="622"/>
        <v>43</v>
      </c>
      <c r="DR198" s="670">
        <f>29.4+12.5+1.1</f>
        <v>43</v>
      </c>
      <c r="DS198" s="490">
        <f>44.1+14+1.2</f>
        <v>59.300000000000004</v>
      </c>
      <c r="DT198" s="290">
        <f>28.5+13.7+1</f>
        <v>43.2</v>
      </c>
      <c r="DU198" s="282">
        <f t="shared" si="623"/>
        <v>43.2</v>
      </c>
      <c r="DV198" s="290">
        <f>25+17.8+0.9</f>
        <v>43.699999999999996</v>
      </c>
      <c r="DW198" s="282">
        <f t="shared" si="624"/>
        <v>59.3</v>
      </c>
      <c r="DX198" s="282">
        <f t="shared" si="625"/>
        <v>59.3</v>
      </c>
      <c r="DY198" s="670">
        <f>40.4+18.1+0.8</f>
        <v>59.3</v>
      </c>
      <c r="DZ198" s="490">
        <f>26.7+18.4+1.1</f>
        <v>46.199999999999996</v>
      </c>
      <c r="EA198" s="290">
        <f>16.1+19.6+1.1</f>
        <v>36.800000000000004</v>
      </c>
      <c r="EB198" s="282">
        <f t="shared" si="626"/>
        <v>36.800000000000004</v>
      </c>
      <c r="EC198" s="290">
        <f>16.4+19.3+1.2</f>
        <v>36.900000000000006</v>
      </c>
      <c r="ED198" s="282">
        <f t="shared" si="627"/>
        <v>45</v>
      </c>
      <c r="EE198" s="282">
        <f t="shared" si="628"/>
        <v>45</v>
      </c>
      <c r="EF198" s="670">
        <f>19+26</f>
        <v>45</v>
      </c>
      <c r="EG198" s="490">
        <f>20.3+22.3</f>
        <v>42.6</v>
      </c>
      <c r="EH198" s="290">
        <f>21.2+39.3</f>
        <v>60.5</v>
      </c>
      <c r="EI198" s="282">
        <f t="shared" si="629"/>
        <v>60.5</v>
      </c>
      <c r="EJ198" s="290">
        <f>20.7+34.4</f>
        <v>55.099999999999994</v>
      </c>
      <c r="EK198" s="282">
        <f t="shared" si="630"/>
        <v>81.800000000000011</v>
      </c>
      <c r="EL198" s="282">
        <f t="shared" si="631"/>
        <v>81.800000000000011</v>
      </c>
      <c r="EM198" s="670">
        <f>21.6+60.2</f>
        <v>81.800000000000011</v>
      </c>
      <c r="EN198" s="490">
        <f>21.8+81.9</f>
        <v>103.7</v>
      </c>
      <c r="EO198" s="290">
        <f>27.9+55.9+5.3</f>
        <v>89.1</v>
      </c>
      <c r="EP198" s="282">
        <f t="shared" si="632"/>
        <v>89.1</v>
      </c>
      <c r="EQ198" s="718">
        <f>31.6+5.4+59.7</f>
        <v>96.7</v>
      </c>
      <c r="ER198" s="282">
        <f>EQ198</f>
        <v>96.7</v>
      </c>
      <c r="ES198" s="282">
        <f t="shared" si="633"/>
        <v>96.7</v>
      </c>
      <c r="ET198" s="590">
        <f t="shared" si="633"/>
        <v>96.7</v>
      </c>
      <c r="EU198" s="282">
        <f>ET198</f>
        <v>96.7</v>
      </c>
      <c r="EV198" s="282">
        <f>EU198</f>
        <v>96.7</v>
      </c>
      <c r="EW198" s="282">
        <f t="shared" si="634"/>
        <v>96.7</v>
      </c>
      <c r="EX198" s="282">
        <f>EW198</f>
        <v>96.7</v>
      </c>
      <c r="EY198" s="282">
        <f>EX198</f>
        <v>96.7</v>
      </c>
      <c r="EZ198" s="282">
        <f t="shared" si="635"/>
        <v>96.7</v>
      </c>
      <c r="FA198" s="590">
        <f t="shared" si="635"/>
        <v>96.7</v>
      </c>
      <c r="FB198" s="282">
        <f>FA198</f>
        <v>96.7</v>
      </c>
      <c r="FC198" s="282">
        <f>FB198</f>
        <v>96.7</v>
      </c>
      <c r="FD198" s="282">
        <f t="shared" si="636"/>
        <v>96.7</v>
      </c>
      <c r="FE198" s="282">
        <f>FD198</f>
        <v>96.7</v>
      </c>
      <c r="FF198" s="282">
        <f>FE198</f>
        <v>96.7</v>
      </c>
      <c r="FG198" s="282">
        <f t="shared" si="637"/>
        <v>96.7</v>
      </c>
      <c r="FH198" s="590">
        <f t="shared" si="637"/>
        <v>96.7</v>
      </c>
      <c r="FI198" s="282">
        <f>FH198</f>
        <v>96.7</v>
      </c>
      <c r="FJ198" s="282">
        <f>FI198</f>
        <v>96.7</v>
      </c>
      <c r="FK198" s="282">
        <f t="shared" si="638"/>
        <v>96.7</v>
      </c>
      <c r="FL198" s="282">
        <f>FK198</f>
        <v>96.7</v>
      </c>
      <c r="FM198" s="282">
        <f>FL198</f>
        <v>96.7</v>
      </c>
      <c r="FN198" s="282">
        <f t="shared" si="639"/>
        <v>96.7</v>
      </c>
      <c r="FO198" s="590">
        <f t="shared" si="639"/>
        <v>96.7</v>
      </c>
      <c r="FP198" s="282">
        <f>FO198</f>
        <v>96.7</v>
      </c>
      <c r="FQ198" s="282">
        <f>FP198</f>
        <v>96.7</v>
      </c>
      <c r="FR198" s="282">
        <f t="shared" si="640"/>
        <v>96.7</v>
      </c>
      <c r="FS198" s="282">
        <f>FR198</f>
        <v>96.7</v>
      </c>
      <c r="FT198" s="282">
        <f>FS198</f>
        <v>96.7</v>
      </c>
      <c r="FU198" s="282">
        <f t="shared" si="641"/>
        <v>96.7</v>
      </c>
      <c r="FV198" s="590">
        <f t="shared" si="641"/>
        <v>96.7</v>
      </c>
      <c r="FW198" s="534"/>
    </row>
    <row r="199" spans="1:280" s="247" customFormat="1" outlineLevel="1" x14ac:dyDescent="0.3">
      <c r="A199" s="485"/>
      <c r="B199" s="486" t="s">
        <v>539</v>
      </c>
      <c r="C199" s="280" t="s">
        <v>226</v>
      </c>
      <c r="D199" s="370">
        <f t="shared" ref="D199:AL199" si="649">SUM(D191:D198)</f>
        <v>254.3</v>
      </c>
      <c r="E199" s="370">
        <f t="shared" si="649"/>
        <v>218.5</v>
      </c>
      <c r="F199" s="370">
        <f t="shared" si="649"/>
        <v>218.5</v>
      </c>
      <c r="G199" s="370">
        <f t="shared" si="649"/>
        <v>226</v>
      </c>
      <c r="H199" s="370">
        <f t="shared" si="649"/>
        <v>506</v>
      </c>
      <c r="I199" s="370">
        <f t="shared" si="649"/>
        <v>506</v>
      </c>
      <c r="J199" s="369">
        <f t="shared" si="649"/>
        <v>506</v>
      </c>
      <c r="K199" s="369">
        <f t="shared" si="649"/>
        <v>351.3</v>
      </c>
      <c r="L199" s="369">
        <f t="shared" si="649"/>
        <v>317.60000000000002</v>
      </c>
      <c r="M199" s="369">
        <f t="shared" si="649"/>
        <v>317.60000000000002</v>
      </c>
      <c r="N199" s="369">
        <f t="shared" si="649"/>
        <v>284.79999999999995</v>
      </c>
      <c r="O199" s="369">
        <f t="shared" si="649"/>
        <v>317.60000000000002</v>
      </c>
      <c r="P199" s="369">
        <f t="shared" si="649"/>
        <v>317.60000000000002</v>
      </c>
      <c r="Q199" s="369">
        <f t="shared" si="649"/>
        <v>317.60000000000002</v>
      </c>
      <c r="R199" s="369">
        <f t="shared" si="649"/>
        <v>411</v>
      </c>
      <c r="S199" s="369">
        <f t="shared" si="649"/>
        <v>388.40000000000003</v>
      </c>
      <c r="T199" s="369">
        <f t="shared" si="649"/>
        <v>388.40000000000003</v>
      </c>
      <c r="U199" s="369">
        <f t="shared" si="649"/>
        <v>367.7</v>
      </c>
      <c r="V199" s="369">
        <f t="shared" si="649"/>
        <v>349.2</v>
      </c>
      <c r="W199" s="369">
        <f t="shared" si="649"/>
        <v>349.2</v>
      </c>
      <c r="X199" s="369">
        <f t="shared" si="649"/>
        <v>349.2</v>
      </c>
      <c r="Y199" s="369">
        <f t="shared" si="649"/>
        <v>395.80000000000007</v>
      </c>
      <c r="Z199" s="369">
        <f t="shared" si="649"/>
        <v>479.19999999999993</v>
      </c>
      <c r="AA199" s="369">
        <f t="shared" si="649"/>
        <v>479.19999999999993</v>
      </c>
      <c r="AB199" s="369">
        <f t="shared" si="649"/>
        <v>388.2</v>
      </c>
      <c r="AC199" s="369">
        <f t="shared" si="649"/>
        <v>315</v>
      </c>
      <c r="AD199" s="369">
        <f t="shared" si="649"/>
        <v>315</v>
      </c>
      <c r="AE199" s="369">
        <f t="shared" si="649"/>
        <v>315</v>
      </c>
      <c r="AF199" s="369">
        <f t="shared" si="649"/>
        <v>473.6</v>
      </c>
      <c r="AG199" s="369">
        <f t="shared" si="649"/>
        <v>458.7</v>
      </c>
      <c r="AH199" s="369">
        <f t="shared" si="649"/>
        <v>458.7</v>
      </c>
      <c r="AI199" s="369">
        <f t="shared" si="649"/>
        <v>394.09999999999997</v>
      </c>
      <c r="AJ199" s="369">
        <f t="shared" si="649"/>
        <v>414.1</v>
      </c>
      <c r="AK199" s="369">
        <f t="shared" si="649"/>
        <v>414.1</v>
      </c>
      <c r="AL199" s="369">
        <f t="shared" si="649"/>
        <v>414.1</v>
      </c>
      <c r="AM199" s="369">
        <f t="shared" ref="AM199:CX199" si="650">SUM(AM191:AM198)</f>
        <v>294.50000000000006</v>
      </c>
      <c r="AN199" s="369">
        <f t="shared" si="650"/>
        <v>309.5</v>
      </c>
      <c r="AO199" s="369">
        <f t="shared" si="650"/>
        <v>309.5</v>
      </c>
      <c r="AP199" s="369">
        <f t="shared" si="650"/>
        <v>275.50000000000006</v>
      </c>
      <c r="AQ199" s="369">
        <f t="shared" si="650"/>
        <v>322.5</v>
      </c>
      <c r="AR199" s="369">
        <f t="shared" si="650"/>
        <v>322.5</v>
      </c>
      <c r="AS199" s="369">
        <f t="shared" si="650"/>
        <v>322.5</v>
      </c>
      <c r="AT199" s="369">
        <f t="shared" si="650"/>
        <v>281.8</v>
      </c>
      <c r="AU199" s="369">
        <f t="shared" si="650"/>
        <v>274.90000000000003</v>
      </c>
      <c r="AV199" s="369">
        <f t="shared" si="650"/>
        <v>274.90000000000003</v>
      </c>
      <c r="AW199" s="369">
        <f t="shared" si="650"/>
        <v>300.5</v>
      </c>
      <c r="AX199" s="369">
        <f t="shared" si="650"/>
        <v>403.1</v>
      </c>
      <c r="AY199" s="369">
        <f t="shared" si="650"/>
        <v>403.1</v>
      </c>
      <c r="AZ199" s="369">
        <f t="shared" si="650"/>
        <v>403.1</v>
      </c>
      <c r="BA199" s="369">
        <f t="shared" si="650"/>
        <v>527.4</v>
      </c>
      <c r="BB199" s="369">
        <f t="shared" si="650"/>
        <v>297.60000000000002</v>
      </c>
      <c r="BC199" s="369">
        <f t="shared" si="650"/>
        <v>297.60000000000002</v>
      </c>
      <c r="BD199" s="369">
        <f t="shared" si="650"/>
        <v>317.60000000000002</v>
      </c>
      <c r="BE199" s="369">
        <f t="shared" si="650"/>
        <v>317.29999999999995</v>
      </c>
      <c r="BF199" s="369">
        <f t="shared" si="650"/>
        <v>317.29999999999995</v>
      </c>
      <c r="BG199" s="369">
        <f t="shared" si="650"/>
        <v>317.29999999999995</v>
      </c>
      <c r="BH199" s="369">
        <f t="shared" si="650"/>
        <v>465.8</v>
      </c>
      <c r="BI199" s="369">
        <f t="shared" si="650"/>
        <v>331.9</v>
      </c>
      <c r="BJ199" s="369">
        <f t="shared" si="650"/>
        <v>331.9</v>
      </c>
      <c r="BK199" s="369">
        <f t="shared" si="650"/>
        <v>374.9</v>
      </c>
      <c r="BL199" s="369">
        <f t="shared" si="650"/>
        <v>537.19999999999993</v>
      </c>
      <c r="BM199" s="369">
        <f t="shared" si="650"/>
        <v>537.19999999999993</v>
      </c>
      <c r="BN199" s="369">
        <f t="shared" si="650"/>
        <v>537.19999999999993</v>
      </c>
      <c r="BO199" s="369">
        <f t="shared" si="650"/>
        <v>632.09999999999991</v>
      </c>
      <c r="BP199" s="369">
        <f t="shared" si="650"/>
        <v>357.20000000000005</v>
      </c>
      <c r="BQ199" s="369">
        <f t="shared" si="650"/>
        <v>357.20000000000005</v>
      </c>
      <c r="BR199" s="369">
        <f t="shared" si="650"/>
        <v>362.70000000000005</v>
      </c>
      <c r="BS199" s="369">
        <f t="shared" si="650"/>
        <v>377.90000000000003</v>
      </c>
      <c r="BT199" s="369">
        <f>SUM(BT191:BT198)</f>
        <v>377.90000000000003</v>
      </c>
      <c r="BU199" s="369">
        <f>SUM(BU191:BU198)</f>
        <v>377.90000000000003</v>
      </c>
      <c r="BV199" s="369">
        <f t="shared" si="650"/>
        <v>606.20000000000005</v>
      </c>
      <c r="BW199" s="369">
        <f t="shared" si="650"/>
        <v>438.9</v>
      </c>
      <c r="BX199" s="369">
        <f t="shared" si="650"/>
        <v>438.9</v>
      </c>
      <c r="BY199" s="369">
        <f t="shared" si="650"/>
        <v>411.39999999999992</v>
      </c>
      <c r="BZ199" s="369">
        <f t="shared" si="650"/>
        <v>399.80000000000007</v>
      </c>
      <c r="CA199" s="369">
        <f t="shared" si="650"/>
        <v>399.80000000000007</v>
      </c>
      <c r="CB199" s="369">
        <f t="shared" si="650"/>
        <v>399.80000000000007</v>
      </c>
      <c r="CC199" s="369">
        <f t="shared" si="650"/>
        <v>555.5</v>
      </c>
      <c r="CD199" s="369">
        <f t="shared" si="650"/>
        <v>372.09999999999997</v>
      </c>
      <c r="CE199" s="369">
        <f>SUM(CE191:CE198)</f>
        <v>372.09999999999997</v>
      </c>
      <c r="CF199" s="369">
        <f t="shared" si="650"/>
        <v>445.09999999999997</v>
      </c>
      <c r="CG199" s="369">
        <f t="shared" si="650"/>
        <v>428.8</v>
      </c>
      <c r="CH199" s="369">
        <f>SUM(CH191:CH198)</f>
        <v>428.8</v>
      </c>
      <c r="CI199" s="369">
        <f>SUM(CI191:CI198)</f>
        <v>428.8</v>
      </c>
      <c r="CJ199" s="369">
        <f t="shared" si="650"/>
        <v>502.99999999999994</v>
      </c>
      <c r="CK199" s="369">
        <f t="shared" si="650"/>
        <v>379.20000000000005</v>
      </c>
      <c r="CL199" s="369">
        <f t="shared" si="650"/>
        <v>379.20000000000005</v>
      </c>
      <c r="CM199" s="369">
        <f t="shared" si="650"/>
        <v>434.5</v>
      </c>
      <c r="CN199" s="369">
        <f>SUM(CN191:CN198)</f>
        <v>394.59999999999997</v>
      </c>
      <c r="CO199" s="369">
        <f>SUM(CO191:CO198)</f>
        <v>394.59999999999997</v>
      </c>
      <c r="CP199" s="487">
        <f>SUM(CP191:CP198)</f>
        <v>394.59999999999997</v>
      </c>
      <c r="CQ199" s="487">
        <f t="shared" si="650"/>
        <v>1055.3000000000002</v>
      </c>
      <c r="CR199" s="487">
        <f t="shared" si="650"/>
        <v>473.40000000000003</v>
      </c>
      <c r="CS199" s="487">
        <f>SUM(CS191:CS198)</f>
        <v>473.40000000000003</v>
      </c>
      <c r="CT199" s="487">
        <f>SUM(CT191:CT198)</f>
        <v>538.49999999999989</v>
      </c>
      <c r="CU199" s="487">
        <f>SUM(CU191:CU198)</f>
        <v>482.99999999999994</v>
      </c>
      <c r="CV199" s="487">
        <f>SUM(CV191:CV198)</f>
        <v>482.99999999999994</v>
      </c>
      <c r="CW199" s="487">
        <f>SUM(CW191:CW198)</f>
        <v>482.99999999999994</v>
      </c>
      <c r="CX199" s="487">
        <f t="shared" si="650"/>
        <v>632.1</v>
      </c>
      <c r="CY199" s="487">
        <f t="shared" ref="CY199:DT199" si="651">SUM(CY191:CY198)</f>
        <v>482.09999999999997</v>
      </c>
      <c r="CZ199" s="487">
        <f t="shared" si="651"/>
        <v>482.09999999999997</v>
      </c>
      <c r="DA199" s="487">
        <f t="shared" si="651"/>
        <v>508.2</v>
      </c>
      <c r="DB199" s="493">
        <f>SUM(DB191:DB198)</f>
        <v>509.99999999999989</v>
      </c>
      <c r="DC199" s="487">
        <f>SUM(DC191:DC198)</f>
        <v>509.99999999999989</v>
      </c>
      <c r="DD199" s="613">
        <f>SUM(DD191:DD198)</f>
        <v>509.99999999999989</v>
      </c>
      <c r="DE199" s="488">
        <f t="shared" si="651"/>
        <v>514.20000000000005</v>
      </c>
      <c r="DF199" s="487">
        <f t="shared" si="651"/>
        <v>545.20000000000005</v>
      </c>
      <c r="DG199" s="487">
        <f>SUM(DG191:DG198)</f>
        <v>545.20000000000005</v>
      </c>
      <c r="DH199" s="487">
        <f t="shared" si="651"/>
        <v>1008.5</v>
      </c>
      <c r="DI199" s="488">
        <f t="shared" si="651"/>
        <v>901.10000000000014</v>
      </c>
      <c r="DJ199" s="487">
        <f t="shared" si="651"/>
        <v>901.10000000000014</v>
      </c>
      <c r="DK199" s="613">
        <f t="shared" si="651"/>
        <v>901.10000000000014</v>
      </c>
      <c r="DL199" s="489">
        <f t="shared" si="651"/>
        <v>603.30000000000007</v>
      </c>
      <c r="DM199" s="487">
        <f t="shared" si="651"/>
        <v>611.70000000000005</v>
      </c>
      <c r="DN199" s="487">
        <f>SUM(DN191:DN198)</f>
        <v>611.70000000000005</v>
      </c>
      <c r="DO199" s="488">
        <f t="shared" si="651"/>
        <v>688.5</v>
      </c>
      <c r="DP199" s="487">
        <f t="shared" si="651"/>
        <v>769.9</v>
      </c>
      <c r="DQ199" s="487">
        <f t="shared" si="651"/>
        <v>769.9</v>
      </c>
      <c r="DR199" s="613">
        <f t="shared" si="651"/>
        <v>769.9</v>
      </c>
      <c r="DS199" s="487">
        <f t="shared" si="651"/>
        <v>900.09999999999991</v>
      </c>
      <c r="DT199" s="487">
        <f t="shared" si="651"/>
        <v>687.1</v>
      </c>
      <c r="DU199" s="487">
        <f>SUM(DU191:DU198)</f>
        <v>687.1</v>
      </c>
      <c r="DV199" s="545">
        <f t="shared" ref="DV199:EA199" si="652">SUM(DV191:DV198)</f>
        <v>675.5</v>
      </c>
      <c r="DW199" s="487">
        <f t="shared" si="652"/>
        <v>697.29999999999984</v>
      </c>
      <c r="DX199" s="487">
        <f t="shared" si="652"/>
        <v>697.29999999999984</v>
      </c>
      <c r="DY199" s="613">
        <f t="shared" si="652"/>
        <v>697.29999999999984</v>
      </c>
      <c r="DZ199" s="487">
        <f t="shared" si="652"/>
        <v>689.80000000000007</v>
      </c>
      <c r="EA199" s="487">
        <f t="shared" si="652"/>
        <v>679.19999999999993</v>
      </c>
      <c r="EB199" s="487">
        <f>SUM(EB191:EB198)</f>
        <v>679.19999999999993</v>
      </c>
      <c r="EC199" s="487">
        <f t="shared" ref="EC199:EH199" si="653">SUM(EC191:EC198)</f>
        <v>749.0999999999998</v>
      </c>
      <c r="ED199" s="487">
        <f t="shared" si="653"/>
        <v>797.70000000000016</v>
      </c>
      <c r="EE199" s="487">
        <f t="shared" si="653"/>
        <v>797.70000000000016</v>
      </c>
      <c r="EF199" s="613">
        <f t="shared" si="653"/>
        <v>797.70000000000016</v>
      </c>
      <c r="EG199" s="487">
        <f t="shared" si="653"/>
        <v>745.30000000000007</v>
      </c>
      <c r="EH199" s="487">
        <f t="shared" si="653"/>
        <v>719.10000000000014</v>
      </c>
      <c r="EI199" s="487">
        <f>SUM(EI191:EI198)</f>
        <v>719.10000000000014</v>
      </c>
      <c r="EJ199" s="487">
        <f>SUM(EJ191:EJ198)</f>
        <v>684.50000000000011</v>
      </c>
      <c r="EK199" s="487">
        <f>SUM(EK191:EK198)</f>
        <v>810.19999999999982</v>
      </c>
      <c r="EL199" s="487">
        <f>SUM(EL191:EL198)</f>
        <v>810.19999999999982</v>
      </c>
      <c r="EM199" s="613">
        <f>SUM(EM191:EM198)</f>
        <v>810.19999999999982</v>
      </c>
      <c r="EN199" s="487">
        <f t="shared" ref="EN199:EO199" si="654">SUM(EN191:EN198)</f>
        <v>843.6</v>
      </c>
      <c r="EO199" s="487">
        <f t="shared" si="654"/>
        <v>1130.1999999999998</v>
      </c>
      <c r="EP199" s="487">
        <f>SUM(EP191:EP198)</f>
        <v>1130.1999999999998</v>
      </c>
      <c r="EQ199" s="492">
        <f t="shared" ref="EQ199" si="655">SUM(EQ191:EQ198)</f>
        <v>1113.8</v>
      </c>
      <c r="ER199" s="487">
        <f t="shared" ref="ER199:FV199" si="656">SUM(ER191:ER198)</f>
        <v>1096.9671934342784</v>
      </c>
      <c r="ES199" s="487">
        <f t="shared" si="656"/>
        <v>1096.9671934342784</v>
      </c>
      <c r="ET199" s="613">
        <f t="shared" si="656"/>
        <v>1096.9671934342784</v>
      </c>
      <c r="EU199" s="487">
        <f t="shared" si="656"/>
        <v>1227.1437040685844</v>
      </c>
      <c r="EV199" s="487">
        <f t="shared" si="656"/>
        <v>1202.7844842735669</v>
      </c>
      <c r="EW199" s="487">
        <f t="shared" si="656"/>
        <v>1202.7844842735669</v>
      </c>
      <c r="EX199" s="487">
        <f t="shared" si="656"/>
        <v>1198.9635165149411</v>
      </c>
      <c r="EY199" s="487">
        <f t="shared" si="656"/>
        <v>1152.063117812974</v>
      </c>
      <c r="EZ199" s="487">
        <f t="shared" si="656"/>
        <v>1152.063117812974</v>
      </c>
      <c r="FA199" s="613">
        <f t="shared" si="656"/>
        <v>1152.063117812974</v>
      </c>
      <c r="FB199" s="487">
        <f t="shared" si="656"/>
        <v>1299.2783563344551</v>
      </c>
      <c r="FC199" s="487">
        <f t="shared" si="656"/>
        <v>1283.2556730996962</v>
      </c>
      <c r="FD199" s="487">
        <f t="shared" si="656"/>
        <v>1283.2556730996962</v>
      </c>
      <c r="FE199" s="487">
        <f t="shared" si="656"/>
        <v>1278.8230474341533</v>
      </c>
      <c r="FF199" s="487">
        <f t="shared" si="656"/>
        <v>1221.5321004245536</v>
      </c>
      <c r="FG199" s="487">
        <f t="shared" si="656"/>
        <v>1221.5321004245536</v>
      </c>
      <c r="FH199" s="613">
        <f t="shared" si="656"/>
        <v>1221.5321004245536</v>
      </c>
      <c r="FI199" s="487">
        <f t="shared" si="656"/>
        <v>1367.005394036674</v>
      </c>
      <c r="FJ199" s="487">
        <f t="shared" si="656"/>
        <v>1345.6279713841673</v>
      </c>
      <c r="FK199" s="487">
        <f t="shared" si="656"/>
        <v>1345.6279713841673</v>
      </c>
      <c r="FL199" s="487">
        <f t="shared" si="656"/>
        <v>1339.3905361560242</v>
      </c>
      <c r="FM199" s="487">
        <f t="shared" si="656"/>
        <v>1272.6048145186528</v>
      </c>
      <c r="FN199" s="487">
        <f t="shared" si="656"/>
        <v>1272.6048145186528</v>
      </c>
      <c r="FO199" s="613">
        <f t="shared" si="656"/>
        <v>1272.6048145186528</v>
      </c>
      <c r="FP199" s="487">
        <f t="shared" si="656"/>
        <v>1431.3590988169144</v>
      </c>
      <c r="FQ199" s="487">
        <f t="shared" si="656"/>
        <v>1414.7937401736317</v>
      </c>
      <c r="FR199" s="487">
        <f t="shared" si="656"/>
        <v>1414.7937401736317</v>
      </c>
      <c r="FS199" s="487">
        <f t="shared" si="656"/>
        <v>1411.1465296367414</v>
      </c>
      <c r="FT199" s="487">
        <f t="shared" si="656"/>
        <v>1335.8277341429557</v>
      </c>
      <c r="FU199" s="487">
        <f t="shared" si="656"/>
        <v>1335.8277341429557</v>
      </c>
      <c r="FV199" s="613">
        <f t="shared" si="656"/>
        <v>1335.8277341429557</v>
      </c>
      <c r="FW199" s="645"/>
      <c r="FX199" s="639"/>
      <c r="FY199" s="639"/>
      <c r="FZ199" s="639"/>
      <c r="GA199" s="639"/>
      <c r="GB199"/>
      <c r="GC199"/>
      <c r="GD199"/>
      <c r="GE199"/>
      <c r="GF199"/>
      <c r="GG199"/>
      <c r="GH199" s="532"/>
      <c r="GI199" s="532"/>
      <c r="GJ199" s="532"/>
      <c r="GK199" s="532"/>
      <c r="GL199" s="532"/>
      <c r="GM199" s="532"/>
      <c r="GN199" s="532"/>
      <c r="GO199" s="532"/>
      <c r="GP199" s="532"/>
      <c r="GQ199" s="532"/>
      <c r="GR199" s="532"/>
      <c r="GS199" s="532"/>
      <c r="GT199" s="532"/>
      <c r="GU199" s="532"/>
      <c r="GV199" s="532"/>
      <c r="GW199" s="532"/>
      <c r="GX199" s="532"/>
      <c r="GY199" s="532"/>
      <c r="GZ199" s="532"/>
      <c r="HA199" s="532"/>
      <c r="HB199" s="532"/>
      <c r="HC199" s="532"/>
      <c r="HD199" s="532"/>
      <c r="HE199" s="532"/>
      <c r="HF199" s="532"/>
      <c r="HG199" s="532"/>
      <c r="HH199" s="532"/>
      <c r="HI199" s="532"/>
      <c r="HJ199" s="532"/>
      <c r="HK199" s="532"/>
      <c r="HL199" s="532"/>
      <c r="HM199" s="532"/>
      <c r="HN199" s="532"/>
      <c r="HO199" s="532"/>
      <c r="HP199" s="532"/>
      <c r="HQ199" s="532"/>
      <c r="HR199" s="532"/>
      <c r="HS199" s="532"/>
      <c r="HT199" s="532"/>
      <c r="HU199" s="532"/>
      <c r="HV199" s="532"/>
      <c r="HW199" s="532"/>
      <c r="HX199" s="532"/>
      <c r="HY199" s="532"/>
      <c r="HZ199" s="532"/>
      <c r="IA199" s="532"/>
      <c r="IB199" s="532"/>
      <c r="IC199" s="532"/>
      <c r="ID199" s="532"/>
      <c r="IE199" s="532"/>
      <c r="IF199" s="532"/>
      <c r="IG199" s="532"/>
      <c r="IH199" s="532"/>
      <c r="II199" s="532"/>
      <c r="IJ199" s="532"/>
      <c r="IK199" s="532"/>
      <c r="IL199" s="532"/>
      <c r="IM199" s="532"/>
      <c r="IN199" s="532"/>
      <c r="IO199" s="532"/>
      <c r="IP199" s="532"/>
      <c r="IQ199" s="532"/>
      <c r="IR199" s="532"/>
      <c r="IS199" s="532"/>
      <c r="IT199" s="532"/>
      <c r="IU199" s="532"/>
      <c r="IV199" s="532"/>
      <c r="IW199" s="532"/>
      <c r="IX199" s="532"/>
      <c r="IY199" s="532"/>
      <c r="IZ199" s="532"/>
      <c r="JA199" s="532"/>
      <c r="JB199" s="532"/>
      <c r="JC199" s="532"/>
      <c r="JD199" s="532"/>
      <c r="JE199" s="532"/>
      <c r="JF199" s="532"/>
      <c r="JG199" s="532"/>
      <c r="JH199" s="532"/>
      <c r="JI199" s="532"/>
      <c r="JJ199" s="532"/>
      <c r="JK199" s="532"/>
      <c r="JL199" s="532"/>
      <c r="JM199" s="532"/>
      <c r="JN199" s="532"/>
      <c r="JO199" s="532"/>
      <c r="JP199" s="532"/>
      <c r="JQ199" s="532"/>
      <c r="JR199" s="532"/>
      <c r="JS199" s="532"/>
      <c r="JT199" s="532"/>
    </row>
    <row r="200" spans="1:280" outlineLevel="1" x14ac:dyDescent="0.3">
      <c r="B200" s="273" t="s">
        <v>540</v>
      </c>
      <c r="C200" s="415"/>
      <c r="D200" s="273"/>
      <c r="E200" s="273"/>
      <c r="F200" s="273"/>
      <c r="G200" s="273"/>
      <c r="H200" s="273"/>
      <c r="I200" s="273"/>
      <c r="J200" s="273"/>
      <c r="K200" s="273"/>
      <c r="L200" s="273"/>
      <c r="M200" s="273"/>
      <c r="N200" s="273"/>
      <c r="O200" s="273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3"/>
      <c r="AK200" s="273"/>
      <c r="AL200" s="273"/>
      <c r="AM200" s="273"/>
      <c r="AN200" s="273"/>
      <c r="AO200" s="273"/>
      <c r="AP200" s="273"/>
      <c r="AQ200" s="273"/>
      <c r="AR200" s="273"/>
      <c r="AS200" s="273"/>
      <c r="AT200" s="273"/>
      <c r="AU200" s="273"/>
      <c r="AV200" s="273">
        <v>60</v>
      </c>
      <c r="AW200" s="273"/>
      <c r="AX200" s="273"/>
      <c r="AY200" s="273"/>
      <c r="AZ200" s="273"/>
      <c r="BA200" s="273"/>
      <c r="BB200" s="273"/>
      <c r="BC200" s="273"/>
      <c r="BD200" s="273"/>
      <c r="BE200" s="273"/>
      <c r="BF200" s="273"/>
      <c r="BG200" s="273"/>
      <c r="BH200" s="273"/>
      <c r="BI200" s="273"/>
      <c r="BJ200" s="273"/>
      <c r="BK200" s="273"/>
      <c r="BL200" s="273"/>
      <c r="BM200" s="273"/>
      <c r="BN200" s="273"/>
      <c r="BO200" s="273"/>
      <c r="BP200" s="273"/>
      <c r="BQ200" s="273"/>
      <c r="BR200" s="273"/>
      <c r="BS200" s="273"/>
      <c r="BT200" s="273"/>
      <c r="BU200" s="273"/>
      <c r="BV200" s="273"/>
      <c r="BW200" s="273"/>
      <c r="BX200" s="273"/>
      <c r="BY200" s="273"/>
      <c r="BZ200" s="273"/>
      <c r="CA200" s="273"/>
      <c r="CB200" s="273"/>
      <c r="CC200" s="273"/>
      <c r="CD200" s="273"/>
      <c r="CE200" s="273"/>
      <c r="CF200" s="273"/>
      <c r="CG200" s="273"/>
      <c r="CH200" s="273"/>
      <c r="CI200" s="273"/>
      <c r="CJ200" s="273"/>
      <c r="CK200" s="273"/>
      <c r="CL200" s="273"/>
      <c r="CM200" s="273"/>
      <c r="CN200" s="273"/>
      <c r="CO200" s="273"/>
      <c r="CP200" s="273"/>
      <c r="CQ200" s="273"/>
      <c r="CR200" s="273"/>
      <c r="CS200" s="273"/>
      <c r="CT200" s="273"/>
      <c r="CU200" s="273"/>
      <c r="CV200" s="273"/>
      <c r="CW200" s="273"/>
      <c r="CX200" s="273"/>
      <c r="CY200" s="273"/>
      <c r="CZ200" s="273"/>
      <c r="DA200" s="273"/>
      <c r="DB200" s="273"/>
      <c r="DC200" s="273"/>
      <c r="DD200" s="602"/>
      <c r="DE200" s="273"/>
      <c r="DF200" s="273"/>
      <c r="DG200" s="273"/>
      <c r="DH200" s="273"/>
      <c r="DI200" s="273"/>
      <c r="DJ200" s="273"/>
      <c r="DK200" s="602"/>
      <c r="DL200" s="416"/>
      <c r="DM200" s="273"/>
      <c r="DN200" s="273"/>
      <c r="DO200" s="273"/>
      <c r="DP200" s="273"/>
      <c r="DQ200" s="273"/>
      <c r="DR200" s="602"/>
      <c r="DS200" s="273"/>
      <c r="DT200" s="273"/>
      <c r="DU200" s="273"/>
      <c r="DV200" s="273"/>
      <c r="DW200" s="273"/>
      <c r="DX200" s="273"/>
      <c r="DY200" s="602"/>
      <c r="DZ200" s="273"/>
      <c r="EA200" s="273"/>
      <c r="EB200" s="273"/>
      <c r="EC200" s="273"/>
      <c r="ED200" s="273"/>
      <c r="EE200" s="273"/>
      <c r="EF200" s="602"/>
      <c r="EG200" s="273"/>
      <c r="EH200" s="273"/>
      <c r="EI200" s="273"/>
      <c r="EJ200" s="273"/>
      <c r="EK200" s="273"/>
      <c r="EL200" s="273"/>
      <c r="EM200" s="602"/>
      <c r="EN200" s="273"/>
      <c r="EO200" s="273"/>
      <c r="EP200" s="273"/>
      <c r="EQ200" s="416"/>
      <c r="ER200" s="273"/>
      <c r="ES200" s="273"/>
      <c r="ET200" s="602"/>
      <c r="EU200" s="273"/>
      <c r="EV200" s="273"/>
      <c r="EW200" s="273"/>
      <c r="EX200" s="273"/>
      <c r="EY200" s="273"/>
      <c r="EZ200" s="273"/>
      <c r="FA200" s="602"/>
      <c r="FB200" s="273"/>
      <c r="FC200" s="273"/>
      <c r="FD200" s="273"/>
      <c r="FE200" s="273"/>
      <c r="FF200" s="273"/>
      <c r="FG200" s="273"/>
      <c r="FH200" s="602"/>
      <c r="FI200" s="273"/>
      <c r="FJ200" s="273"/>
      <c r="FK200" s="273"/>
      <c r="FL200" s="273"/>
      <c r="FM200" s="273"/>
      <c r="FN200" s="273"/>
      <c r="FO200" s="602"/>
      <c r="FP200" s="273"/>
      <c r="FQ200" s="273"/>
      <c r="FR200" s="273"/>
      <c r="FS200" s="273"/>
      <c r="FT200" s="273"/>
      <c r="FU200" s="273"/>
      <c r="FV200" s="602"/>
    </row>
    <row r="201" spans="1:280" outlineLevel="1" x14ac:dyDescent="0.3">
      <c r="B201" s="253" t="s">
        <v>541</v>
      </c>
      <c r="C201" s="280" t="s">
        <v>226</v>
      </c>
      <c r="D201" s="340">
        <v>121.7</v>
      </c>
      <c r="E201" s="320">
        <f t="shared" ref="E201:E206" si="657">F201</f>
        <v>121.7</v>
      </c>
      <c r="F201" s="340">
        <v>121.7</v>
      </c>
      <c r="G201" s="340">
        <v>94.6</v>
      </c>
      <c r="H201" s="320">
        <f t="shared" ref="H201:I206" si="658">I201</f>
        <v>0</v>
      </c>
      <c r="I201" s="320">
        <f t="shared" si="658"/>
        <v>0</v>
      </c>
      <c r="J201" s="281"/>
      <c r="K201" s="281"/>
      <c r="L201" s="281">
        <f t="shared" ref="L201:L206" si="659">M201</f>
        <v>0</v>
      </c>
      <c r="M201" s="281"/>
      <c r="N201" s="281"/>
      <c r="O201" s="281">
        <f t="shared" ref="O201:P206" si="660">P201</f>
        <v>105</v>
      </c>
      <c r="P201" s="281">
        <f t="shared" si="660"/>
        <v>105</v>
      </c>
      <c r="Q201" s="289">
        <v>105</v>
      </c>
      <c r="R201" s="289">
        <v>65</v>
      </c>
      <c r="S201" s="281">
        <f t="shared" ref="S201:S206" si="661">T201</f>
        <v>30</v>
      </c>
      <c r="T201" s="289">
        <v>30</v>
      </c>
      <c r="U201" s="289">
        <v>196.5</v>
      </c>
      <c r="V201" s="281">
        <f t="shared" ref="V201:W206" si="662">W201</f>
        <v>174.5</v>
      </c>
      <c r="W201" s="281">
        <f t="shared" si="662"/>
        <v>174.5</v>
      </c>
      <c r="X201" s="289">
        <v>174.5</v>
      </c>
      <c r="Y201" s="289">
        <v>222.8</v>
      </c>
      <c r="Z201" s="281">
        <f t="shared" ref="Z201:Z206" si="663">AA201</f>
        <v>161.5</v>
      </c>
      <c r="AA201" s="289">
        <v>161.5</v>
      </c>
      <c r="AB201" s="289">
        <v>201</v>
      </c>
      <c r="AC201" s="281">
        <f t="shared" ref="AC201:AD206" si="664">AD201</f>
        <v>230.7</v>
      </c>
      <c r="AD201" s="281">
        <f t="shared" si="664"/>
        <v>230.7</v>
      </c>
      <c r="AE201" s="289">
        <v>230.7</v>
      </c>
      <c r="AF201" s="289">
        <v>25</v>
      </c>
      <c r="AG201" s="281">
        <f t="shared" ref="AG201:AG206" si="665">AH201</f>
        <v>18</v>
      </c>
      <c r="AH201" s="289">
        <v>18</v>
      </c>
      <c r="AI201" s="289">
        <v>53</v>
      </c>
      <c r="AJ201" s="281">
        <f t="shared" ref="AJ201:AK206" si="666">AK201</f>
        <v>59</v>
      </c>
      <c r="AK201" s="281">
        <f t="shared" si="666"/>
        <v>59</v>
      </c>
      <c r="AL201" s="289">
        <v>59</v>
      </c>
      <c r="AM201" s="289">
        <v>170</v>
      </c>
      <c r="AN201" s="281">
        <f t="shared" ref="AN201:AN206" si="667">AO201</f>
        <v>112</v>
      </c>
      <c r="AO201" s="289">
        <v>112</v>
      </c>
      <c r="AP201" s="281">
        <f>AO201+AP122-(AP192-AO192)</f>
        <v>82</v>
      </c>
      <c r="AQ201" s="281">
        <f t="shared" ref="AQ201:AR206" si="668">AR201</f>
        <v>59</v>
      </c>
      <c r="AR201" s="281">
        <f t="shared" si="668"/>
        <v>59</v>
      </c>
      <c r="AS201" s="289">
        <v>59</v>
      </c>
      <c r="AT201" s="289">
        <v>103</v>
      </c>
      <c r="AU201" s="281">
        <f t="shared" ref="AU201:AU206" si="669">+AV201</f>
        <v>60</v>
      </c>
      <c r="AV201" s="281">
        <f>AS201+AV122-(AV192-AS192)</f>
        <v>60</v>
      </c>
      <c r="AW201" s="281">
        <f>AV201+AW122-(AW192-AV192)</f>
        <v>13</v>
      </c>
      <c r="AX201" s="289">
        <v>0</v>
      </c>
      <c r="AY201" s="281">
        <f>+AX201</f>
        <v>0</v>
      </c>
      <c r="AZ201" s="281">
        <f>+AY201</f>
        <v>0</v>
      </c>
      <c r="BA201" s="289">
        <v>0</v>
      </c>
      <c r="BB201" s="289">
        <v>0</v>
      </c>
      <c r="BC201" s="281">
        <f>+BB201</f>
        <v>0</v>
      </c>
      <c r="BD201" s="289">
        <v>0</v>
      </c>
      <c r="BE201" s="281">
        <f>BD201</f>
        <v>0</v>
      </c>
      <c r="BF201" s="281">
        <f t="shared" ref="BE201:BF206" si="670">+BG201</f>
        <v>0</v>
      </c>
      <c r="BG201" s="289">
        <v>0</v>
      </c>
      <c r="BH201" s="289">
        <v>0</v>
      </c>
      <c r="BI201" s="281">
        <f t="shared" ref="BI201:BI206" si="671">+BJ201</f>
        <v>0</v>
      </c>
      <c r="BJ201" s="289">
        <f>BG201+BJ122-(BJ192-BG192)</f>
        <v>0</v>
      </c>
      <c r="BK201" s="289">
        <v>0</v>
      </c>
      <c r="BL201" s="281"/>
      <c r="BM201" s="281">
        <f t="shared" ref="BM201:BN203" si="672">BL201</f>
        <v>0</v>
      </c>
      <c r="BN201" s="281">
        <f t="shared" si="672"/>
        <v>0</v>
      </c>
      <c r="BO201" s="289">
        <v>0</v>
      </c>
      <c r="BP201" s="289">
        <v>380</v>
      </c>
      <c r="BQ201" s="281">
        <f t="shared" ref="BQ201:BQ206" si="673">+BP201</f>
        <v>380</v>
      </c>
      <c r="BR201" s="289">
        <v>390</v>
      </c>
      <c r="BS201" s="289">
        <v>397.5</v>
      </c>
      <c r="BT201" s="281">
        <f t="shared" ref="BT201:BU203" si="674">BS201</f>
        <v>397.5</v>
      </c>
      <c r="BU201" s="281">
        <f t="shared" si="674"/>
        <v>397.5</v>
      </c>
      <c r="BV201" s="289">
        <f>382.6</f>
        <v>382.6</v>
      </c>
      <c r="BW201" s="289">
        <v>492.6</v>
      </c>
      <c r="BX201" s="281">
        <f>BW201</f>
        <v>492.6</v>
      </c>
      <c r="BY201" s="289">
        <v>497.7</v>
      </c>
      <c r="BZ201" s="289">
        <v>512.79999999999995</v>
      </c>
      <c r="CA201" s="281">
        <f t="shared" ref="CA201:CB206" si="675">BZ201</f>
        <v>512.79999999999995</v>
      </c>
      <c r="CB201" s="281">
        <f t="shared" si="675"/>
        <v>512.79999999999995</v>
      </c>
      <c r="CC201" s="289">
        <v>392.4</v>
      </c>
      <c r="CD201" s="289">
        <v>613.5</v>
      </c>
      <c r="CE201" s="281">
        <f t="shared" ref="CE201:CE206" si="676">CD201</f>
        <v>613.5</v>
      </c>
      <c r="CF201" s="289">
        <v>499</v>
      </c>
      <c r="CG201" s="289">
        <v>564.5</v>
      </c>
      <c r="CH201" s="281">
        <f t="shared" ref="CH201:CI206" si="677">CG201</f>
        <v>564.5</v>
      </c>
      <c r="CI201" s="281">
        <f t="shared" si="677"/>
        <v>564.5</v>
      </c>
      <c r="CJ201" s="289">
        <v>540.1</v>
      </c>
      <c r="CK201" s="281">
        <v>680.7</v>
      </c>
      <c r="CL201" s="281">
        <f t="shared" ref="CL201:CL206" si="678">CK201</f>
        <v>680.7</v>
      </c>
      <c r="CM201" s="289">
        <v>783.9</v>
      </c>
      <c r="CN201" s="289">
        <v>884.4</v>
      </c>
      <c r="CO201" s="281">
        <f t="shared" ref="CO201:CP206" si="679">CN201</f>
        <v>884.4</v>
      </c>
      <c r="CP201" s="282">
        <f t="shared" si="679"/>
        <v>884.4</v>
      </c>
      <c r="CQ201" s="290">
        <v>785</v>
      </c>
      <c r="CR201" s="290">
        <v>1370.3</v>
      </c>
      <c r="CS201" s="282">
        <f t="shared" ref="CS201:CS206" si="680">CR201</f>
        <v>1370.3</v>
      </c>
      <c r="CT201" s="290">
        <v>1307.3</v>
      </c>
      <c r="CU201" s="290">
        <v>1380.3</v>
      </c>
      <c r="CV201" s="282">
        <f t="shared" ref="CV201:CW206" si="681">CU201</f>
        <v>1380.3</v>
      </c>
      <c r="CW201" s="282">
        <f t="shared" si="681"/>
        <v>1380.3</v>
      </c>
      <c r="CX201" s="291">
        <v>1306.2</v>
      </c>
      <c r="CY201" s="290">
        <v>1429.9</v>
      </c>
      <c r="CZ201" s="282">
        <f t="shared" ref="CZ201:CZ206" si="682">CY201</f>
        <v>1429.9</v>
      </c>
      <c r="DA201" s="290">
        <v>1411.7</v>
      </c>
      <c r="DB201" s="290">
        <v>1354.6</v>
      </c>
      <c r="DC201" s="282">
        <f t="shared" ref="DC201:DD206" si="683">DB201</f>
        <v>1354.6</v>
      </c>
      <c r="DD201" s="670">
        <f t="shared" si="683"/>
        <v>1354.6</v>
      </c>
      <c r="DE201" s="290">
        <v>1234.4000000000001</v>
      </c>
      <c r="DF201" s="290">
        <v>1254.8</v>
      </c>
      <c r="DG201" s="282">
        <f t="shared" ref="DG201:DG206" si="684">DF201</f>
        <v>1254.8</v>
      </c>
      <c r="DH201" s="290">
        <v>881.5</v>
      </c>
      <c r="DI201" s="290">
        <v>858.6</v>
      </c>
      <c r="DJ201" s="282">
        <f t="shared" ref="DJ201:DK206" si="685">DI201</f>
        <v>858.6</v>
      </c>
      <c r="DK201" s="670">
        <f t="shared" si="685"/>
        <v>858.6</v>
      </c>
      <c r="DL201" s="292">
        <v>936.8</v>
      </c>
      <c r="DM201" s="290">
        <v>855.7</v>
      </c>
      <c r="DN201" s="282">
        <f t="shared" ref="DN201:DN206" si="686">DM201</f>
        <v>855.7</v>
      </c>
      <c r="DO201" s="290">
        <v>892.8</v>
      </c>
      <c r="DP201" s="282">
        <f t="shared" ref="DP201:DQ206" si="687">+DQ201</f>
        <v>877.3</v>
      </c>
      <c r="DQ201" s="282">
        <f t="shared" si="687"/>
        <v>877.3</v>
      </c>
      <c r="DR201" s="670">
        <v>877.3</v>
      </c>
      <c r="DS201" s="290">
        <v>859.4</v>
      </c>
      <c r="DT201" s="290">
        <v>933.8</v>
      </c>
      <c r="DU201" s="282">
        <f t="shared" ref="DU201:DU206" si="688">DT201</f>
        <v>933.8</v>
      </c>
      <c r="DV201" s="290">
        <v>988.1</v>
      </c>
      <c r="DW201" s="282">
        <f t="shared" ref="DW201:DW206" si="689">+DX201</f>
        <v>1059</v>
      </c>
      <c r="DX201" s="282">
        <f t="shared" ref="DX201:DX206" si="690">+DY201</f>
        <v>1059</v>
      </c>
      <c r="DY201" s="670">
        <v>1059</v>
      </c>
      <c r="DZ201" s="290">
        <v>977.9</v>
      </c>
      <c r="EA201" s="290">
        <v>956.8</v>
      </c>
      <c r="EB201" s="282">
        <f t="shared" ref="EB201:EB206" si="691">EA201</f>
        <v>956.8</v>
      </c>
      <c r="EC201" s="290">
        <v>1128.0999999999999</v>
      </c>
      <c r="ED201" s="282">
        <f t="shared" ref="ED201:ED206" si="692">+EE201</f>
        <v>1115.0999999999999</v>
      </c>
      <c r="EE201" s="282">
        <f t="shared" ref="EE201:EE206" si="693">+EF201</f>
        <v>1115.0999999999999</v>
      </c>
      <c r="EF201" s="670">
        <v>1115.0999999999999</v>
      </c>
      <c r="EG201" s="290">
        <v>1110.2</v>
      </c>
      <c r="EH201" s="290">
        <v>1127.8</v>
      </c>
      <c r="EI201" s="282">
        <f t="shared" ref="EI201:EI206" si="694">EH201</f>
        <v>1127.8</v>
      </c>
      <c r="EJ201" s="290">
        <v>1096.2</v>
      </c>
      <c r="EK201" s="282">
        <f t="shared" ref="EK201:EK206" si="695">+EL201</f>
        <v>1110.0999999999999</v>
      </c>
      <c r="EL201" s="282">
        <f t="shared" ref="EL201:EL206" si="696">+EM201</f>
        <v>1110.0999999999999</v>
      </c>
      <c r="EM201" s="670">
        <v>1110.0999999999999</v>
      </c>
      <c r="EN201" s="290">
        <v>2524.9</v>
      </c>
      <c r="EO201" s="290">
        <v>4972.2</v>
      </c>
      <c r="EP201" s="282">
        <f t="shared" ref="EP201:EP206" si="697">EO201</f>
        <v>4972.2</v>
      </c>
      <c r="EQ201" s="292">
        <v>4565.1000000000004</v>
      </c>
      <c r="ER201" s="282">
        <f>EQ201+ER122-(ER192-EQ192)</f>
        <v>4464.6442456470968</v>
      </c>
      <c r="ES201" s="282">
        <f t="shared" ref="ES201:ET206" si="698">ER201</f>
        <v>4464.6442456470968</v>
      </c>
      <c r="ET201" s="590">
        <f t="shared" si="698"/>
        <v>4464.6442456470968</v>
      </c>
      <c r="EU201" s="282">
        <f>ET201+EU122-(EU192-ET192)</f>
        <v>4217.6404353048329</v>
      </c>
      <c r="EV201" s="282">
        <f>EU201+EV122-(EV192-EU192)</f>
        <v>4132.8653234241519</v>
      </c>
      <c r="EW201" s="282">
        <f t="shared" ref="EW201:EW206" si="699">EV201</f>
        <v>4132.8653234241519</v>
      </c>
      <c r="EX201" s="282">
        <f>EW201+EX122-(EX192-EW192)</f>
        <v>3964.1032581994436</v>
      </c>
      <c r="EY201" s="282">
        <f>EX201+EY122-(EY192-EX192)</f>
        <v>3897.4707719910557</v>
      </c>
      <c r="EZ201" s="282">
        <f t="shared" ref="EZ201:FA206" si="700">EY201</f>
        <v>3897.4707719910557</v>
      </c>
      <c r="FA201" s="590">
        <f t="shared" si="700"/>
        <v>3897.4707719910557</v>
      </c>
      <c r="FB201" s="282">
        <f>FA201+FB122-(FB192-FA192)</f>
        <v>3601.0748080240564</v>
      </c>
      <c r="FC201" s="282">
        <f>FB201+FC122-(FC192-FB192)</f>
        <v>3477.9599895838951</v>
      </c>
      <c r="FD201" s="282">
        <f t="shared" ref="FD201:FD206" si="701">FC201</f>
        <v>3477.9599895838951</v>
      </c>
      <c r="FE201" s="282">
        <f>FD201+FE122-(FE192-FD192)</f>
        <v>3249.9486947313903</v>
      </c>
      <c r="FF201" s="282">
        <f>FE201+FF122-(FF192-FE192)</f>
        <v>3142.5968014750019</v>
      </c>
      <c r="FG201" s="282">
        <f t="shared" ref="FG201:FH206" si="702">FF201</f>
        <v>3142.5968014750019</v>
      </c>
      <c r="FH201" s="590">
        <f t="shared" si="702"/>
        <v>3142.5968014750019</v>
      </c>
      <c r="FI201" s="282">
        <f>FH201+FI122-(FI192-FH192)</f>
        <v>2781.2962812249812</v>
      </c>
      <c r="FJ201" s="282">
        <f>FI201+FJ122-(FJ192-FI192)</f>
        <v>2620.4786955525037</v>
      </c>
      <c r="FK201" s="282">
        <f t="shared" ref="FK201:FK206" si="703">FJ201</f>
        <v>2620.4786955525037</v>
      </c>
      <c r="FL201" s="282">
        <f>FK201+FL122-(FL192-FK192)</f>
        <v>2349.0139226758574</v>
      </c>
      <c r="FM201" s="282">
        <f>FL201+FM122-(FM192-FL192)</f>
        <v>2207.0636530367037</v>
      </c>
      <c r="FN201" s="282">
        <f t="shared" ref="FN201:FO206" si="704">FM201</f>
        <v>2207.0636530367037</v>
      </c>
      <c r="FO201" s="590">
        <f t="shared" si="704"/>
        <v>2207.0636530367037</v>
      </c>
      <c r="FP201" s="282">
        <f>FO201+FP122-(FP192-FO192)</f>
        <v>1797.9115683811567</v>
      </c>
      <c r="FQ201" s="282">
        <f>FP201+FQ122-(FQ192-FP192)</f>
        <v>1597.8672228452776</v>
      </c>
      <c r="FR201" s="282">
        <f t="shared" ref="FR201:FR206" si="705">FQ201</f>
        <v>1597.8672228452776</v>
      </c>
      <c r="FS201" s="282">
        <f>FR201+FS122-(FS192-FR192)</f>
        <v>1278.4216176024606</v>
      </c>
      <c r="FT201" s="282">
        <f>FS201+FT122-(FT192-FS192)</f>
        <v>1097.6824386772096</v>
      </c>
      <c r="FU201" s="282">
        <f t="shared" ref="FU201:FV206" si="706">FT201</f>
        <v>1097.6824386772096</v>
      </c>
      <c r="FV201" s="590">
        <f t="shared" si="706"/>
        <v>1097.6824386772096</v>
      </c>
      <c r="FW201" s="534"/>
    </row>
    <row r="202" spans="1:280" outlineLevel="1" x14ac:dyDescent="0.3">
      <c r="B202" s="253" t="s">
        <v>542</v>
      </c>
      <c r="C202" s="280" t="s">
        <v>226</v>
      </c>
      <c r="D202" s="340">
        <v>4.4000000000000004</v>
      </c>
      <c r="E202" s="320">
        <f t="shared" si="657"/>
        <v>4.5999999999999996</v>
      </c>
      <c r="F202" s="340">
        <v>4.5999999999999996</v>
      </c>
      <c r="G202" s="340">
        <v>4.2</v>
      </c>
      <c r="H202" s="320">
        <f t="shared" si="658"/>
        <v>4.0999999999999996</v>
      </c>
      <c r="I202" s="320">
        <f t="shared" si="658"/>
        <v>4.0999999999999996</v>
      </c>
      <c r="J202" s="289">
        <v>4.0999999999999996</v>
      </c>
      <c r="K202" s="289">
        <v>7.5</v>
      </c>
      <c r="L202" s="281">
        <f t="shared" si="659"/>
        <v>7.3</v>
      </c>
      <c r="M202" s="289">
        <v>7.3</v>
      </c>
      <c r="N202" s="289">
        <v>6.9</v>
      </c>
      <c r="O202" s="281">
        <f t="shared" si="660"/>
        <v>9.5</v>
      </c>
      <c r="P202" s="281">
        <f t="shared" si="660"/>
        <v>9.5</v>
      </c>
      <c r="Q202" s="289">
        <v>9.5</v>
      </c>
      <c r="R202" s="289">
        <v>9.8000000000000007</v>
      </c>
      <c r="S202" s="281">
        <f t="shared" si="661"/>
        <v>10</v>
      </c>
      <c r="T202" s="289">
        <v>10</v>
      </c>
      <c r="U202" s="289">
        <v>10.1</v>
      </c>
      <c r="V202" s="281">
        <f t="shared" si="662"/>
        <v>10.8</v>
      </c>
      <c r="W202" s="281">
        <f t="shared" si="662"/>
        <v>10.8</v>
      </c>
      <c r="X202" s="289">
        <v>10.8</v>
      </c>
      <c r="Y202" s="289">
        <v>11.3</v>
      </c>
      <c r="Z202" s="281">
        <f t="shared" si="663"/>
        <v>12.5</v>
      </c>
      <c r="AA202" s="289">
        <v>12.5</v>
      </c>
      <c r="AB202" s="289">
        <v>14.7</v>
      </c>
      <c r="AC202" s="281">
        <f t="shared" si="664"/>
        <v>17.5</v>
      </c>
      <c r="AD202" s="281">
        <f t="shared" si="664"/>
        <v>17.5</v>
      </c>
      <c r="AE202" s="289">
        <v>17.5</v>
      </c>
      <c r="AF202" s="289">
        <v>19.5</v>
      </c>
      <c r="AG202" s="281">
        <f t="shared" si="665"/>
        <v>20.100000000000001</v>
      </c>
      <c r="AH202" s="289">
        <v>20.100000000000001</v>
      </c>
      <c r="AI202" s="289">
        <v>18.7</v>
      </c>
      <c r="AJ202" s="281">
        <f t="shared" si="666"/>
        <v>18.2</v>
      </c>
      <c r="AK202" s="281">
        <f t="shared" si="666"/>
        <v>18.2</v>
      </c>
      <c r="AL202" s="289">
        <v>18.2</v>
      </c>
      <c r="AM202" s="289">
        <v>18.3</v>
      </c>
      <c r="AN202" s="281">
        <f t="shared" si="667"/>
        <v>17.2</v>
      </c>
      <c r="AO202" s="289">
        <v>17.2</v>
      </c>
      <c r="AP202" s="289">
        <v>19.8</v>
      </c>
      <c r="AQ202" s="281">
        <f t="shared" si="668"/>
        <v>20.100000000000001</v>
      </c>
      <c r="AR202" s="281">
        <f t="shared" si="668"/>
        <v>20.100000000000001</v>
      </c>
      <c r="AS202" s="289">
        <v>20.100000000000001</v>
      </c>
      <c r="AT202" s="289">
        <v>19.399999999999999</v>
      </c>
      <c r="AU202" s="281">
        <f t="shared" si="669"/>
        <v>18.3</v>
      </c>
      <c r="AV202" s="289">
        <v>18.3</v>
      </c>
      <c r="AW202" s="281">
        <f>19.2</f>
        <v>19.2</v>
      </c>
      <c r="AX202" s="289">
        <v>19.600000000000001</v>
      </c>
      <c r="AY202" s="281">
        <f>+AX202</f>
        <v>19.600000000000001</v>
      </c>
      <c r="AZ202" s="281">
        <f>AY202</f>
        <v>19.600000000000001</v>
      </c>
      <c r="BA202" s="289">
        <v>20.5</v>
      </c>
      <c r="BB202" s="281">
        <f>+BC202</f>
        <v>20.399999999999999</v>
      </c>
      <c r="BC202" s="289">
        <v>20.399999999999999</v>
      </c>
      <c r="BD202" s="289">
        <v>20.8</v>
      </c>
      <c r="BE202" s="281">
        <f t="shared" si="670"/>
        <v>20.5</v>
      </c>
      <c r="BF202" s="281">
        <f t="shared" si="670"/>
        <v>20.5</v>
      </c>
      <c r="BG202" s="289">
        <v>20.5</v>
      </c>
      <c r="BH202" s="289">
        <v>20.3</v>
      </c>
      <c r="BI202" s="281">
        <f t="shared" si="671"/>
        <v>20.3</v>
      </c>
      <c r="BJ202" s="289">
        <v>20.3</v>
      </c>
      <c r="BK202" s="289">
        <v>21.4</v>
      </c>
      <c r="BL202" s="289">
        <v>23.7</v>
      </c>
      <c r="BM202" s="281">
        <f t="shared" si="672"/>
        <v>23.7</v>
      </c>
      <c r="BN202" s="281">
        <f t="shared" si="672"/>
        <v>23.7</v>
      </c>
      <c r="BO202" s="289">
        <v>25.8</v>
      </c>
      <c r="BP202" s="289">
        <v>24.6</v>
      </c>
      <c r="BQ202" s="281">
        <f t="shared" si="673"/>
        <v>24.6</v>
      </c>
      <c r="BR202" s="289">
        <v>26</v>
      </c>
      <c r="BS202" s="289">
        <v>26.3</v>
      </c>
      <c r="BT202" s="281">
        <f t="shared" si="674"/>
        <v>26.3</v>
      </c>
      <c r="BU202" s="281">
        <f t="shared" si="674"/>
        <v>26.3</v>
      </c>
      <c r="BV202" s="289">
        <f>23</f>
        <v>23</v>
      </c>
      <c r="BW202" s="289">
        <v>26.3</v>
      </c>
      <c r="BX202" s="281">
        <f>BW202</f>
        <v>26.3</v>
      </c>
      <c r="BY202" s="289">
        <v>29.5</v>
      </c>
      <c r="BZ202" s="289">
        <v>33.1</v>
      </c>
      <c r="CA202" s="281">
        <f t="shared" si="675"/>
        <v>33.1</v>
      </c>
      <c r="CB202" s="281">
        <f t="shared" si="675"/>
        <v>33.1</v>
      </c>
      <c r="CC202" s="289">
        <v>36.5</v>
      </c>
      <c r="CD202" s="289">
        <v>36.9</v>
      </c>
      <c r="CE202" s="281">
        <f t="shared" si="676"/>
        <v>36.9</v>
      </c>
      <c r="CF202" s="289">
        <v>37.200000000000003</v>
      </c>
      <c r="CG202" s="289">
        <v>37.200000000000003</v>
      </c>
      <c r="CH202" s="281">
        <f t="shared" si="677"/>
        <v>37.200000000000003</v>
      </c>
      <c r="CI202" s="281">
        <f t="shared" si="677"/>
        <v>37.200000000000003</v>
      </c>
      <c r="CJ202" s="289">
        <v>37.200000000000003</v>
      </c>
      <c r="CK202" s="281">
        <v>44</v>
      </c>
      <c r="CL202" s="281">
        <f t="shared" si="678"/>
        <v>44</v>
      </c>
      <c r="CM202" s="289">
        <v>45.1</v>
      </c>
      <c r="CN202" s="289">
        <v>45.5</v>
      </c>
      <c r="CO202" s="281">
        <f t="shared" si="679"/>
        <v>45.5</v>
      </c>
      <c r="CP202" s="282">
        <f t="shared" si="679"/>
        <v>45.5</v>
      </c>
      <c r="CQ202" s="290">
        <v>45</v>
      </c>
      <c r="CR202" s="290">
        <v>43</v>
      </c>
      <c r="CS202" s="282">
        <f t="shared" si="680"/>
        <v>43</v>
      </c>
      <c r="CT202" s="290">
        <v>41.6</v>
      </c>
      <c r="CU202" s="290">
        <v>39.799999999999997</v>
      </c>
      <c r="CV202" s="282">
        <f t="shared" si="681"/>
        <v>39.799999999999997</v>
      </c>
      <c r="CW202" s="282">
        <f t="shared" si="681"/>
        <v>39.799999999999997</v>
      </c>
      <c r="CX202" s="291">
        <v>38.9</v>
      </c>
      <c r="CY202" s="290">
        <v>37.5</v>
      </c>
      <c r="CZ202" s="282">
        <f t="shared" si="682"/>
        <v>37.5</v>
      </c>
      <c r="DA202" s="290">
        <v>36.5</v>
      </c>
      <c r="DB202" s="290">
        <v>35.4</v>
      </c>
      <c r="DC202" s="282">
        <f t="shared" si="683"/>
        <v>35.4</v>
      </c>
      <c r="DD202" s="670">
        <f t="shared" si="683"/>
        <v>35.4</v>
      </c>
      <c r="DE202" s="290">
        <v>36.200000000000003</v>
      </c>
      <c r="DF202" s="290">
        <v>35.700000000000003</v>
      </c>
      <c r="DG202" s="282">
        <f t="shared" si="684"/>
        <v>35.700000000000003</v>
      </c>
      <c r="DH202" s="290">
        <v>35.1</v>
      </c>
      <c r="DI202" s="290">
        <v>33.6</v>
      </c>
      <c r="DJ202" s="282">
        <f t="shared" si="685"/>
        <v>33.6</v>
      </c>
      <c r="DK202" s="670">
        <f t="shared" si="685"/>
        <v>33.6</v>
      </c>
      <c r="DL202" s="292">
        <v>32.9</v>
      </c>
      <c r="DM202" s="290">
        <v>31.3</v>
      </c>
      <c r="DN202" s="282">
        <f t="shared" si="686"/>
        <v>31.3</v>
      </c>
      <c r="DO202" s="290">
        <v>31.2</v>
      </c>
      <c r="DP202" s="282">
        <f t="shared" si="687"/>
        <v>31</v>
      </c>
      <c r="DQ202" s="282">
        <f t="shared" si="687"/>
        <v>31</v>
      </c>
      <c r="DR202" s="670">
        <v>31</v>
      </c>
      <c r="DS202" s="290">
        <v>30.8</v>
      </c>
      <c r="DT202" s="290">
        <v>30.6</v>
      </c>
      <c r="DU202" s="282">
        <f t="shared" si="688"/>
        <v>30.6</v>
      </c>
      <c r="DV202" s="290">
        <v>31.4</v>
      </c>
      <c r="DW202" s="282">
        <f t="shared" si="689"/>
        <v>30.2</v>
      </c>
      <c r="DX202" s="282">
        <f t="shared" si="690"/>
        <v>30.2</v>
      </c>
      <c r="DY202" s="670">
        <v>30.2</v>
      </c>
      <c r="DZ202" s="290">
        <v>31.4</v>
      </c>
      <c r="EA202" s="290">
        <v>30.6</v>
      </c>
      <c r="EB202" s="282">
        <f t="shared" si="691"/>
        <v>30.6</v>
      </c>
      <c r="EC202" s="290">
        <v>30.1</v>
      </c>
      <c r="ED202" s="282">
        <f t="shared" si="692"/>
        <v>28.9</v>
      </c>
      <c r="EE202" s="282">
        <f t="shared" si="693"/>
        <v>28.9</v>
      </c>
      <c r="EF202" s="670">
        <v>28.9</v>
      </c>
      <c r="EG202" s="290">
        <v>28.3</v>
      </c>
      <c r="EH202" s="290">
        <v>28.6</v>
      </c>
      <c r="EI202" s="282">
        <f t="shared" si="694"/>
        <v>28.6</v>
      </c>
      <c r="EJ202" s="290">
        <v>27.7</v>
      </c>
      <c r="EK202" s="282">
        <f t="shared" si="695"/>
        <v>26.9</v>
      </c>
      <c r="EL202" s="282">
        <f t="shared" si="696"/>
        <v>26.9</v>
      </c>
      <c r="EM202" s="670">
        <v>26.9</v>
      </c>
      <c r="EN202" s="290">
        <v>27</v>
      </c>
      <c r="EO202" s="290">
        <v>42.4</v>
      </c>
      <c r="EP202" s="282">
        <f t="shared" si="697"/>
        <v>42.4</v>
      </c>
      <c r="EQ202" s="292">
        <v>42.5</v>
      </c>
      <c r="ER202" s="282">
        <f>EQ202</f>
        <v>42.5</v>
      </c>
      <c r="ES202" s="282">
        <f t="shared" si="698"/>
        <v>42.5</v>
      </c>
      <c r="ET202" s="590">
        <f t="shared" si="698"/>
        <v>42.5</v>
      </c>
      <c r="EU202" s="282">
        <f>ET202</f>
        <v>42.5</v>
      </c>
      <c r="EV202" s="282">
        <f>EU202</f>
        <v>42.5</v>
      </c>
      <c r="EW202" s="282">
        <f t="shared" si="699"/>
        <v>42.5</v>
      </c>
      <c r="EX202" s="282">
        <f>EW202</f>
        <v>42.5</v>
      </c>
      <c r="EY202" s="282">
        <f>EX202</f>
        <v>42.5</v>
      </c>
      <c r="EZ202" s="282">
        <f t="shared" si="700"/>
        <v>42.5</v>
      </c>
      <c r="FA202" s="590">
        <f t="shared" si="700"/>
        <v>42.5</v>
      </c>
      <c r="FB202" s="282">
        <f>FA202</f>
        <v>42.5</v>
      </c>
      <c r="FC202" s="282">
        <f>FB202</f>
        <v>42.5</v>
      </c>
      <c r="FD202" s="282">
        <f t="shared" si="701"/>
        <v>42.5</v>
      </c>
      <c r="FE202" s="282">
        <f>FD202</f>
        <v>42.5</v>
      </c>
      <c r="FF202" s="282">
        <f>FE202</f>
        <v>42.5</v>
      </c>
      <c r="FG202" s="282">
        <f t="shared" si="702"/>
        <v>42.5</v>
      </c>
      <c r="FH202" s="590">
        <f t="shared" si="702"/>
        <v>42.5</v>
      </c>
      <c r="FI202" s="282">
        <f>FH202</f>
        <v>42.5</v>
      </c>
      <c r="FJ202" s="282">
        <f>FI202</f>
        <v>42.5</v>
      </c>
      <c r="FK202" s="282">
        <f t="shared" si="703"/>
        <v>42.5</v>
      </c>
      <c r="FL202" s="282">
        <f>FK202</f>
        <v>42.5</v>
      </c>
      <c r="FM202" s="282">
        <f>FL202</f>
        <v>42.5</v>
      </c>
      <c r="FN202" s="282">
        <f t="shared" si="704"/>
        <v>42.5</v>
      </c>
      <c r="FO202" s="590">
        <f t="shared" si="704"/>
        <v>42.5</v>
      </c>
      <c r="FP202" s="282">
        <f>FO202</f>
        <v>42.5</v>
      </c>
      <c r="FQ202" s="282">
        <f>FP202</f>
        <v>42.5</v>
      </c>
      <c r="FR202" s="282">
        <f t="shared" si="705"/>
        <v>42.5</v>
      </c>
      <c r="FS202" s="282">
        <f>FR202</f>
        <v>42.5</v>
      </c>
      <c r="FT202" s="282">
        <f>FS202</f>
        <v>42.5</v>
      </c>
      <c r="FU202" s="282">
        <f t="shared" si="706"/>
        <v>42.5</v>
      </c>
      <c r="FV202" s="590">
        <f t="shared" si="706"/>
        <v>42.5</v>
      </c>
      <c r="FW202" s="534"/>
    </row>
    <row r="203" spans="1:280" outlineLevel="1" x14ac:dyDescent="0.3">
      <c r="B203" s="253" t="s">
        <v>96</v>
      </c>
      <c r="C203" s="280" t="s">
        <v>226</v>
      </c>
      <c r="D203" s="340">
        <v>80.400000000000006</v>
      </c>
      <c r="E203" s="320">
        <f t="shared" si="657"/>
        <v>79.5</v>
      </c>
      <c r="F203" s="340">
        <v>79.5</v>
      </c>
      <c r="G203" s="340">
        <v>84.4</v>
      </c>
      <c r="H203" s="320">
        <f t="shared" si="658"/>
        <v>79.8</v>
      </c>
      <c r="I203" s="320">
        <f t="shared" si="658"/>
        <v>79.8</v>
      </c>
      <c r="J203" s="289">
        <v>79.8</v>
      </c>
      <c r="K203" s="289">
        <v>86.8</v>
      </c>
      <c r="L203" s="281">
        <f t="shared" si="659"/>
        <v>91.6</v>
      </c>
      <c r="M203" s="289">
        <v>91.6</v>
      </c>
      <c r="N203" s="289">
        <v>93.9</v>
      </c>
      <c r="O203" s="281">
        <f t="shared" si="660"/>
        <v>93.8</v>
      </c>
      <c r="P203" s="281">
        <f t="shared" si="660"/>
        <v>93.8</v>
      </c>
      <c r="Q203" s="289">
        <v>93.8</v>
      </c>
      <c r="R203" s="289">
        <v>93.8</v>
      </c>
      <c r="S203" s="281">
        <f t="shared" si="661"/>
        <v>123.9</v>
      </c>
      <c r="T203" s="289">
        <v>123.9</v>
      </c>
      <c r="U203" s="289">
        <v>107.8</v>
      </c>
      <c r="V203" s="281">
        <f t="shared" si="662"/>
        <v>84.2</v>
      </c>
      <c r="W203" s="281">
        <f t="shared" si="662"/>
        <v>84.2</v>
      </c>
      <c r="X203" s="289">
        <v>84.2</v>
      </c>
      <c r="Y203" s="289">
        <v>126</v>
      </c>
      <c r="Z203" s="281">
        <f t="shared" si="663"/>
        <v>87.4</v>
      </c>
      <c r="AA203" s="289">
        <v>87.4</v>
      </c>
      <c r="AB203" s="289">
        <v>88.6</v>
      </c>
      <c r="AC203" s="281">
        <f t="shared" si="664"/>
        <v>93.8</v>
      </c>
      <c r="AD203" s="281">
        <f t="shared" si="664"/>
        <v>93.8</v>
      </c>
      <c r="AE203" s="289">
        <v>93.8</v>
      </c>
      <c r="AF203" s="289">
        <v>106.4</v>
      </c>
      <c r="AG203" s="281">
        <f t="shared" si="665"/>
        <v>109.6</v>
      </c>
      <c r="AH203" s="289">
        <v>109.6</v>
      </c>
      <c r="AI203" s="289">
        <v>116.4</v>
      </c>
      <c r="AJ203" s="281">
        <f t="shared" si="666"/>
        <v>113.5</v>
      </c>
      <c r="AK203" s="281">
        <f t="shared" si="666"/>
        <v>113.5</v>
      </c>
      <c r="AL203" s="289">
        <v>113.5</v>
      </c>
      <c r="AM203" s="289">
        <v>115.9</v>
      </c>
      <c r="AN203" s="281">
        <f t="shared" si="667"/>
        <v>104.5</v>
      </c>
      <c r="AO203" s="289">
        <v>104.5</v>
      </c>
      <c r="AP203" s="289">
        <v>101.4</v>
      </c>
      <c r="AQ203" s="281">
        <f t="shared" si="668"/>
        <v>108.1</v>
      </c>
      <c r="AR203" s="281">
        <f t="shared" si="668"/>
        <v>108.1</v>
      </c>
      <c r="AS203" s="289">
        <v>108.1</v>
      </c>
      <c r="AT203" s="289">
        <v>109.9</v>
      </c>
      <c r="AU203" s="281">
        <f t="shared" si="669"/>
        <v>109.5</v>
      </c>
      <c r="AV203" s="289">
        <v>109.5</v>
      </c>
      <c r="AW203" s="281">
        <f>106.5+187.2</f>
        <v>293.7</v>
      </c>
      <c r="AX203" s="289">
        <v>100.5</v>
      </c>
      <c r="AY203" s="281">
        <f>+AX203</f>
        <v>100.5</v>
      </c>
      <c r="AZ203" s="281">
        <f>AY203</f>
        <v>100.5</v>
      </c>
      <c r="BA203" s="289">
        <v>102.3</v>
      </c>
      <c r="BB203" s="281">
        <f>+BC203</f>
        <v>99.9</v>
      </c>
      <c r="BC203" s="289">
        <v>99.9</v>
      </c>
      <c r="BD203" s="289">
        <v>97.4</v>
      </c>
      <c r="BE203" s="281">
        <f t="shared" si="670"/>
        <v>95.4</v>
      </c>
      <c r="BF203" s="281">
        <f t="shared" si="670"/>
        <v>95.4</v>
      </c>
      <c r="BG203" s="289">
        <v>95.4</v>
      </c>
      <c r="BH203" s="289">
        <v>94</v>
      </c>
      <c r="BI203" s="281">
        <f t="shared" si="671"/>
        <v>92.5</v>
      </c>
      <c r="BJ203" s="289">
        <v>92.5</v>
      </c>
      <c r="BK203" s="289">
        <v>91.4</v>
      </c>
      <c r="BL203" s="289">
        <v>93</v>
      </c>
      <c r="BM203" s="281">
        <f t="shared" si="672"/>
        <v>93</v>
      </c>
      <c r="BN203" s="281">
        <f t="shared" si="672"/>
        <v>93</v>
      </c>
      <c r="BO203" s="289">
        <v>91.9</v>
      </c>
      <c r="BP203" s="289">
        <v>88.9</v>
      </c>
      <c r="BQ203" s="281">
        <f t="shared" si="673"/>
        <v>88.9</v>
      </c>
      <c r="BR203" s="289">
        <v>91.3</v>
      </c>
      <c r="BS203" s="289">
        <v>88.9</v>
      </c>
      <c r="BT203" s="281">
        <f t="shared" si="674"/>
        <v>88.9</v>
      </c>
      <c r="BU203" s="281">
        <f t="shared" si="674"/>
        <v>88.9</v>
      </c>
      <c r="BV203" s="289">
        <f>88.9</f>
        <v>88.9</v>
      </c>
      <c r="BW203" s="289">
        <v>90.5</v>
      </c>
      <c r="BX203" s="281">
        <f>BW203</f>
        <v>90.5</v>
      </c>
      <c r="BY203" s="289">
        <v>85.8</v>
      </c>
      <c r="BZ203" s="289">
        <v>82.1</v>
      </c>
      <c r="CA203" s="281">
        <f t="shared" si="675"/>
        <v>82.1</v>
      </c>
      <c r="CB203" s="281">
        <f t="shared" si="675"/>
        <v>82.1</v>
      </c>
      <c r="CC203" s="289">
        <v>85.3</v>
      </c>
      <c r="CD203" s="289">
        <v>90</v>
      </c>
      <c r="CE203" s="281">
        <f t="shared" si="676"/>
        <v>90</v>
      </c>
      <c r="CF203" s="289">
        <v>94.5</v>
      </c>
      <c r="CG203" s="289">
        <v>94.8</v>
      </c>
      <c r="CH203" s="281">
        <f t="shared" si="677"/>
        <v>94.8</v>
      </c>
      <c r="CI203" s="281">
        <f t="shared" si="677"/>
        <v>94.8</v>
      </c>
      <c r="CJ203" s="289">
        <v>98.1</v>
      </c>
      <c r="CK203" s="281">
        <v>99.8</v>
      </c>
      <c r="CL203" s="281">
        <f t="shared" si="678"/>
        <v>99.8</v>
      </c>
      <c r="CM203" s="289">
        <v>69.2</v>
      </c>
      <c r="CN203" s="289">
        <v>66.400000000000006</v>
      </c>
      <c r="CO203" s="281">
        <f t="shared" si="679"/>
        <v>66.400000000000006</v>
      </c>
      <c r="CP203" s="282">
        <f t="shared" si="679"/>
        <v>66.400000000000006</v>
      </c>
      <c r="CQ203" s="290">
        <v>83.5</v>
      </c>
      <c r="CR203" s="290">
        <v>83</v>
      </c>
      <c r="CS203" s="282">
        <f t="shared" si="680"/>
        <v>83</v>
      </c>
      <c r="CT203" s="290">
        <v>80.8</v>
      </c>
      <c r="CU203" s="290">
        <v>80.400000000000006</v>
      </c>
      <c r="CV203" s="282">
        <f t="shared" si="681"/>
        <v>80.400000000000006</v>
      </c>
      <c r="CW203" s="282">
        <f t="shared" si="681"/>
        <v>80.400000000000006</v>
      </c>
      <c r="CX203" s="291">
        <v>81.3</v>
      </c>
      <c r="CY203" s="290">
        <v>79</v>
      </c>
      <c r="CZ203" s="282">
        <f t="shared" si="682"/>
        <v>79</v>
      </c>
      <c r="DA203" s="290">
        <v>79.599999999999994</v>
      </c>
      <c r="DB203" s="290">
        <f>21.3+81.9</f>
        <v>103.2</v>
      </c>
      <c r="DC203" s="282">
        <f t="shared" si="683"/>
        <v>103.2</v>
      </c>
      <c r="DD203" s="670">
        <f t="shared" si="683"/>
        <v>103.2</v>
      </c>
      <c r="DE203" s="290">
        <v>83.1</v>
      </c>
      <c r="DF203" s="290">
        <f>86.6+21.3</f>
        <v>107.89999999999999</v>
      </c>
      <c r="DG203" s="282">
        <f t="shared" si="684"/>
        <v>107.89999999999999</v>
      </c>
      <c r="DH203" s="290">
        <f>89.6+21.4</f>
        <v>111</v>
      </c>
      <c r="DI203" s="290">
        <v>86.3</v>
      </c>
      <c r="DJ203" s="282">
        <f t="shared" si="685"/>
        <v>86.3</v>
      </c>
      <c r="DK203" s="670">
        <f t="shared" si="685"/>
        <v>86.3</v>
      </c>
      <c r="DL203" s="292">
        <v>83.7</v>
      </c>
      <c r="DM203" s="290">
        <v>84.1</v>
      </c>
      <c r="DN203" s="282">
        <f t="shared" si="686"/>
        <v>84.1</v>
      </c>
      <c r="DO203" s="290">
        <v>85.8</v>
      </c>
      <c r="DP203" s="282">
        <f t="shared" si="687"/>
        <v>89.2</v>
      </c>
      <c r="DQ203" s="282">
        <f t="shared" si="687"/>
        <v>89.2</v>
      </c>
      <c r="DR203" s="670">
        <f>86.9+2.3</f>
        <v>89.2</v>
      </c>
      <c r="DS203" s="290">
        <f>86+2.3</f>
        <v>88.3</v>
      </c>
      <c r="DT203" s="290">
        <f>84.2+2.3</f>
        <v>86.5</v>
      </c>
      <c r="DU203" s="282">
        <f t="shared" si="688"/>
        <v>86.5</v>
      </c>
      <c r="DV203" s="290">
        <f>2.3+91.2</f>
        <v>93.5</v>
      </c>
      <c r="DW203" s="282">
        <f t="shared" si="689"/>
        <v>95.899999999999991</v>
      </c>
      <c r="DX203" s="282">
        <f t="shared" si="690"/>
        <v>95.899999999999991</v>
      </c>
      <c r="DY203" s="670">
        <f>93.6+2.3</f>
        <v>95.899999999999991</v>
      </c>
      <c r="DZ203" s="290">
        <f>97.5+0</f>
        <v>97.5</v>
      </c>
      <c r="EA203" s="290">
        <f>99.6+0</f>
        <v>99.6</v>
      </c>
      <c r="EB203" s="282">
        <f t="shared" si="691"/>
        <v>99.6</v>
      </c>
      <c r="EC203" s="290">
        <f>104.6+0</f>
        <v>104.6</v>
      </c>
      <c r="ED203" s="282">
        <f t="shared" si="692"/>
        <v>107.5</v>
      </c>
      <c r="EE203" s="282">
        <f t="shared" si="693"/>
        <v>107.5</v>
      </c>
      <c r="EF203" s="670">
        <v>107.5</v>
      </c>
      <c r="EG203" s="290">
        <v>110.3</v>
      </c>
      <c r="EH203" s="290">
        <v>116.9</v>
      </c>
      <c r="EI203" s="282">
        <f t="shared" si="694"/>
        <v>116.9</v>
      </c>
      <c r="EJ203" s="290">
        <v>116.4</v>
      </c>
      <c r="EK203" s="282">
        <f t="shared" si="695"/>
        <v>121.1</v>
      </c>
      <c r="EL203" s="282">
        <f t="shared" si="696"/>
        <v>121.1</v>
      </c>
      <c r="EM203" s="670">
        <v>121.1</v>
      </c>
      <c r="EN203" s="290">
        <v>129.19999999999999</v>
      </c>
      <c r="EO203" s="290">
        <v>479.9</v>
      </c>
      <c r="EP203" s="282">
        <f t="shared" si="697"/>
        <v>479.9</v>
      </c>
      <c r="EQ203" s="292">
        <v>564.6</v>
      </c>
      <c r="ER203" s="282">
        <f>EQ203</f>
        <v>564.6</v>
      </c>
      <c r="ES203" s="282">
        <f t="shared" si="698"/>
        <v>564.6</v>
      </c>
      <c r="ET203" s="590">
        <f t="shared" si="698"/>
        <v>564.6</v>
      </c>
      <c r="EU203" s="282">
        <f>ET203</f>
        <v>564.6</v>
      </c>
      <c r="EV203" s="282">
        <f>EU203</f>
        <v>564.6</v>
      </c>
      <c r="EW203" s="282">
        <f t="shared" si="699"/>
        <v>564.6</v>
      </c>
      <c r="EX203" s="282">
        <f>EW203</f>
        <v>564.6</v>
      </c>
      <c r="EY203" s="282">
        <f>EX203</f>
        <v>564.6</v>
      </c>
      <c r="EZ203" s="282">
        <f t="shared" si="700"/>
        <v>564.6</v>
      </c>
      <c r="FA203" s="590">
        <f t="shared" si="700"/>
        <v>564.6</v>
      </c>
      <c r="FB203" s="282">
        <f>FA203</f>
        <v>564.6</v>
      </c>
      <c r="FC203" s="282">
        <f>FB203</f>
        <v>564.6</v>
      </c>
      <c r="FD203" s="282">
        <f t="shared" si="701"/>
        <v>564.6</v>
      </c>
      <c r="FE203" s="282">
        <f>FD203</f>
        <v>564.6</v>
      </c>
      <c r="FF203" s="282">
        <f>FE203</f>
        <v>564.6</v>
      </c>
      <c r="FG203" s="282">
        <f t="shared" si="702"/>
        <v>564.6</v>
      </c>
      <c r="FH203" s="590">
        <f t="shared" si="702"/>
        <v>564.6</v>
      </c>
      <c r="FI203" s="282">
        <f>FH203</f>
        <v>564.6</v>
      </c>
      <c r="FJ203" s="282">
        <f>FI203</f>
        <v>564.6</v>
      </c>
      <c r="FK203" s="282">
        <f t="shared" si="703"/>
        <v>564.6</v>
      </c>
      <c r="FL203" s="282">
        <f>FK203</f>
        <v>564.6</v>
      </c>
      <c r="FM203" s="282">
        <f>FL203</f>
        <v>564.6</v>
      </c>
      <c r="FN203" s="282">
        <f t="shared" si="704"/>
        <v>564.6</v>
      </c>
      <c r="FO203" s="590">
        <f t="shared" si="704"/>
        <v>564.6</v>
      </c>
      <c r="FP203" s="282">
        <f>FO203</f>
        <v>564.6</v>
      </c>
      <c r="FQ203" s="282">
        <f>FP203</f>
        <v>564.6</v>
      </c>
      <c r="FR203" s="282">
        <f t="shared" si="705"/>
        <v>564.6</v>
      </c>
      <c r="FS203" s="282">
        <f>FR203</f>
        <v>564.6</v>
      </c>
      <c r="FT203" s="282">
        <f>FS203</f>
        <v>564.6</v>
      </c>
      <c r="FU203" s="282">
        <f t="shared" si="706"/>
        <v>564.6</v>
      </c>
      <c r="FV203" s="590">
        <f t="shared" si="706"/>
        <v>564.6</v>
      </c>
      <c r="FW203" s="534"/>
    </row>
    <row r="204" spans="1:280" s="494" customFormat="1" outlineLevel="1" x14ac:dyDescent="0.3">
      <c r="B204" s="253" t="s">
        <v>536</v>
      </c>
      <c r="C204" s="280" t="s">
        <v>226</v>
      </c>
      <c r="D204" s="495"/>
      <c r="E204" s="374">
        <f t="shared" si="657"/>
        <v>0</v>
      </c>
      <c r="F204" s="495"/>
      <c r="G204" s="495"/>
      <c r="H204" s="374">
        <f t="shared" si="658"/>
        <v>715.6</v>
      </c>
      <c r="I204" s="374">
        <f t="shared" si="658"/>
        <v>715.6</v>
      </c>
      <c r="J204" s="372">
        <v>715.6</v>
      </c>
      <c r="K204" s="372">
        <v>742.8</v>
      </c>
      <c r="L204" s="373">
        <f t="shared" si="659"/>
        <v>790</v>
      </c>
      <c r="M204" s="372">
        <v>790</v>
      </c>
      <c r="N204" s="372">
        <v>827.7</v>
      </c>
      <c r="O204" s="373">
        <f t="shared" si="660"/>
        <v>1225.8</v>
      </c>
      <c r="P204" s="373">
        <f t="shared" si="660"/>
        <v>1225.8</v>
      </c>
      <c r="Q204" s="372">
        <v>1225.8</v>
      </c>
      <c r="R204" s="372">
        <v>1272</v>
      </c>
      <c r="S204" s="373">
        <f t="shared" si="661"/>
        <v>1309.0999999999999</v>
      </c>
      <c r="T204" s="372">
        <v>1309.0999999999999</v>
      </c>
      <c r="U204" s="372">
        <v>1287.7</v>
      </c>
      <c r="V204" s="373">
        <f t="shared" si="662"/>
        <v>1497.8</v>
      </c>
      <c r="W204" s="373">
        <f t="shared" si="662"/>
        <v>1497.8</v>
      </c>
      <c r="X204" s="372">
        <v>1497.8</v>
      </c>
      <c r="Y204" s="372">
        <v>1542.8</v>
      </c>
      <c r="Z204" s="373">
        <f t="shared" si="663"/>
        <v>1265.9000000000001</v>
      </c>
      <c r="AA204" s="372">
        <v>1265.9000000000001</v>
      </c>
      <c r="AB204" s="372">
        <v>1068.0999999999999</v>
      </c>
      <c r="AC204" s="373">
        <f t="shared" si="664"/>
        <v>1206.3</v>
      </c>
      <c r="AD204" s="373">
        <f t="shared" si="664"/>
        <v>1206.3</v>
      </c>
      <c r="AE204" s="372">
        <v>1206.3</v>
      </c>
      <c r="AF204" s="372">
        <v>1403.5</v>
      </c>
      <c r="AG204" s="373">
        <f t="shared" si="665"/>
        <v>1491.4</v>
      </c>
      <c r="AH204" s="372">
        <v>1491.4</v>
      </c>
      <c r="AI204" s="372">
        <v>1495.7</v>
      </c>
      <c r="AJ204" s="373">
        <f t="shared" si="666"/>
        <v>1512.5</v>
      </c>
      <c r="AK204" s="373">
        <f t="shared" si="666"/>
        <v>1512.5</v>
      </c>
      <c r="AL204" s="372">
        <v>1512.5</v>
      </c>
      <c r="AM204" s="372">
        <v>1389.6</v>
      </c>
      <c r="AN204" s="373">
        <f t="shared" si="667"/>
        <v>1548.6</v>
      </c>
      <c r="AO204" s="372">
        <v>1548.6</v>
      </c>
      <c r="AP204" s="372">
        <v>1604</v>
      </c>
      <c r="AQ204" s="373">
        <f t="shared" si="668"/>
        <v>1587</v>
      </c>
      <c r="AR204" s="373">
        <f t="shared" si="668"/>
        <v>1587</v>
      </c>
      <c r="AS204" s="372">
        <v>1587</v>
      </c>
      <c r="AT204" s="372">
        <v>1623</v>
      </c>
      <c r="AU204" s="373">
        <f t="shared" si="669"/>
        <v>1449.3</v>
      </c>
      <c r="AV204" s="372">
        <v>1449.3</v>
      </c>
      <c r="AW204" s="372">
        <v>1483.6</v>
      </c>
      <c r="AX204" s="372">
        <v>1537.3</v>
      </c>
      <c r="AY204" s="373">
        <f>+AX204</f>
        <v>1537.3</v>
      </c>
      <c r="AZ204" s="373">
        <f>+AY204</f>
        <v>1537.3</v>
      </c>
      <c r="BA204" s="372">
        <v>1463.4</v>
      </c>
      <c r="BB204" s="373">
        <f>+BC204</f>
        <v>1475.2</v>
      </c>
      <c r="BC204" s="372">
        <v>1475.2</v>
      </c>
      <c r="BD204" s="372">
        <v>1431</v>
      </c>
      <c r="BE204" s="373">
        <f t="shared" si="670"/>
        <v>1558.7</v>
      </c>
      <c r="BF204" s="373">
        <f t="shared" si="670"/>
        <v>1558.7</v>
      </c>
      <c r="BG204" s="372">
        <v>1558.7</v>
      </c>
      <c r="BH204" s="372">
        <v>1349.7</v>
      </c>
      <c r="BI204" s="373">
        <f t="shared" si="671"/>
        <v>1323.6</v>
      </c>
      <c r="BJ204" s="372">
        <v>1323.6</v>
      </c>
      <c r="BK204" s="372">
        <v>1241.8</v>
      </c>
      <c r="BL204" s="372">
        <v>1571.7</v>
      </c>
      <c r="BM204" s="373">
        <f>+BL204</f>
        <v>1571.7</v>
      </c>
      <c r="BN204" s="373">
        <f>+BM204</f>
        <v>1571.7</v>
      </c>
      <c r="BO204" s="372">
        <v>1574.9</v>
      </c>
      <c r="BP204" s="372">
        <v>1433.3</v>
      </c>
      <c r="BQ204" s="373">
        <f t="shared" si="673"/>
        <v>1433.3</v>
      </c>
      <c r="BR204" s="372">
        <v>1302.8</v>
      </c>
      <c r="BS204" s="372">
        <v>1290</v>
      </c>
      <c r="BT204" s="373">
        <f>+BS204</f>
        <v>1290</v>
      </c>
      <c r="BU204" s="373">
        <f>+BT204</f>
        <v>1290</v>
      </c>
      <c r="BV204" s="372">
        <f>1268.2</f>
        <v>1268.2</v>
      </c>
      <c r="BW204" s="372">
        <v>1135</v>
      </c>
      <c r="BX204" s="373">
        <f>+BW204</f>
        <v>1135</v>
      </c>
      <c r="BY204" s="372">
        <v>1147.5999999999999</v>
      </c>
      <c r="BZ204" s="372">
        <v>1176.3</v>
      </c>
      <c r="CA204" s="373">
        <f t="shared" si="675"/>
        <v>1176.3</v>
      </c>
      <c r="CB204" s="373">
        <f t="shared" si="675"/>
        <v>1176.3</v>
      </c>
      <c r="CC204" s="372">
        <v>1119.3</v>
      </c>
      <c r="CD204" s="372">
        <v>1125.0999999999999</v>
      </c>
      <c r="CE204" s="373">
        <f t="shared" si="676"/>
        <v>1125.0999999999999</v>
      </c>
      <c r="CF204" s="372">
        <v>1044.3</v>
      </c>
      <c r="CG204" s="372">
        <v>1043.3</v>
      </c>
      <c r="CH204" s="373">
        <f t="shared" si="677"/>
        <v>1043.3</v>
      </c>
      <c r="CI204" s="373">
        <f t="shared" si="677"/>
        <v>1043.3</v>
      </c>
      <c r="CJ204" s="372">
        <v>1029.7</v>
      </c>
      <c r="CK204" s="373">
        <v>1022.4</v>
      </c>
      <c r="CL204" s="373">
        <f t="shared" si="678"/>
        <v>1022.4</v>
      </c>
      <c r="CM204" s="372">
        <v>944.8</v>
      </c>
      <c r="CN204" s="372">
        <v>1101</v>
      </c>
      <c r="CO204" s="373">
        <f t="shared" si="679"/>
        <v>1101</v>
      </c>
      <c r="CP204" s="496">
        <f t="shared" si="679"/>
        <v>1101</v>
      </c>
      <c r="CQ204" s="497">
        <v>1033.5</v>
      </c>
      <c r="CR204" s="497">
        <v>976.7</v>
      </c>
      <c r="CS204" s="496">
        <f t="shared" si="680"/>
        <v>976.7</v>
      </c>
      <c r="CT204" s="497">
        <v>927.4</v>
      </c>
      <c r="CU204" s="497">
        <v>979.1</v>
      </c>
      <c r="CV204" s="496">
        <f t="shared" si="681"/>
        <v>979.1</v>
      </c>
      <c r="CW204" s="496">
        <f t="shared" si="681"/>
        <v>979.1</v>
      </c>
      <c r="CX204" s="291">
        <v>942.7</v>
      </c>
      <c r="CY204" s="497">
        <v>880</v>
      </c>
      <c r="CZ204" s="496">
        <f t="shared" si="682"/>
        <v>880</v>
      </c>
      <c r="DA204" s="497">
        <v>885.8</v>
      </c>
      <c r="DB204" s="497">
        <v>882.5</v>
      </c>
      <c r="DC204" s="496">
        <f t="shared" si="683"/>
        <v>882.5</v>
      </c>
      <c r="DD204" s="676">
        <f t="shared" si="683"/>
        <v>882.5</v>
      </c>
      <c r="DE204" s="497">
        <v>956.6</v>
      </c>
      <c r="DF204" s="497">
        <v>965</v>
      </c>
      <c r="DG204" s="496">
        <f t="shared" si="684"/>
        <v>965</v>
      </c>
      <c r="DH204" s="497">
        <v>1015.7</v>
      </c>
      <c r="DI204" s="497">
        <v>1013.6</v>
      </c>
      <c r="DJ204" s="496">
        <f t="shared" si="685"/>
        <v>1013.6</v>
      </c>
      <c r="DK204" s="676">
        <f t="shared" si="685"/>
        <v>1013.6</v>
      </c>
      <c r="DL204" s="498">
        <v>980.1</v>
      </c>
      <c r="DM204" s="497">
        <v>905.4</v>
      </c>
      <c r="DN204" s="496">
        <f t="shared" si="686"/>
        <v>905.4</v>
      </c>
      <c r="DO204" s="497">
        <v>877.7</v>
      </c>
      <c r="DP204" s="282">
        <f t="shared" si="687"/>
        <v>1010.8</v>
      </c>
      <c r="DQ204" s="282">
        <f t="shared" si="687"/>
        <v>1010.8</v>
      </c>
      <c r="DR204" s="676">
        <v>1010.8</v>
      </c>
      <c r="DS204" s="497">
        <v>903.9</v>
      </c>
      <c r="DT204" s="497">
        <v>821.8</v>
      </c>
      <c r="DU204" s="496">
        <f t="shared" si="688"/>
        <v>821.8</v>
      </c>
      <c r="DV204" s="497">
        <v>826.1</v>
      </c>
      <c r="DW204" s="282">
        <f t="shared" si="689"/>
        <v>857.7</v>
      </c>
      <c r="DX204" s="282">
        <f t="shared" si="690"/>
        <v>857.7</v>
      </c>
      <c r="DY204" s="676">
        <v>857.7</v>
      </c>
      <c r="DZ204" s="497">
        <v>813.8</v>
      </c>
      <c r="EA204" s="497">
        <v>766.5</v>
      </c>
      <c r="EB204" s="496">
        <f t="shared" si="691"/>
        <v>766.5</v>
      </c>
      <c r="EC204" s="497">
        <v>775.8</v>
      </c>
      <c r="ED204" s="282">
        <f t="shared" si="692"/>
        <v>873</v>
      </c>
      <c r="EE204" s="282">
        <f t="shared" si="693"/>
        <v>873</v>
      </c>
      <c r="EF204" s="676">
        <v>873</v>
      </c>
      <c r="EG204" s="497">
        <v>861.4</v>
      </c>
      <c r="EH204" s="497">
        <v>866.8</v>
      </c>
      <c r="EI204" s="496">
        <f t="shared" si="694"/>
        <v>866.8</v>
      </c>
      <c r="EJ204" s="497">
        <v>751.2</v>
      </c>
      <c r="EK204" s="282">
        <f t="shared" si="695"/>
        <v>864.2</v>
      </c>
      <c r="EL204" s="282">
        <f t="shared" si="696"/>
        <v>864.2</v>
      </c>
      <c r="EM204" s="676">
        <v>864.2</v>
      </c>
      <c r="EN204" s="497">
        <v>870.7</v>
      </c>
      <c r="EO204" s="497">
        <v>847</v>
      </c>
      <c r="EP204" s="496">
        <f t="shared" si="697"/>
        <v>847</v>
      </c>
      <c r="EQ204" s="498">
        <v>831.5</v>
      </c>
      <c r="ER204" s="496">
        <f>EQ204+ER108</f>
        <v>850.96</v>
      </c>
      <c r="ES204" s="496">
        <f t="shared" si="698"/>
        <v>850.96</v>
      </c>
      <c r="ET204" s="614">
        <f t="shared" si="698"/>
        <v>850.96</v>
      </c>
      <c r="EU204" s="496">
        <f>ET204+EU108</f>
        <v>825.96</v>
      </c>
      <c r="EV204" s="496">
        <f>EU204+EV108</f>
        <v>800.96</v>
      </c>
      <c r="EW204" s="496">
        <f t="shared" si="699"/>
        <v>800.96</v>
      </c>
      <c r="EX204" s="496">
        <f>EW204+EX108</f>
        <v>775.96</v>
      </c>
      <c r="EY204" s="496">
        <f>EX204+EY108</f>
        <v>750.96</v>
      </c>
      <c r="EZ204" s="496">
        <f t="shared" si="700"/>
        <v>750.96</v>
      </c>
      <c r="FA204" s="614">
        <f t="shared" si="700"/>
        <v>750.96</v>
      </c>
      <c r="FB204" s="496">
        <f>FA204+FB108</f>
        <v>725.96</v>
      </c>
      <c r="FC204" s="496">
        <f>FB204+FC108</f>
        <v>700.96</v>
      </c>
      <c r="FD204" s="496">
        <f t="shared" si="701"/>
        <v>700.96</v>
      </c>
      <c r="FE204" s="496">
        <f>FD204+FE108</f>
        <v>675.96</v>
      </c>
      <c r="FF204" s="496">
        <f>FE204+FF108</f>
        <v>650.96</v>
      </c>
      <c r="FG204" s="496">
        <f t="shared" si="702"/>
        <v>650.96</v>
      </c>
      <c r="FH204" s="614">
        <f t="shared" si="702"/>
        <v>650.96</v>
      </c>
      <c r="FI204" s="496">
        <f>FH204+FI108</f>
        <v>625.96</v>
      </c>
      <c r="FJ204" s="496">
        <f>FI204+FJ108</f>
        <v>600.96</v>
      </c>
      <c r="FK204" s="496">
        <f t="shared" si="703"/>
        <v>600.96</v>
      </c>
      <c r="FL204" s="496">
        <f>FK204+FL108</f>
        <v>575.96</v>
      </c>
      <c r="FM204" s="496">
        <f>FL204+FM108</f>
        <v>550.96</v>
      </c>
      <c r="FN204" s="496">
        <f t="shared" si="704"/>
        <v>550.96</v>
      </c>
      <c r="FO204" s="614">
        <f t="shared" si="704"/>
        <v>550.96</v>
      </c>
      <c r="FP204" s="496">
        <f>FO204+FP108</f>
        <v>525.96</v>
      </c>
      <c r="FQ204" s="496">
        <f>FP204+FQ108</f>
        <v>500.96000000000004</v>
      </c>
      <c r="FR204" s="496">
        <f t="shared" si="705"/>
        <v>500.96000000000004</v>
      </c>
      <c r="FS204" s="496">
        <f>FR204+FS108</f>
        <v>475.96000000000004</v>
      </c>
      <c r="FT204" s="496">
        <f>FS204+FT108</f>
        <v>450.96000000000004</v>
      </c>
      <c r="FU204" s="496">
        <f t="shared" si="706"/>
        <v>450.96000000000004</v>
      </c>
      <c r="FV204" s="614">
        <f t="shared" si="706"/>
        <v>450.96000000000004</v>
      </c>
      <c r="FW204" s="534"/>
      <c r="FX204" s="646"/>
      <c r="FY204" s="646"/>
      <c r="FZ204" s="646"/>
      <c r="GA204" s="646"/>
      <c r="GB204"/>
      <c r="GC204"/>
      <c r="GD204"/>
      <c r="GE204"/>
      <c r="GF204"/>
      <c r="GG204"/>
      <c r="GH204" s="647"/>
      <c r="GI204" s="647"/>
      <c r="GJ204" s="647"/>
      <c r="GK204" s="647"/>
      <c r="GL204" s="647"/>
      <c r="GM204" s="647"/>
      <c r="GN204" s="647"/>
      <c r="GO204" s="647"/>
      <c r="GP204" s="647"/>
      <c r="GQ204" s="647"/>
      <c r="GR204" s="647"/>
      <c r="GS204" s="647"/>
      <c r="GT204" s="647"/>
      <c r="GU204" s="647"/>
      <c r="GV204" s="647"/>
      <c r="GW204" s="647"/>
      <c r="GX204" s="647"/>
      <c r="GY204" s="647"/>
      <c r="GZ204" s="647"/>
      <c r="HA204" s="647"/>
      <c r="HB204" s="647"/>
      <c r="HC204" s="647"/>
      <c r="HD204" s="647"/>
      <c r="HE204" s="647"/>
      <c r="HF204" s="647"/>
      <c r="HG204" s="647"/>
      <c r="HH204" s="647"/>
      <c r="HI204" s="647"/>
      <c r="HJ204" s="647"/>
      <c r="HK204" s="647"/>
      <c r="HL204" s="647"/>
      <c r="HM204" s="647"/>
      <c r="HN204" s="647"/>
      <c r="HO204" s="647"/>
      <c r="HP204" s="647"/>
      <c r="HQ204" s="647"/>
      <c r="HR204" s="647"/>
      <c r="HS204" s="647"/>
      <c r="HT204" s="647"/>
      <c r="HU204" s="647"/>
      <c r="HV204" s="647"/>
      <c r="HW204" s="647"/>
      <c r="HX204" s="647"/>
      <c r="HY204" s="647"/>
      <c r="HZ204" s="647"/>
      <c r="IA204" s="647"/>
      <c r="IB204" s="647"/>
      <c r="IC204" s="647"/>
      <c r="ID204" s="647"/>
      <c r="IE204" s="647"/>
      <c r="IF204" s="647"/>
      <c r="IG204" s="647"/>
      <c r="IH204" s="647"/>
      <c r="II204" s="647"/>
      <c r="IJ204" s="647"/>
      <c r="IK204" s="647"/>
      <c r="IL204" s="647"/>
      <c r="IM204" s="647"/>
      <c r="IN204" s="647"/>
      <c r="IO204" s="647"/>
      <c r="IP204" s="647"/>
      <c r="IQ204" s="647"/>
      <c r="IR204" s="647"/>
      <c r="IS204" s="647"/>
      <c r="IT204" s="647"/>
      <c r="IU204" s="647"/>
      <c r="IV204" s="647"/>
      <c r="IW204" s="647"/>
      <c r="IX204" s="647"/>
      <c r="IY204" s="647"/>
      <c r="IZ204" s="647"/>
      <c r="JA204" s="647"/>
      <c r="JB204" s="647"/>
      <c r="JC204" s="647"/>
      <c r="JD204" s="647"/>
      <c r="JE204" s="647"/>
      <c r="JF204" s="647"/>
      <c r="JG204" s="647"/>
      <c r="JH204" s="647"/>
      <c r="JI204" s="647"/>
      <c r="JJ204" s="647"/>
      <c r="JK204" s="647"/>
      <c r="JL204" s="647"/>
      <c r="JM204" s="647"/>
      <c r="JN204" s="647"/>
      <c r="JO204" s="647"/>
      <c r="JP204" s="647"/>
      <c r="JQ204" s="647"/>
      <c r="JR204" s="647"/>
      <c r="JS204" s="647"/>
      <c r="JT204" s="647"/>
    </row>
    <row r="205" spans="1:280" outlineLevel="1" x14ac:dyDescent="0.3">
      <c r="B205" s="253" t="s">
        <v>537</v>
      </c>
      <c r="C205" s="280" t="s">
        <v>226</v>
      </c>
      <c r="D205" s="341"/>
      <c r="E205" s="320">
        <f t="shared" si="657"/>
        <v>0</v>
      </c>
      <c r="F205" s="341"/>
      <c r="G205" s="341"/>
      <c r="H205" s="320">
        <f t="shared" si="658"/>
        <v>0</v>
      </c>
      <c r="I205" s="320">
        <f t="shared" si="658"/>
        <v>0</v>
      </c>
      <c r="J205" s="326"/>
      <c r="K205" s="326"/>
      <c r="L205" s="281">
        <f t="shared" si="659"/>
        <v>0</v>
      </c>
      <c r="M205" s="326"/>
      <c r="N205" s="326"/>
      <c r="O205" s="281">
        <f t="shared" si="660"/>
        <v>76.5</v>
      </c>
      <c r="P205" s="281">
        <f t="shared" si="660"/>
        <v>76.5</v>
      </c>
      <c r="Q205" s="289">
        <v>76.5</v>
      </c>
      <c r="R205" s="289">
        <v>80.5</v>
      </c>
      <c r="S205" s="281">
        <f t="shared" si="661"/>
        <v>83.7</v>
      </c>
      <c r="T205" s="289">
        <v>83.7</v>
      </c>
      <c r="U205" s="289">
        <v>83.6</v>
      </c>
      <c r="V205" s="281">
        <f t="shared" si="662"/>
        <v>78.5</v>
      </c>
      <c r="W205" s="281">
        <f t="shared" si="662"/>
        <v>78.5</v>
      </c>
      <c r="X205" s="289">
        <v>78.5</v>
      </c>
      <c r="Y205" s="289">
        <v>82.4</v>
      </c>
      <c r="Z205" s="281">
        <f t="shared" si="663"/>
        <v>68.599999999999994</v>
      </c>
      <c r="AA205" s="289">
        <v>68.599999999999994</v>
      </c>
      <c r="AB205" s="289">
        <v>59.3</v>
      </c>
      <c r="AC205" s="281">
        <f t="shared" si="664"/>
        <v>73.8</v>
      </c>
      <c r="AD205" s="281">
        <f t="shared" si="664"/>
        <v>73.8</v>
      </c>
      <c r="AE205" s="289">
        <v>73.8</v>
      </c>
      <c r="AF205" s="289">
        <v>87.3</v>
      </c>
      <c r="AG205" s="281">
        <f t="shared" si="665"/>
        <v>94.3</v>
      </c>
      <c r="AH205" s="289">
        <v>94.3</v>
      </c>
      <c r="AI205" s="289">
        <v>96.3</v>
      </c>
      <c r="AJ205" s="281">
        <f t="shared" si="666"/>
        <v>98.8</v>
      </c>
      <c r="AK205" s="281">
        <f t="shared" si="666"/>
        <v>98.8</v>
      </c>
      <c r="AL205" s="289">
        <v>98.8</v>
      </c>
      <c r="AM205" s="289">
        <v>91.9</v>
      </c>
      <c r="AN205" s="281">
        <f t="shared" si="667"/>
        <v>104.3</v>
      </c>
      <c r="AO205" s="289">
        <v>104.3</v>
      </c>
      <c r="AP205" s="289">
        <v>109.7</v>
      </c>
      <c r="AQ205" s="281">
        <f t="shared" si="668"/>
        <v>90.4</v>
      </c>
      <c r="AR205" s="281">
        <f t="shared" si="668"/>
        <v>90.4</v>
      </c>
      <c r="AS205" s="289">
        <v>90.4</v>
      </c>
      <c r="AT205" s="289">
        <v>94</v>
      </c>
      <c r="AU205" s="281">
        <f t="shared" si="669"/>
        <v>85.5</v>
      </c>
      <c r="AV205" s="289">
        <v>85.5</v>
      </c>
      <c r="AW205" s="289">
        <v>88.9</v>
      </c>
      <c r="AX205" s="289">
        <v>83.4</v>
      </c>
      <c r="AY205" s="281">
        <f>+AX205</f>
        <v>83.4</v>
      </c>
      <c r="AZ205" s="281">
        <f>+AY205</f>
        <v>83.4</v>
      </c>
      <c r="BA205" s="289">
        <v>81.400000000000006</v>
      </c>
      <c r="BB205" s="281">
        <f>+BC205</f>
        <v>83.9</v>
      </c>
      <c r="BC205" s="289">
        <v>83.9</v>
      </c>
      <c r="BD205" s="289">
        <v>83.2</v>
      </c>
      <c r="BE205" s="281">
        <f t="shared" si="670"/>
        <v>60.7</v>
      </c>
      <c r="BF205" s="281">
        <f t="shared" si="670"/>
        <v>60.7</v>
      </c>
      <c r="BG205" s="289">
        <v>60.7</v>
      </c>
      <c r="BH205" s="289">
        <v>53.9</v>
      </c>
      <c r="BI205" s="281">
        <f t="shared" si="671"/>
        <v>54.2</v>
      </c>
      <c r="BJ205" s="289">
        <v>54.2</v>
      </c>
      <c r="BK205" s="289">
        <v>52</v>
      </c>
      <c r="BL205" s="289">
        <v>47.6</v>
      </c>
      <c r="BM205" s="281">
        <f>BL205</f>
        <v>47.6</v>
      </c>
      <c r="BN205" s="281">
        <f>BM205</f>
        <v>47.6</v>
      </c>
      <c r="BO205" s="289">
        <v>48.6</v>
      </c>
      <c r="BP205" s="289">
        <v>45.2</v>
      </c>
      <c r="BQ205" s="281">
        <f t="shared" si="673"/>
        <v>45.2</v>
      </c>
      <c r="BR205" s="289">
        <v>42.3</v>
      </c>
      <c r="BS205" s="289">
        <v>45.5</v>
      </c>
      <c r="BT205" s="281">
        <f>BS205</f>
        <v>45.5</v>
      </c>
      <c r="BU205" s="281">
        <f>BT205</f>
        <v>45.5</v>
      </c>
      <c r="BV205" s="289">
        <f>45.8</f>
        <v>45.8</v>
      </c>
      <c r="BW205" s="289">
        <v>41.8</v>
      </c>
      <c r="BX205" s="281">
        <f>BW205</f>
        <v>41.8</v>
      </c>
      <c r="BY205" s="289">
        <v>43.6</v>
      </c>
      <c r="BZ205" s="289">
        <v>46.8</v>
      </c>
      <c r="CA205" s="281">
        <f t="shared" si="675"/>
        <v>46.8</v>
      </c>
      <c r="CB205" s="281">
        <f t="shared" si="675"/>
        <v>46.8</v>
      </c>
      <c r="CC205" s="289">
        <v>45.5</v>
      </c>
      <c r="CD205" s="289">
        <v>46.7</v>
      </c>
      <c r="CE205" s="281">
        <f t="shared" si="676"/>
        <v>46.7</v>
      </c>
      <c r="CF205" s="289">
        <v>44.3</v>
      </c>
      <c r="CG205" s="289">
        <v>40.4</v>
      </c>
      <c r="CH205" s="281">
        <f t="shared" si="677"/>
        <v>40.4</v>
      </c>
      <c r="CI205" s="281">
        <f t="shared" si="677"/>
        <v>40.4</v>
      </c>
      <c r="CJ205" s="289">
        <v>40.700000000000003</v>
      </c>
      <c r="CK205" s="281">
        <v>41.5</v>
      </c>
      <c r="CL205" s="281">
        <f t="shared" si="678"/>
        <v>41.5</v>
      </c>
      <c r="CM205" s="289">
        <v>41.3</v>
      </c>
      <c r="CN205" s="289">
        <v>28.8</v>
      </c>
      <c r="CO205" s="281">
        <f t="shared" si="679"/>
        <v>28.8</v>
      </c>
      <c r="CP205" s="282">
        <f t="shared" si="679"/>
        <v>28.8</v>
      </c>
      <c r="CQ205" s="290">
        <v>27.7</v>
      </c>
      <c r="CR205" s="290">
        <v>27</v>
      </c>
      <c r="CS205" s="282">
        <f t="shared" si="680"/>
        <v>27</v>
      </c>
      <c r="CT205" s="290">
        <v>26.5</v>
      </c>
      <c r="CU205" s="290">
        <v>25.8</v>
      </c>
      <c r="CV205" s="282">
        <f t="shared" si="681"/>
        <v>25.8</v>
      </c>
      <c r="CW205" s="282">
        <f t="shared" si="681"/>
        <v>25.8</v>
      </c>
      <c r="CX205" s="291">
        <v>25.5</v>
      </c>
      <c r="CY205" s="290">
        <v>24.6</v>
      </c>
      <c r="CZ205" s="282">
        <f t="shared" si="682"/>
        <v>24.6</v>
      </c>
      <c r="DA205" s="290">
        <v>25.5</v>
      </c>
      <c r="DB205" s="290">
        <v>20.7</v>
      </c>
      <c r="DC205" s="282">
        <f t="shared" si="683"/>
        <v>20.7</v>
      </c>
      <c r="DD205" s="670">
        <f t="shared" si="683"/>
        <v>20.7</v>
      </c>
      <c r="DE205" s="290">
        <v>23</v>
      </c>
      <c r="DF205" s="290">
        <v>23.8</v>
      </c>
      <c r="DG205" s="282">
        <f t="shared" si="684"/>
        <v>23.8</v>
      </c>
      <c r="DH205" s="290">
        <v>25.8</v>
      </c>
      <c r="DI205" s="290">
        <v>20.3</v>
      </c>
      <c r="DJ205" s="282">
        <f t="shared" si="685"/>
        <v>20.3</v>
      </c>
      <c r="DK205" s="670">
        <f t="shared" si="685"/>
        <v>20.3</v>
      </c>
      <c r="DL205" s="292">
        <v>20.100000000000001</v>
      </c>
      <c r="DM205" s="290">
        <v>19.2</v>
      </c>
      <c r="DN205" s="282">
        <f t="shared" si="686"/>
        <v>19.2</v>
      </c>
      <c r="DO205" s="290">
        <v>19.399999999999999</v>
      </c>
      <c r="DP205" s="282">
        <f t="shared" si="687"/>
        <v>18.600000000000001</v>
      </c>
      <c r="DQ205" s="282">
        <f t="shared" si="687"/>
        <v>18.600000000000001</v>
      </c>
      <c r="DR205" s="670">
        <v>18.600000000000001</v>
      </c>
      <c r="DS205" s="290">
        <v>17.100000000000001</v>
      </c>
      <c r="DT205" s="290">
        <v>16.100000000000001</v>
      </c>
      <c r="DU205" s="282">
        <f t="shared" si="688"/>
        <v>16.100000000000001</v>
      </c>
      <c r="DV205" s="290">
        <v>16.8</v>
      </c>
      <c r="DW205" s="282">
        <f t="shared" si="689"/>
        <v>16.399999999999999</v>
      </c>
      <c r="DX205" s="282">
        <f t="shared" si="690"/>
        <v>16.399999999999999</v>
      </c>
      <c r="DY205" s="670">
        <v>16.399999999999999</v>
      </c>
      <c r="DZ205" s="290">
        <v>16.2</v>
      </c>
      <c r="EA205" s="290">
        <v>15.8</v>
      </c>
      <c r="EB205" s="282">
        <f t="shared" si="691"/>
        <v>15.8</v>
      </c>
      <c r="EC205" s="290">
        <v>16.7</v>
      </c>
      <c r="ED205" s="282">
        <f t="shared" si="692"/>
        <v>13.6</v>
      </c>
      <c r="EE205" s="282">
        <f t="shared" si="693"/>
        <v>13.6</v>
      </c>
      <c r="EF205" s="670">
        <v>13.6</v>
      </c>
      <c r="EG205" s="290">
        <v>13.9</v>
      </c>
      <c r="EH205" s="290">
        <v>14.5</v>
      </c>
      <c r="EI205" s="282">
        <f t="shared" si="694"/>
        <v>14.5</v>
      </c>
      <c r="EJ205" s="290">
        <v>13</v>
      </c>
      <c r="EK205" s="282">
        <f t="shared" si="695"/>
        <v>16.5</v>
      </c>
      <c r="EL205" s="282">
        <f t="shared" si="696"/>
        <v>16.5</v>
      </c>
      <c r="EM205" s="670">
        <v>16.5</v>
      </c>
      <c r="EN205" s="290">
        <v>17.100000000000001</v>
      </c>
      <c r="EO205" s="290">
        <v>17.3</v>
      </c>
      <c r="EP205" s="282">
        <f t="shared" si="697"/>
        <v>17.3</v>
      </c>
      <c r="EQ205" s="292">
        <v>17.5</v>
      </c>
      <c r="ER205" s="282">
        <f>EQ205</f>
        <v>17.5</v>
      </c>
      <c r="ES205" s="282">
        <f t="shared" si="698"/>
        <v>17.5</v>
      </c>
      <c r="ET205" s="590">
        <f t="shared" si="698"/>
        <v>17.5</v>
      </c>
      <c r="EU205" s="282">
        <f>ET205</f>
        <v>17.5</v>
      </c>
      <c r="EV205" s="282">
        <f>EU205</f>
        <v>17.5</v>
      </c>
      <c r="EW205" s="282">
        <f t="shared" si="699"/>
        <v>17.5</v>
      </c>
      <c r="EX205" s="282">
        <f>EW205</f>
        <v>17.5</v>
      </c>
      <c r="EY205" s="282">
        <f>EX205</f>
        <v>17.5</v>
      </c>
      <c r="EZ205" s="282">
        <f t="shared" si="700"/>
        <v>17.5</v>
      </c>
      <c r="FA205" s="590">
        <f t="shared" si="700"/>
        <v>17.5</v>
      </c>
      <c r="FB205" s="282">
        <f>FA205</f>
        <v>17.5</v>
      </c>
      <c r="FC205" s="282">
        <f>FB205</f>
        <v>17.5</v>
      </c>
      <c r="FD205" s="282">
        <f t="shared" si="701"/>
        <v>17.5</v>
      </c>
      <c r="FE205" s="282">
        <f>FD205</f>
        <v>17.5</v>
      </c>
      <c r="FF205" s="282">
        <f>FE205</f>
        <v>17.5</v>
      </c>
      <c r="FG205" s="282">
        <f t="shared" si="702"/>
        <v>17.5</v>
      </c>
      <c r="FH205" s="590">
        <f t="shared" si="702"/>
        <v>17.5</v>
      </c>
      <c r="FI205" s="282">
        <f>FH205</f>
        <v>17.5</v>
      </c>
      <c r="FJ205" s="282">
        <f>FI205</f>
        <v>17.5</v>
      </c>
      <c r="FK205" s="282">
        <f t="shared" si="703"/>
        <v>17.5</v>
      </c>
      <c r="FL205" s="282">
        <f>FK205</f>
        <v>17.5</v>
      </c>
      <c r="FM205" s="282">
        <f>FL205</f>
        <v>17.5</v>
      </c>
      <c r="FN205" s="282">
        <f t="shared" si="704"/>
        <v>17.5</v>
      </c>
      <c r="FO205" s="590">
        <f t="shared" si="704"/>
        <v>17.5</v>
      </c>
      <c r="FP205" s="282">
        <f>FO205</f>
        <v>17.5</v>
      </c>
      <c r="FQ205" s="282">
        <f>FP205</f>
        <v>17.5</v>
      </c>
      <c r="FR205" s="282">
        <f t="shared" si="705"/>
        <v>17.5</v>
      </c>
      <c r="FS205" s="282">
        <f>FR205</f>
        <v>17.5</v>
      </c>
      <c r="FT205" s="282">
        <f>FS205</f>
        <v>17.5</v>
      </c>
      <c r="FU205" s="282">
        <f t="shared" si="706"/>
        <v>17.5</v>
      </c>
      <c r="FV205" s="590">
        <f t="shared" si="706"/>
        <v>17.5</v>
      </c>
      <c r="FW205" s="534"/>
    </row>
    <row r="206" spans="1:280" outlineLevel="1" x14ac:dyDescent="0.3">
      <c r="B206" s="253" t="s">
        <v>49</v>
      </c>
      <c r="C206" s="280" t="s">
        <v>226</v>
      </c>
      <c r="D206" s="340">
        <v>63</v>
      </c>
      <c r="E206" s="320">
        <f t="shared" si="657"/>
        <v>63.5</v>
      </c>
      <c r="F206" s="340">
        <v>63.5</v>
      </c>
      <c r="G206" s="340">
        <v>63.5</v>
      </c>
      <c r="H206" s="320">
        <f t="shared" si="658"/>
        <v>45</v>
      </c>
      <c r="I206" s="320">
        <f t="shared" si="658"/>
        <v>45</v>
      </c>
      <c r="J206" s="289">
        <v>45</v>
      </c>
      <c r="K206" s="289">
        <v>51</v>
      </c>
      <c r="L206" s="281">
        <f t="shared" si="659"/>
        <v>49.1</v>
      </c>
      <c r="M206" s="289">
        <v>49.1</v>
      </c>
      <c r="N206" s="289">
        <v>58.1</v>
      </c>
      <c r="O206" s="281">
        <f t="shared" si="660"/>
        <v>41.2</v>
      </c>
      <c r="P206" s="281">
        <f t="shared" si="660"/>
        <v>41.2</v>
      </c>
      <c r="Q206" s="289">
        <v>41.2</v>
      </c>
      <c r="R206" s="289">
        <v>138</v>
      </c>
      <c r="S206" s="281">
        <f t="shared" si="661"/>
        <v>140.4</v>
      </c>
      <c r="T206" s="289">
        <v>140.4</v>
      </c>
      <c r="U206" s="289">
        <v>155.1</v>
      </c>
      <c r="V206" s="281">
        <f t="shared" si="662"/>
        <v>187.5</v>
      </c>
      <c r="W206" s="281">
        <f t="shared" si="662"/>
        <v>187.5</v>
      </c>
      <c r="X206" s="289">
        <v>187.5</v>
      </c>
      <c r="Y206" s="289">
        <v>213.8</v>
      </c>
      <c r="Z206" s="281">
        <f t="shared" si="663"/>
        <v>85</v>
      </c>
      <c r="AA206" s="289">
        <v>85</v>
      </c>
      <c r="AB206" s="289">
        <v>44.6</v>
      </c>
      <c r="AC206" s="281">
        <f t="shared" si="664"/>
        <v>63.3</v>
      </c>
      <c r="AD206" s="281">
        <f t="shared" si="664"/>
        <v>63.3</v>
      </c>
      <c r="AE206" s="289">
        <v>63.3</v>
      </c>
      <c r="AF206" s="289">
        <v>77.5</v>
      </c>
      <c r="AG206" s="281">
        <f t="shared" si="665"/>
        <v>81.599999999999994</v>
      </c>
      <c r="AH206" s="289">
        <v>81.599999999999994</v>
      </c>
      <c r="AI206" s="289">
        <v>87.8</v>
      </c>
      <c r="AJ206" s="281">
        <f t="shared" si="666"/>
        <v>80.599999999999994</v>
      </c>
      <c r="AK206" s="281">
        <f t="shared" si="666"/>
        <v>80.599999999999994</v>
      </c>
      <c r="AL206" s="289">
        <v>80.599999999999994</v>
      </c>
      <c r="AM206" s="289">
        <v>78.5</v>
      </c>
      <c r="AN206" s="281">
        <f t="shared" si="667"/>
        <v>216.7</v>
      </c>
      <c r="AO206" s="289">
        <f>38.5+178.2</f>
        <v>216.7</v>
      </c>
      <c r="AP206" s="289">
        <f>42.2+187.3</f>
        <v>229.5</v>
      </c>
      <c r="AQ206" s="281">
        <f t="shared" si="668"/>
        <v>228</v>
      </c>
      <c r="AR206" s="281">
        <f t="shared" si="668"/>
        <v>228</v>
      </c>
      <c r="AS206" s="289">
        <f>190.4+37.6</f>
        <v>228</v>
      </c>
      <c r="AT206" s="289">
        <f>198.1+39.1</f>
        <v>237.2</v>
      </c>
      <c r="AU206" s="281">
        <f t="shared" si="669"/>
        <v>219.8</v>
      </c>
      <c r="AV206" s="289">
        <f>180+39.8</f>
        <v>219.8</v>
      </c>
      <c r="AW206" s="289">
        <v>37.9</v>
      </c>
      <c r="AX206" s="289">
        <v>39.700000000000003</v>
      </c>
      <c r="AY206" s="281">
        <f>+AX206</f>
        <v>39.700000000000003</v>
      </c>
      <c r="AZ206" s="281">
        <f>+AY206</f>
        <v>39.700000000000003</v>
      </c>
      <c r="BA206" s="289">
        <v>36.799999999999997</v>
      </c>
      <c r="BB206" s="281">
        <f>+BC206</f>
        <v>38</v>
      </c>
      <c r="BC206" s="289">
        <v>38</v>
      </c>
      <c r="BD206" s="289">
        <v>37.5</v>
      </c>
      <c r="BE206" s="281">
        <f t="shared" si="670"/>
        <v>36.799999999999997</v>
      </c>
      <c r="BF206" s="281">
        <f t="shared" si="670"/>
        <v>36.799999999999997</v>
      </c>
      <c r="BG206" s="289">
        <v>36.799999999999997</v>
      </c>
      <c r="BH206" s="289">
        <v>30.9</v>
      </c>
      <c r="BI206" s="281">
        <f t="shared" si="671"/>
        <v>28.5</v>
      </c>
      <c r="BJ206" s="289">
        <v>28.5</v>
      </c>
      <c r="BK206" s="289">
        <v>31.3</v>
      </c>
      <c r="BL206" s="289">
        <v>32.299999999999997</v>
      </c>
      <c r="BM206" s="281">
        <f>BL206</f>
        <v>32.299999999999997</v>
      </c>
      <c r="BN206" s="281">
        <f>BM206</f>
        <v>32.299999999999997</v>
      </c>
      <c r="BO206" s="289">
        <v>27.9</v>
      </c>
      <c r="BP206" s="289">
        <v>28.8</v>
      </c>
      <c r="BQ206" s="281">
        <f t="shared" si="673"/>
        <v>28.8</v>
      </c>
      <c r="BR206" s="289">
        <v>24.5</v>
      </c>
      <c r="BS206" s="289">
        <v>21</v>
      </c>
      <c r="BT206" s="281">
        <f>BS206</f>
        <v>21</v>
      </c>
      <c r="BU206" s="281">
        <f>BT206</f>
        <v>21</v>
      </c>
      <c r="BV206" s="289">
        <f>19.2</f>
        <v>19.2</v>
      </c>
      <c r="BW206" s="289">
        <v>16.899999999999999</v>
      </c>
      <c r="BX206" s="281">
        <f>BW206</f>
        <v>16.899999999999999</v>
      </c>
      <c r="BY206" s="289">
        <v>15.7</v>
      </c>
      <c r="BZ206" s="289">
        <v>14.7</v>
      </c>
      <c r="CA206" s="281">
        <f t="shared" si="675"/>
        <v>14.7</v>
      </c>
      <c r="CB206" s="281">
        <f t="shared" si="675"/>
        <v>14.7</v>
      </c>
      <c r="CC206" s="289">
        <v>16</v>
      </c>
      <c r="CD206" s="289">
        <v>14.4</v>
      </c>
      <c r="CE206" s="281">
        <f t="shared" si="676"/>
        <v>14.4</v>
      </c>
      <c r="CF206" s="289">
        <v>14.9</v>
      </c>
      <c r="CG206" s="289">
        <v>15.9</v>
      </c>
      <c r="CH206" s="281">
        <f t="shared" si="677"/>
        <v>15.9</v>
      </c>
      <c r="CI206" s="281">
        <f t="shared" si="677"/>
        <v>15.9</v>
      </c>
      <c r="CJ206" s="289">
        <v>17.2</v>
      </c>
      <c r="CK206" s="281">
        <v>14.4</v>
      </c>
      <c r="CL206" s="281">
        <f t="shared" si="678"/>
        <v>14.4</v>
      </c>
      <c r="CM206" s="289">
        <f>21.8+29</f>
        <v>50.8</v>
      </c>
      <c r="CN206" s="289">
        <f>25.9+25.9</f>
        <v>51.8</v>
      </c>
      <c r="CO206" s="281">
        <f t="shared" si="679"/>
        <v>51.8</v>
      </c>
      <c r="CP206" s="282">
        <f t="shared" si="679"/>
        <v>51.8</v>
      </c>
      <c r="CQ206" s="290">
        <f>25.9+48.3</f>
        <v>74.199999999999989</v>
      </c>
      <c r="CR206" s="290">
        <f>49.1+25.9</f>
        <v>75</v>
      </c>
      <c r="CS206" s="282">
        <f t="shared" si="680"/>
        <v>75</v>
      </c>
      <c r="CT206" s="290">
        <f>44.4+25.2</f>
        <v>69.599999999999994</v>
      </c>
      <c r="CU206" s="290">
        <f>44.6+25.2</f>
        <v>69.8</v>
      </c>
      <c r="CV206" s="282">
        <f t="shared" si="681"/>
        <v>69.8</v>
      </c>
      <c r="CW206" s="282">
        <f t="shared" si="681"/>
        <v>69.8</v>
      </c>
      <c r="CX206" s="291">
        <f>45.2+66.5+0.7+25.2</f>
        <v>137.6</v>
      </c>
      <c r="CY206" s="290">
        <f>41.4+62.8+0.8+25.2</f>
        <v>130.19999999999999</v>
      </c>
      <c r="CZ206" s="282">
        <f t="shared" si="682"/>
        <v>130.19999999999999</v>
      </c>
      <c r="DA206" s="290">
        <f>65.7+0.8+24.2+41.5</f>
        <v>132.19999999999999</v>
      </c>
      <c r="DB206" s="290">
        <f>41.4+1.5+43.7</f>
        <v>86.6</v>
      </c>
      <c r="DC206" s="282">
        <f t="shared" si="683"/>
        <v>86.6</v>
      </c>
      <c r="DD206" s="670">
        <f t="shared" si="683"/>
        <v>86.6</v>
      </c>
      <c r="DE206" s="290">
        <f>40.2+1.5+21.3+49.5</f>
        <v>112.5</v>
      </c>
      <c r="DF206" s="290">
        <f>39.6+1.8+45.5</f>
        <v>86.9</v>
      </c>
      <c r="DG206" s="282">
        <f t="shared" si="684"/>
        <v>86.9</v>
      </c>
      <c r="DH206" s="290">
        <f>40.7+1.8+53</f>
        <v>95.5</v>
      </c>
      <c r="DI206" s="290">
        <f>53.3+1.9+4.7+54.8</f>
        <v>114.69999999999999</v>
      </c>
      <c r="DJ206" s="282">
        <f t="shared" si="685"/>
        <v>114.69999999999999</v>
      </c>
      <c r="DK206" s="670">
        <f t="shared" si="685"/>
        <v>114.69999999999999</v>
      </c>
      <c r="DL206" s="292">
        <f>55.3+1.7+60.4+6.2</f>
        <v>123.60000000000001</v>
      </c>
      <c r="DM206" s="290">
        <f>65.5+1.5+5.4+51.7</f>
        <v>124.10000000000001</v>
      </c>
      <c r="DN206" s="282">
        <f t="shared" si="686"/>
        <v>124.10000000000001</v>
      </c>
      <c r="DO206" s="290">
        <f>64.9+1.5+2.3+49.1</f>
        <v>117.80000000000001</v>
      </c>
      <c r="DP206" s="282">
        <f t="shared" si="687"/>
        <v>113.5</v>
      </c>
      <c r="DQ206" s="282">
        <f t="shared" si="687"/>
        <v>113.5</v>
      </c>
      <c r="DR206" s="670">
        <f>63.1+1.5+48.9</f>
        <v>113.5</v>
      </c>
      <c r="DS206" s="290">
        <f>66.4+1.3+45.4</f>
        <v>113.1</v>
      </c>
      <c r="DT206" s="290">
        <f>62.6+1.6+46.1</f>
        <v>110.30000000000001</v>
      </c>
      <c r="DU206" s="282">
        <f t="shared" si="688"/>
        <v>110.30000000000001</v>
      </c>
      <c r="DV206" s="290">
        <f>60.1+1.5+46.9</f>
        <v>108.5</v>
      </c>
      <c r="DW206" s="282">
        <f t="shared" si="689"/>
        <v>111.2</v>
      </c>
      <c r="DX206" s="282">
        <f t="shared" si="690"/>
        <v>111.2</v>
      </c>
      <c r="DY206" s="670">
        <f>61.1+1.4+48.7</f>
        <v>111.2</v>
      </c>
      <c r="DZ206" s="290">
        <f>59.2+2.4+54.1</f>
        <v>115.7</v>
      </c>
      <c r="EA206" s="290">
        <f>59.8+1.9+52.4</f>
        <v>114.1</v>
      </c>
      <c r="EB206" s="282">
        <f t="shared" si="691"/>
        <v>114.1</v>
      </c>
      <c r="EC206" s="290">
        <f>60.7+2.6+52.7</f>
        <v>116</v>
      </c>
      <c r="ED206" s="282">
        <f t="shared" si="692"/>
        <v>117.9</v>
      </c>
      <c r="EE206" s="282">
        <f t="shared" si="693"/>
        <v>117.9</v>
      </c>
      <c r="EF206" s="670">
        <f>59.4+58.5</f>
        <v>117.9</v>
      </c>
      <c r="EG206" s="290">
        <f>62.4+59.2</f>
        <v>121.6</v>
      </c>
      <c r="EH206" s="290">
        <f>65+57.8</f>
        <v>122.8</v>
      </c>
      <c r="EI206" s="282">
        <f t="shared" si="694"/>
        <v>122.8</v>
      </c>
      <c r="EJ206" s="290">
        <f>63.7+55.2</f>
        <v>118.9</v>
      </c>
      <c r="EK206" s="282">
        <f t="shared" si="695"/>
        <v>119.4</v>
      </c>
      <c r="EL206" s="282">
        <f t="shared" si="696"/>
        <v>119.4</v>
      </c>
      <c r="EM206" s="670">
        <f>63.9+55.5</f>
        <v>119.4</v>
      </c>
      <c r="EN206" s="290">
        <f>63.3+54.6</f>
        <v>117.9</v>
      </c>
      <c r="EO206" s="290">
        <f>98.3+63.5+96.1</f>
        <v>257.89999999999998</v>
      </c>
      <c r="EP206" s="282">
        <f t="shared" si="697"/>
        <v>257.89999999999998</v>
      </c>
      <c r="EQ206" s="292">
        <f>112.5+103.6+56.7</f>
        <v>272.8</v>
      </c>
      <c r="ER206" s="282">
        <f>EQ206</f>
        <v>272.8</v>
      </c>
      <c r="ES206" s="282">
        <f t="shared" si="698"/>
        <v>272.8</v>
      </c>
      <c r="ET206" s="590">
        <f t="shared" si="698"/>
        <v>272.8</v>
      </c>
      <c r="EU206" s="282">
        <f>ET206</f>
        <v>272.8</v>
      </c>
      <c r="EV206" s="282">
        <f>EU206</f>
        <v>272.8</v>
      </c>
      <c r="EW206" s="282">
        <f t="shared" si="699"/>
        <v>272.8</v>
      </c>
      <c r="EX206" s="282">
        <f>EW206</f>
        <v>272.8</v>
      </c>
      <c r="EY206" s="282">
        <f>EX206</f>
        <v>272.8</v>
      </c>
      <c r="EZ206" s="282">
        <f t="shared" si="700"/>
        <v>272.8</v>
      </c>
      <c r="FA206" s="590">
        <f t="shared" si="700"/>
        <v>272.8</v>
      </c>
      <c r="FB206" s="282">
        <f>FA206</f>
        <v>272.8</v>
      </c>
      <c r="FC206" s="282">
        <f>FB206</f>
        <v>272.8</v>
      </c>
      <c r="FD206" s="282">
        <f t="shared" si="701"/>
        <v>272.8</v>
      </c>
      <c r="FE206" s="282">
        <f>FD206</f>
        <v>272.8</v>
      </c>
      <c r="FF206" s="282">
        <f>FE206</f>
        <v>272.8</v>
      </c>
      <c r="FG206" s="282">
        <f t="shared" si="702"/>
        <v>272.8</v>
      </c>
      <c r="FH206" s="590">
        <f t="shared" si="702"/>
        <v>272.8</v>
      </c>
      <c r="FI206" s="282">
        <f>FH206</f>
        <v>272.8</v>
      </c>
      <c r="FJ206" s="282">
        <f>FI206</f>
        <v>272.8</v>
      </c>
      <c r="FK206" s="282">
        <f t="shared" si="703"/>
        <v>272.8</v>
      </c>
      <c r="FL206" s="282">
        <f>FK206</f>
        <v>272.8</v>
      </c>
      <c r="FM206" s="282">
        <f>FL206</f>
        <v>272.8</v>
      </c>
      <c r="FN206" s="282">
        <f t="shared" si="704"/>
        <v>272.8</v>
      </c>
      <c r="FO206" s="590">
        <f t="shared" si="704"/>
        <v>272.8</v>
      </c>
      <c r="FP206" s="282">
        <f>FO206</f>
        <v>272.8</v>
      </c>
      <c r="FQ206" s="282">
        <f>FP206</f>
        <v>272.8</v>
      </c>
      <c r="FR206" s="282">
        <f t="shared" si="705"/>
        <v>272.8</v>
      </c>
      <c r="FS206" s="282">
        <f>FR206</f>
        <v>272.8</v>
      </c>
      <c r="FT206" s="282">
        <f>FS206</f>
        <v>272.8</v>
      </c>
      <c r="FU206" s="282">
        <f t="shared" si="706"/>
        <v>272.8</v>
      </c>
      <c r="FV206" s="590">
        <f t="shared" si="706"/>
        <v>272.8</v>
      </c>
      <c r="FW206" s="534"/>
    </row>
    <row r="207" spans="1:280" s="331" customFormat="1" outlineLevel="1" x14ac:dyDescent="0.3">
      <c r="A207" s="485"/>
      <c r="B207" s="486" t="s">
        <v>543</v>
      </c>
      <c r="C207" s="280" t="s">
        <v>226</v>
      </c>
      <c r="D207" s="370">
        <f t="shared" ref="D207:AL207" si="707">SUM(D201:D206)</f>
        <v>269.5</v>
      </c>
      <c r="E207" s="370">
        <f t="shared" si="707"/>
        <v>269.3</v>
      </c>
      <c r="F207" s="370">
        <f t="shared" si="707"/>
        <v>269.3</v>
      </c>
      <c r="G207" s="370">
        <f t="shared" si="707"/>
        <v>246.7</v>
      </c>
      <c r="H207" s="370">
        <f t="shared" si="707"/>
        <v>844.5</v>
      </c>
      <c r="I207" s="370">
        <f t="shared" si="707"/>
        <v>844.5</v>
      </c>
      <c r="J207" s="369">
        <f t="shared" si="707"/>
        <v>844.5</v>
      </c>
      <c r="K207" s="369">
        <f t="shared" si="707"/>
        <v>888.09999999999991</v>
      </c>
      <c r="L207" s="369">
        <f t="shared" si="707"/>
        <v>938</v>
      </c>
      <c r="M207" s="369">
        <f t="shared" si="707"/>
        <v>938</v>
      </c>
      <c r="N207" s="369">
        <f t="shared" si="707"/>
        <v>986.6</v>
      </c>
      <c r="O207" s="369">
        <f t="shared" si="707"/>
        <v>1551.8</v>
      </c>
      <c r="P207" s="369">
        <f t="shared" si="707"/>
        <v>1551.8</v>
      </c>
      <c r="Q207" s="369">
        <f t="shared" si="707"/>
        <v>1551.8</v>
      </c>
      <c r="R207" s="369">
        <f t="shared" si="707"/>
        <v>1659.1</v>
      </c>
      <c r="S207" s="369">
        <f t="shared" si="707"/>
        <v>1697.1000000000001</v>
      </c>
      <c r="T207" s="369">
        <f t="shared" si="707"/>
        <v>1697.1000000000001</v>
      </c>
      <c r="U207" s="369">
        <f t="shared" si="707"/>
        <v>1840.7999999999997</v>
      </c>
      <c r="V207" s="369">
        <f t="shared" si="707"/>
        <v>2033.3</v>
      </c>
      <c r="W207" s="369">
        <f t="shared" si="707"/>
        <v>2033.3</v>
      </c>
      <c r="X207" s="369">
        <f t="shared" si="707"/>
        <v>2033.3</v>
      </c>
      <c r="Y207" s="369">
        <f t="shared" si="707"/>
        <v>2199.1000000000004</v>
      </c>
      <c r="Z207" s="369">
        <f t="shared" si="707"/>
        <v>1680.9</v>
      </c>
      <c r="AA207" s="369">
        <f t="shared" si="707"/>
        <v>1680.9</v>
      </c>
      <c r="AB207" s="369">
        <f t="shared" si="707"/>
        <v>1476.2999999999997</v>
      </c>
      <c r="AC207" s="369">
        <f t="shared" si="707"/>
        <v>1685.3999999999999</v>
      </c>
      <c r="AD207" s="369">
        <f t="shared" si="707"/>
        <v>1685.3999999999999</v>
      </c>
      <c r="AE207" s="369">
        <f t="shared" si="707"/>
        <v>1685.3999999999999</v>
      </c>
      <c r="AF207" s="369">
        <f t="shared" si="707"/>
        <v>1719.2</v>
      </c>
      <c r="AG207" s="369">
        <f t="shared" si="707"/>
        <v>1815</v>
      </c>
      <c r="AH207" s="369">
        <f t="shared" si="707"/>
        <v>1815</v>
      </c>
      <c r="AI207" s="369">
        <f t="shared" si="707"/>
        <v>1867.9</v>
      </c>
      <c r="AJ207" s="369">
        <f t="shared" si="707"/>
        <v>1882.6</v>
      </c>
      <c r="AK207" s="369">
        <f t="shared" si="707"/>
        <v>1882.6</v>
      </c>
      <c r="AL207" s="369">
        <f t="shared" si="707"/>
        <v>1882.6</v>
      </c>
      <c r="AM207" s="369">
        <f t="shared" ref="AM207:CX207" si="708">SUM(AM201:AM206)</f>
        <v>1864.2</v>
      </c>
      <c r="AN207" s="369">
        <f t="shared" si="708"/>
        <v>2103.2999999999997</v>
      </c>
      <c r="AO207" s="369">
        <f t="shared" si="708"/>
        <v>2103.2999999999997</v>
      </c>
      <c r="AP207" s="369">
        <f t="shared" si="708"/>
        <v>2146.4</v>
      </c>
      <c r="AQ207" s="369">
        <f t="shared" si="708"/>
        <v>2092.6000000000004</v>
      </c>
      <c r="AR207" s="369">
        <f t="shared" si="708"/>
        <v>2092.6000000000004</v>
      </c>
      <c r="AS207" s="369">
        <f t="shared" si="708"/>
        <v>2092.6000000000004</v>
      </c>
      <c r="AT207" s="369">
        <f t="shared" si="708"/>
        <v>2186.5</v>
      </c>
      <c r="AU207" s="369">
        <f t="shared" si="708"/>
        <v>1942.3999999999999</v>
      </c>
      <c r="AV207" s="369">
        <f t="shared" si="708"/>
        <v>1942.3999999999999</v>
      </c>
      <c r="AW207" s="369">
        <f t="shared" si="708"/>
        <v>1936.3000000000002</v>
      </c>
      <c r="AX207" s="369">
        <f t="shared" si="708"/>
        <v>1780.5</v>
      </c>
      <c r="AY207" s="369">
        <f t="shared" si="708"/>
        <v>1780.5</v>
      </c>
      <c r="AZ207" s="369">
        <f t="shared" si="708"/>
        <v>1780.5</v>
      </c>
      <c r="BA207" s="369">
        <f t="shared" si="708"/>
        <v>1704.4</v>
      </c>
      <c r="BB207" s="369">
        <f t="shared" si="708"/>
        <v>1717.4</v>
      </c>
      <c r="BC207" s="369">
        <f t="shared" si="708"/>
        <v>1717.4</v>
      </c>
      <c r="BD207" s="369">
        <f t="shared" si="708"/>
        <v>1669.9</v>
      </c>
      <c r="BE207" s="369">
        <f t="shared" si="708"/>
        <v>1772.1000000000001</v>
      </c>
      <c r="BF207" s="369">
        <f t="shared" si="708"/>
        <v>1772.1000000000001</v>
      </c>
      <c r="BG207" s="369">
        <f t="shared" si="708"/>
        <v>1772.1000000000001</v>
      </c>
      <c r="BH207" s="369">
        <f t="shared" si="708"/>
        <v>1548.8000000000002</v>
      </c>
      <c r="BI207" s="369">
        <f t="shared" si="708"/>
        <v>1519.1</v>
      </c>
      <c r="BJ207" s="369">
        <f t="shared" si="708"/>
        <v>1519.1</v>
      </c>
      <c r="BK207" s="369">
        <f t="shared" si="708"/>
        <v>1437.8999999999999</v>
      </c>
      <c r="BL207" s="369">
        <f t="shared" si="708"/>
        <v>1768.3</v>
      </c>
      <c r="BM207" s="369">
        <f t="shared" si="708"/>
        <v>1768.3</v>
      </c>
      <c r="BN207" s="369">
        <f t="shared" si="708"/>
        <v>1768.3</v>
      </c>
      <c r="BO207" s="369">
        <f>SUM(BO201:BO206)</f>
        <v>1769.1000000000001</v>
      </c>
      <c r="BP207" s="369">
        <f t="shared" si="708"/>
        <v>2000.8</v>
      </c>
      <c r="BQ207" s="369">
        <f t="shared" si="708"/>
        <v>2000.8</v>
      </c>
      <c r="BR207" s="369">
        <f t="shared" si="708"/>
        <v>1876.8999999999999</v>
      </c>
      <c r="BS207" s="369">
        <f t="shared" si="708"/>
        <v>1869.2</v>
      </c>
      <c r="BT207" s="369">
        <f>SUM(BT201:BT206)</f>
        <v>1869.2</v>
      </c>
      <c r="BU207" s="369">
        <f>SUM(BU201:BU206)</f>
        <v>1869.2</v>
      </c>
      <c r="BV207" s="369">
        <f t="shared" si="708"/>
        <v>1827.7</v>
      </c>
      <c r="BW207" s="369">
        <f t="shared" si="708"/>
        <v>1803.1000000000001</v>
      </c>
      <c r="BX207" s="369">
        <f t="shared" si="708"/>
        <v>1803.1000000000001</v>
      </c>
      <c r="BY207" s="369">
        <f t="shared" si="708"/>
        <v>1819.8999999999999</v>
      </c>
      <c r="BZ207" s="369">
        <f t="shared" si="708"/>
        <v>1865.8</v>
      </c>
      <c r="CA207" s="369">
        <f t="shared" si="708"/>
        <v>1865.8</v>
      </c>
      <c r="CB207" s="369">
        <f t="shared" si="708"/>
        <v>1865.8</v>
      </c>
      <c r="CC207" s="369">
        <f>SUM(CC201:CC206)</f>
        <v>1695</v>
      </c>
      <c r="CD207" s="369">
        <f t="shared" si="708"/>
        <v>1926.6000000000001</v>
      </c>
      <c r="CE207" s="369">
        <f>SUM(CE201:CE206)</f>
        <v>1926.6000000000001</v>
      </c>
      <c r="CF207" s="369">
        <f t="shared" si="708"/>
        <v>1734.2</v>
      </c>
      <c r="CG207" s="369">
        <f t="shared" si="708"/>
        <v>1796.1000000000001</v>
      </c>
      <c r="CH207" s="369">
        <f>SUM(CH201:CH206)</f>
        <v>1796.1000000000001</v>
      </c>
      <c r="CI207" s="369">
        <f>SUM(CI201:CI206)</f>
        <v>1796.1000000000001</v>
      </c>
      <c r="CJ207" s="369">
        <f t="shared" si="708"/>
        <v>1763.0000000000002</v>
      </c>
      <c r="CK207" s="369">
        <f t="shared" si="708"/>
        <v>1902.8000000000002</v>
      </c>
      <c r="CL207" s="369">
        <f t="shared" si="708"/>
        <v>1902.8000000000002</v>
      </c>
      <c r="CM207" s="369">
        <f t="shared" si="708"/>
        <v>1935.1</v>
      </c>
      <c r="CN207" s="369">
        <f>SUM(CN201:CN206)</f>
        <v>2177.9000000000005</v>
      </c>
      <c r="CO207" s="369">
        <f>SUM(CO201:CO206)</f>
        <v>2177.9000000000005</v>
      </c>
      <c r="CP207" s="487">
        <f>SUM(CP201:CP206)</f>
        <v>2177.9000000000005</v>
      </c>
      <c r="CQ207" s="487">
        <f t="shared" si="708"/>
        <v>2048.9</v>
      </c>
      <c r="CR207" s="487">
        <f t="shared" si="708"/>
        <v>2575</v>
      </c>
      <c r="CS207" s="487">
        <f>SUM(CS201:CS206)</f>
        <v>2575</v>
      </c>
      <c r="CT207" s="487">
        <f>SUM(CT201:CT206)</f>
        <v>2453.1999999999998</v>
      </c>
      <c r="CU207" s="487">
        <f>SUM(CU201:CU206)</f>
        <v>2575.2000000000003</v>
      </c>
      <c r="CV207" s="487">
        <f>SUM(CV201:CV206)</f>
        <v>2575.2000000000003</v>
      </c>
      <c r="CW207" s="487">
        <f>SUM(CW201:CW206)</f>
        <v>2575.2000000000003</v>
      </c>
      <c r="CX207" s="487">
        <f t="shared" si="708"/>
        <v>2532.2000000000003</v>
      </c>
      <c r="CY207" s="487">
        <f t="shared" ref="CY207:DT207" si="709">SUM(CY201:CY206)</f>
        <v>2581.1999999999998</v>
      </c>
      <c r="CZ207" s="487">
        <f t="shared" si="709"/>
        <v>2581.1999999999998</v>
      </c>
      <c r="DA207" s="487">
        <f t="shared" si="709"/>
        <v>2571.2999999999997</v>
      </c>
      <c r="DB207" s="487">
        <f>SUM(DB201:DB206)</f>
        <v>2482.9999999999995</v>
      </c>
      <c r="DC207" s="487">
        <f>SUM(DC201:DC206)</f>
        <v>2482.9999999999995</v>
      </c>
      <c r="DD207" s="613">
        <f>SUM(DD201:DD206)</f>
        <v>2482.9999999999995</v>
      </c>
      <c r="DE207" s="487">
        <f t="shared" si="709"/>
        <v>2445.8000000000002</v>
      </c>
      <c r="DF207" s="487">
        <f t="shared" si="709"/>
        <v>2474.1000000000004</v>
      </c>
      <c r="DG207" s="487">
        <f>SUM(DG201:DG206)</f>
        <v>2474.1000000000004</v>
      </c>
      <c r="DH207" s="487">
        <f t="shared" si="709"/>
        <v>2164.6</v>
      </c>
      <c r="DI207" s="487">
        <f t="shared" si="709"/>
        <v>2127.1</v>
      </c>
      <c r="DJ207" s="487">
        <f t="shared" si="709"/>
        <v>2127.1</v>
      </c>
      <c r="DK207" s="613">
        <f t="shared" si="709"/>
        <v>2127.1</v>
      </c>
      <c r="DL207" s="492">
        <f t="shared" si="709"/>
        <v>2177.1999999999998</v>
      </c>
      <c r="DM207" s="487">
        <f t="shared" si="709"/>
        <v>2019.8</v>
      </c>
      <c r="DN207" s="487">
        <f>SUM(DN201:DN206)</f>
        <v>2019.8</v>
      </c>
      <c r="DO207" s="487">
        <f t="shared" si="709"/>
        <v>2024.7</v>
      </c>
      <c r="DP207" s="487">
        <f t="shared" si="709"/>
        <v>2140.3999999999996</v>
      </c>
      <c r="DQ207" s="487">
        <f t="shared" si="709"/>
        <v>2140.3999999999996</v>
      </c>
      <c r="DR207" s="613">
        <f t="shared" si="709"/>
        <v>2140.3999999999996</v>
      </c>
      <c r="DS207" s="487">
        <f t="shared" si="709"/>
        <v>2012.5999999999997</v>
      </c>
      <c r="DT207" s="487">
        <f t="shared" si="709"/>
        <v>1999.1</v>
      </c>
      <c r="DU207" s="487">
        <f>SUM(DU201:DU206)</f>
        <v>1999.1</v>
      </c>
      <c r="DV207" s="306">
        <f t="shared" ref="DV207:EA207" si="710">SUM(DV201:DV206)</f>
        <v>2064.3999999999996</v>
      </c>
      <c r="DW207" s="487">
        <f t="shared" si="710"/>
        <v>2170.4</v>
      </c>
      <c r="DX207" s="487">
        <f t="shared" si="710"/>
        <v>2170.4</v>
      </c>
      <c r="DY207" s="613">
        <f t="shared" si="710"/>
        <v>2170.4</v>
      </c>
      <c r="DZ207" s="487">
        <f t="shared" si="710"/>
        <v>2052.5</v>
      </c>
      <c r="EA207" s="487">
        <f t="shared" si="710"/>
        <v>1983.3999999999999</v>
      </c>
      <c r="EB207" s="487">
        <f>SUM(EB201:EB206)</f>
        <v>1983.3999999999999</v>
      </c>
      <c r="EC207" s="487">
        <f t="shared" ref="EC207:EH207" si="711">SUM(EC201:EC206)</f>
        <v>2171.2999999999997</v>
      </c>
      <c r="ED207" s="487">
        <f t="shared" si="711"/>
        <v>2256</v>
      </c>
      <c r="EE207" s="487">
        <f t="shared" si="711"/>
        <v>2256</v>
      </c>
      <c r="EF207" s="613">
        <f t="shared" si="711"/>
        <v>2256</v>
      </c>
      <c r="EG207" s="487">
        <f t="shared" si="711"/>
        <v>2245.6999999999998</v>
      </c>
      <c r="EH207" s="487">
        <f t="shared" si="711"/>
        <v>2277.4</v>
      </c>
      <c r="EI207" s="487">
        <f>SUM(EI201:EI206)</f>
        <v>2277.4</v>
      </c>
      <c r="EJ207" s="487">
        <f>SUM(EJ201:EJ206)</f>
        <v>2123.4</v>
      </c>
      <c r="EK207" s="487">
        <f>SUM(EK201:EK206)</f>
        <v>2258.2000000000003</v>
      </c>
      <c r="EL207" s="487">
        <f>SUM(EL201:EL206)</f>
        <v>2258.2000000000003</v>
      </c>
      <c r="EM207" s="613">
        <f>SUM(EM201:EM206)</f>
        <v>2258.2000000000003</v>
      </c>
      <c r="EN207" s="487">
        <f t="shared" ref="EN207:EO207" si="712">SUM(EN201:EN206)</f>
        <v>3686.8</v>
      </c>
      <c r="EO207" s="487">
        <f t="shared" si="712"/>
        <v>6616.6999999999989</v>
      </c>
      <c r="EP207" s="487">
        <f>SUM(EP201:EP206)</f>
        <v>6616.6999999999989</v>
      </c>
      <c r="EQ207" s="492">
        <f t="shared" ref="EQ207" si="713">SUM(EQ201:EQ206)</f>
        <v>6294.0000000000009</v>
      </c>
      <c r="ER207" s="487">
        <f t="shared" ref="ER207:FV207" si="714">SUM(ER201:ER206)</f>
        <v>6213.0042456470974</v>
      </c>
      <c r="ES207" s="487">
        <f t="shared" si="714"/>
        <v>6213.0042456470974</v>
      </c>
      <c r="ET207" s="613">
        <f t="shared" si="714"/>
        <v>6213.0042456470974</v>
      </c>
      <c r="EU207" s="487">
        <f t="shared" si="714"/>
        <v>5941.0004353048334</v>
      </c>
      <c r="EV207" s="487">
        <f t="shared" si="714"/>
        <v>5831.2253234241525</v>
      </c>
      <c r="EW207" s="487">
        <f t="shared" si="714"/>
        <v>5831.2253234241525</v>
      </c>
      <c r="EX207" s="487">
        <f t="shared" si="714"/>
        <v>5637.4632581994438</v>
      </c>
      <c r="EY207" s="487">
        <f t="shared" si="714"/>
        <v>5545.8307719910563</v>
      </c>
      <c r="EZ207" s="487">
        <f t="shared" si="714"/>
        <v>5545.8307719910563</v>
      </c>
      <c r="FA207" s="613">
        <f t="shared" si="714"/>
        <v>5545.8307719910563</v>
      </c>
      <c r="FB207" s="487">
        <f t="shared" si="714"/>
        <v>5224.434808024057</v>
      </c>
      <c r="FC207" s="487">
        <f t="shared" si="714"/>
        <v>5076.3199895838952</v>
      </c>
      <c r="FD207" s="487">
        <f t="shared" si="714"/>
        <v>5076.3199895838952</v>
      </c>
      <c r="FE207" s="487">
        <f t="shared" si="714"/>
        <v>4823.3086947313905</v>
      </c>
      <c r="FF207" s="487">
        <f t="shared" si="714"/>
        <v>4690.9568014750021</v>
      </c>
      <c r="FG207" s="487">
        <f t="shared" si="714"/>
        <v>4690.9568014750021</v>
      </c>
      <c r="FH207" s="613">
        <f t="shared" si="714"/>
        <v>4690.9568014750021</v>
      </c>
      <c r="FI207" s="487">
        <f t="shared" si="714"/>
        <v>4304.6562812249813</v>
      </c>
      <c r="FJ207" s="487">
        <f t="shared" si="714"/>
        <v>4118.8386955525039</v>
      </c>
      <c r="FK207" s="487">
        <f t="shared" si="714"/>
        <v>4118.8386955525039</v>
      </c>
      <c r="FL207" s="487">
        <f t="shared" si="714"/>
        <v>3822.3739226758576</v>
      </c>
      <c r="FM207" s="487">
        <f t="shared" si="714"/>
        <v>3655.4236530367039</v>
      </c>
      <c r="FN207" s="487">
        <f t="shared" si="714"/>
        <v>3655.4236530367039</v>
      </c>
      <c r="FO207" s="613">
        <f t="shared" si="714"/>
        <v>3655.4236530367039</v>
      </c>
      <c r="FP207" s="487">
        <f t="shared" si="714"/>
        <v>3221.2715683811571</v>
      </c>
      <c r="FQ207" s="487">
        <f t="shared" si="714"/>
        <v>2996.227222845278</v>
      </c>
      <c r="FR207" s="487">
        <f t="shared" si="714"/>
        <v>2996.227222845278</v>
      </c>
      <c r="FS207" s="487">
        <f t="shared" si="714"/>
        <v>2651.7816176024608</v>
      </c>
      <c r="FT207" s="487">
        <f t="shared" si="714"/>
        <v>2446.0424386772097</v>
      </c>
      <c r="FU207" s="487">
        <f t="shared" si="714"/>
        <v>2446.0424386772097</v>
      </c>
      <c r="FV207" s="613">
        <f t="shared" si="714"/>
        <v>2446.0424386772097</v>
      </c>
      <c r="FW207" s="645"/>
      <c r="FX207" s="636"/>
      <c r="FY207" s="636"/>
      <c r="FZ207" s="636"/>
      <c r="GA207" s="636"/>
      <c r="GB207"/>
      <c r="GC207"/>
      <c r="GD207"/>
      <c r="GE207"/>
      <c r="GF207"/>
      <c r="GG207"/>
      <c r="GH207" s="637"/>
      <c r="GI207" s="637"/>
      <c r="GJ207" s="637"/>
      <c r="GK207" s="637"/>
      <c r="GL207" s="637"/>
      <c r="GM207" s="637"/>
      <c r="GN207" s="637"/>
      <c r="GO207" s="637"/>
      <c r="GP207" s="637"/>
      <c r="GQ207" s="637"/>
      <c r="GR207" s="637"/>
      <c r="GS207" s="637"/>
      <c r="GT207" s="637"/>
      <c r="GU207" s="637"/>
      <c r="GV207" s="637"/>
      <c r="GW207" s="637"/>
      <c r="GX207" s="637"/>
      <c r="GY207" s="637"/>
      <c r="GZ207" s="637"/>
      <c r="HA207" s="637"/>
      <c r="HB207" s="637"/>
      <c r="HC207" s="637"/>
      <c r="HD207" s="637"/>
      <c r="HE207" s="637"/>
      <c r="HF207" s="637"/>
      <c r="HG207" s="637"/>
      <c r="HH207" s="637"/>
      <c r="HI207" s="637"/>
      <c r="HJ207" s="637"/>
      <c r="HK207" s="637"/>
      <c r="HL207" s="637"/>
      <c r="HM207" s="637"/>
      <c r="HN207" s="637"/>
      <c r="HO207" s="637"/>
      <c r="HP207" s="637"/>
      <c r="HQ207" s="637"/>
      <c r="HR207" s="637"/>
      <c r="HS207" s="637"/>
      <c r="HT207" s="637"/>
      <c r="HU207" s="637"/>
      <c r="HV207" s="637"/>
      <c r="HW207" s="637"/>
      <c r="HX207" s="637"/>
      <c r="HY207" s="637"/>
      <c r="HZ207" s="637"/>
      <c r="IA207" s="637"/>
      <c r="IB207" s="637"/>
      <c r="IC207" s="637"/>
      <c r="ID207" s="637"/>
      <c r="IE207" s="637"/>
      <c r="IF207" s="637"/>
      <c r="IG207" s="637"/>
      <c r="IH207" s="637"/>
      <c r="II207" s="637"/>
      <c r="IJ207" s="637"/>
      <c r="IK207" s="637"/>
      <c r="IL207" s="637"/>
      <c r="IM207" s="637"/>
      <c r="IN207" s="637"/>
      <c r="IO207" s="637"/>
      <c r="IP207" s="637"/>
      <c r="IQ207" s="637"/>
      <c r="IR207" s="637"/>
      <c r="IS207" s="637"/>
      <c r="IT207" s="637"/>
      <c r="IU207" s="637"/>
      <c r="IV207" s="637"/>
      <c r="IW207" s="637"/>
      <c r="IX207" s="637"/>
      <c r="IY207" s="637"/>
      <c r="IZ207" s="637"/>
      <c r="JA207" s="637"/>
      <c r="JB207" s="637"/>
      <c r="JC207" s="637"/>
      <c r="JD207" s="637"/>
      <c r="JE207" s="637"/>
      <c r="JF207" s="637"/>
      <c r="JG207" s="637"/>
      <c r="JH207" s="637"/>
      <c r="JI207" s="637"/>
      <c r="JJ207" s="637"/>
      <c r="JK207" s="637"/>
      <c r="JL207" s="637"/>
      <c r="JM207" s="637"/>
      <c r="JN207" s="637"/>
      <c r="JO207" s="637"/>
      <c r="JP207" s="637"/>
      <c r="JQ207" s="637"/>
      <c r="JR207" s="637"/>
      <c r="JS207" s="637"/>
      <c r="JT207" s="637"/>
    </row>
    <row r="208" spans="1:280" s="331" customFormat="1" outlineLevel="1" x14ac:dyDescent="0.3">
      <c r="A208" s="485"/>
      <c r="B208" s="486" t="s">
        <v>544</v>
      </c>
      <c r="C208" s="280" t="s">
        <v>226</v>
      </c>
      <c r="D208" s="370">
        <f t="shared" ref="D208:BO208" si="715">D207+D199</f>
        <v>523.79999999999995</v>
      </c>
      <c r="E208" s="370">
        <f t="shared" si="715"/>
        <v>487.8</v>
      </c>
      <c r="F208" s="370">
        <f t="shared" si="715"/>
        <v>487.8</v>
      </c>
      <c r="G208" s="370">
        <f t="shared" si="715"/>
        <v>472.7</v>
      </c>
      <c r="H208" s="370">
        <f t="shared" si="715"/>
        <v>1350.5</v>
      </c>
      <c r="I208" s="370">
        <f t="shared" si="715"/>
        <v>1350.5</v>
      </c>
      <c r="J208" s="369">
        <f t="shared" si="715"/>
        <v>1350.5</v>
      </c>
      <c r="K208" s="369">
        <f t="shared" si="715"/>
        <v>1239.3999999999999</v>
      </c>
      <c r="L208" s="369">
        <f t="shared" si="715"/>
        <v>1255.5999999999999</v>
      </c>
      <c r="M208" s="369">
        <f t="shared" si="715"/>
        <v>1255.5999999999999</v>
      </c>
      <c r="N208" s="369">
        <f t="shared" si="715"/>
        <v>1271.4000000000001</v>
      </c>
      <c r="O208" s="369">
        <f t="shared" si="715"/>
        <v>1869.4</v>
      </c>
      <c r="P208" s="369">
        <f t="shared" si="715"/>
        <v>1869.4</v>
      </c>
      <c r="Q208" s="369">
        <f t="shared" si="715"/>
        <v>1869.4</v>
      </c>
      <c r="R208" s="369">
        <f t="shared" si="715"/>
        <v>2070.1</v>
      </c>
      <c r="S208" s="369">
        <f t="shared" si="715"/>
        <v>2085.5</v>
      </c>
      <c r="T208" s="369">
        <f t="shared" si="715"/>
        <v>2085.5</v>
      </c>
      <c r="U208" s="369">
        <f t="shared" si="715"/>
        <v>2208.4999999999995</v>
      </c>
      <c r="V208" s="369">
        <f t="shared" si="715"/>
        <v>2382.5</v>
      </c>
      <c r="W208" s="369">
        <f t="shared" si="715"/>
        <v>2382.5</v>
      </c>
      <c r="X208" s="369">
        <f t="shared" si="715"/>
        <v>2382.5</v>
      </c>
      <c r="Y208" s="369">
        <f t="shared" si="715"/>
        <v>2594.9000000000005</v>
      </c>
      <c r="Z208" s="369">
        <f t="shared" si="715"/>
        <v>2160.1</v>
      </c>
      <c r="AA208" s="369">
        <f t="shared" si="715"/>
        <v>2160.1</v>
      </c>
      <c r="AB208" s="369">
        <f t="shared" si="715"/>
        <v>1864.4999999999998</v>
      </c>
      <c r="AC208" s="369">
        <f t="shared" si="715"/>
        <v>2000.3999999999999</v>
      </c>
      <c r="AD208" s="369">
        <f t="shared" si="715"/>
        <v>2000.3999999999999</v>
      </c>
      <c r="AE208" s="369">
        <f t="shared" si="715"/>
        <v>2000.3999999999999</v>
      </c>
      <c r="AF208" s="369">
        <f t="shared" si="715"/>
        <v>2192.8000000000002</v>
      </c>
      <c r="AG208" s="369">
        <f t="shared" si="715"/>
        <v>2273.6999999999998</v>
      </c>
      <c r="AH208" s="369">
        <f t="shared" si="715"/>
        <v>2273.6999999999998</v>
      </c>
      <c r="AI208" s="369">
        <f t="shared" si="715"/>
        <v>2262</v>
      </c>
      <c r="AJ208" s="369">
        <f t="shared" si="715"/>
        <v>2296.6999999999998</v>
      </c>
      <c r="AK208" s="369">
        <f t="shared" si="715"/>
        <v>2296.6999999999998</v>
      </c>
      <c r="AL208" s="369">
        <f t="shared" si="715"/>
        <v>2296.6999999999998</v>
      </c>
      <c r="AM208" s="369">
        <f t="shared" si="715"/>
        <v>2158.7000000000003</v>
      </c>
      <c r="AN208" s="369">
        <f t="shared" si="715"/>
        <v>2412.7999999999997</v>
      </c>
      <c r="AO208" s="369">
        <f t="shared" si="715"/>
        <v>2412.7999999999997</v>
      </c>
      <c r="AP208" s="369">
        <f t="shared" si="715"/>
        <v>2421.9</v>
      </c>
      <c r="AQ208" s="369">
        <f t="shared" si="715"/>
        <v>2415.1000000000004</v>
      </c>
      <c r="AR208" s="369">
        <f t="shared" si="715"/>
        <v>2415.1000000000004</v>
      </c>
      <c r="AS208" s="369">
        <f t="shared" si="715"/>
        <v>2415.1000000000004</v>
      </c>
      <c r="AT208" s="369">
        <f t="shared" si="715"/>
        <v>2468.3000000000002</v>
      </c>
      <c r="AU208" s="369">
        <f t="shared" si="715"/>
        <v>2217.2999999999997</v>
      </c>
      <c r="AV208" s="369">
        <f t="shared" si="715"/>
        <v>2217.2999999999997</v>
      </c>
      <c r="AW208" s="369">
        <f t="shared" si="715"/>
        <v>2236.8000000000002</v>
      </c>
      <c r="AX208" s="369">
        <f t="shared" si="715"/>
        <v>2183.6</v>
      </c>
      <c r="AY208" s="369">
        <f t="shared" si="715"/>
        <v>2183.6</v>
      </c>
      <c r="AZ208" s="369">
        <f t="shared" si="715"/>
        <v>2183.6</v>
      </c>
      <c r="BA208" s="369">
        <f t="shared" si="715"/>
        <v>2231.8000000000002</v>
      </c>
      <c r="BB208" s="369">
        <f t="shared" si="715"/>
        <v>2015</v>
      </c>
      <c r="BC208" s="369">
        <f t="shared" si="715"/>
        <v>2015</v>
      </c>
      <c r="BD208" s="369">
        <f t="shared" si="715"/>
        <v>1987.5</v>
      </c>
      <c r="BE208" s="369">
        <f t="shared" si="715"/>
        <v>2089.4</v>
      </c>
      <c r="BF208" s="369">
        <f t="shared" si="715"/>
        <v>2089.4</v>
      </c>
      <c r="BG208" s="369">
        <f t="shared" si="715"/>
        <v>2089.4</v>
      </c>
      <c r="BH208" s="369">
        <f t="shared" si="715"/>
        <v>2014.6000000000001</v>
      </c>
      <c r="BI208" s="369">
        <f t="shared" si="715"/>
        <v>1851</v>
      </c>
      <c r="BJ208" s="369">
        <f t="shared" si="715"/>
        <v>1851</v>
      </c>
      <c r="BK208" s="369">
        <f t="shared" si="715"/>
        <v>1812.7999999999997</v>
      </c>
      <c r="BL208" s="369">
        <f t="shared" si="715"/>
        <v>2305.5</v>
      </c>
      <c r="BM208" s="369">
        <f t="shared" si="715"/>
        <v>2305.5</v>
      </c>
      <c r="BN208" s="369">
        <f t="shared" si="715"/>
        <v>2305.5</v>
      </c>
      <c r="BO208" s="369">
        <f t="shared" si="715"/>
        <v>2401.1999999999998</v>
      </c>
      <c r="BP208" s="369">
        <f t="shared" ref="BP208:DT208" si="716">BP207+BP199</f>
        <v>2358</v>
      </c>
      <c r="BQ208" s="369">
        <f t="shared" si="716"/>
        <v>2358</v>
      </c>
      <c r="BR208" s="369">
        <f t="shared" si="716"/>
        <v>2239.6</v>
      </c>
      <c r="BS208" s="369">
        <f t="shared" si="716"/>
        <v>2247.1</v>
      </c>
      <c r="BT208" s="369">
        <f t="shared" si="716"/>
        <v>2247.1</v>
      </c>
      <c r="BU208" s="369">
        <f t="shared" si="716"/>
        <v>2247.1</v>
      </c>
      <c r="BV208" s="369">
        <f t="shared" si="716"/>
        <v>2433.9</v>
      </c>
      <c r="BW208" s="369">
        <f t="shared" si="716"/>
        <v>2242</v>
      </c>
      <c r="BX208" s="369">
        <f t="shared" si="716"/>
        <v>2242</v>
      </c>
      <c r="BY208" s="369">
        <f t="shared" si="716"/>
        <v>2231.2999999999997</v>
      </c>
      <c r="BZ208" s="369">
        <f t="shared" si="716"/>
        <v>2265.6</v>
      </c>
      <c r="CA208" s="369">
        <f t="shared" si="716"/>
        <v>2265.6</v>
      </c>
      <c r="CB208" s="369">
        <f t="shared" si="716"/>
        <v>2265.6</v>
      </c>
      <c r="CC208" s="369">
        <f t="shared" si="716"/>
        <v>2250.5</v>
      </c>
      <c r="CD208" s="369">
        <f t="shared" si="716"/>
        <v>2298.7000000000003</v>
      </c>
      <c r="CE208" s="369">
        <f t="shared" si="716"/>
        <v>2298.7000000000003</v>
      </c>
      <c r="CF208" s="369">
        <f t="shared" si="716"/>
        <v>2179.3000000000002</v>
      </c>
      <c r="CG208" s="369">
        <f t="shared" si="716"/>
        <v>2224.9</v>
      </c>
      <c r="CH208" s="369">
        <f t="shared" si="716"/>
        <v>2224.9</v>
      </c>
      <c r="CI208" s="369">
        <f t="shared" si="716"/>
        <v>2224.9</v>
      </c>
      <c r="CJ208" s="369">
        <f t="shared" si="716"/>
        <v>2266</v>
      </c>
      <c r="CK208" s="369">
        <f t="shared" si="716"/>
        <v>2282</v>
      </c>
      <c r="CL208" s="369">
        <f t="shared" si="716"/>
        <v>2282</v>
      </c>
      <c r="CM208" s="369">
        <f t="shared" si="716"/>
        <v>2369.6</v>
      </c>
      <c r="CN208" s="369">
        <f t="shared" si="716"/>
        <v>2572.5000000000005</v>
      </c>
      <c r="CO208" s="369">
        <f t="shared" si="716"/>
        <v>2572.5000000000005</v>
      </c>
      <c r="CP208" s="487">
        <f t="shared" si="716"/>
        <v>2572.5000000000005</v>
      </c>
      <c r="CQ208" s="487">
        <f t="shared" si="716"/>
        <v>3104.2000000000003</v>
      </c>
      <c r="CR208" s="487">
        <f t="shared" si="716"/>
        <v>3048.4</v>
      </c>
      <c r="CS208" s="487">
        <f t="shared" si="716"/>
        <v>3048.4</v>
      </c>
      <c r="CT208" s="487">
        <f t="shared" si="716"/>
        <v>2991.7</v>
      </c>
      <c r="CU208" s="487">
        <f t="shared" si="716"/>
        <v>3058.2000000000003</v>
      </c>
      <c r="CV208" s="487">
        <f t="shared" si="716"/>
        <v>3058.2000000000003</v>
      </c>
      <c r="CW208" s="487">
        <f t="shared" si="716"/>
        <v>3058.2000000000003</v>
      </c>
      <c r="CX208" s="487">
        <f t="shared" si="716"/>
        <v>3164.3</v>
      </c>
      <c r="CY208" s="487">
        <f t="shared" si="716"/>
        <v>3063.2999999999997</v>
      </c>
      <c r="CZ208" s="487">
        <f t="shared" si="716"/>
        <v>3063.2999999999997</v>
      </c>
      <c r="DA208" s="487">
        <f t="shared" si="716"/>
        <v>3079.4999999999995</v>
      </c>
      <c r="DB208" s="487">
        <f>DB207+DB199</f>
        <v>2992.9999999999995</v>
      </c>
      <c r="DC208" s="487">
        <f>DC207+DC199</f>
        <v>2992.9999999999995</v>
      </c>
      <c r="DD208" s="613">
        <f>DD207+DD199</f>
        <v>2992.9999999999995</v>
      </c>
      <c r="DE208" s="487">
        <f t="shared" si="716"/>
        <v>2960</v>
      </c>
      <c r="DF208" s="487">
        <f t="shared" si="716"/>
        <v>3019.3</v>
      </c>
      <c r="DG208" s="487">
        <f>DG207+DG199</f>
        <v>3019.3</v>
      </c>
      <c r="DH208" s="487">
        <f t="shared" si="716"/>
        <v>3173.1</v>
      </c>
      <c r="DI208" s="487">
        <f t="shared" si="716"/>
        <v>3028.2</v>
      </c>
      <c r="DJ208" s="487">
        <f t="shared" si="716"/>
        <v>3028.2</v>
      </c>
      <c r="DK208" s="613">
        <f t="shared" si="716"/>
        <v>3028.2</v>
      </c>
      <c r="DL208" s="492">
        <f t="shared" si="716"/>
        <v>2780.5</v>
      </c>
      <c r="DM208" s="487">
        <f t="shared" si="716"/>
        <v>2631.5</v>
      </c>
      <c r="DN208" s="487">
        <f>DN207+DN199</f>
        <v>2631.5</v>
      </c>
      <c r="DO208" s="487">
        <f t="shared" si="716"/>
        <v>2713.2</v>
      </c>
      <c r="DP208" s="487">
        <f t="shared" si="716"/>
        <v>2910.2999999999997</v>
      </c>
      <c r="DQ208" s="487">
        <f t="shared" si="716"/>
        <v>2910.2999999999997</v>
      </c>
      <c r="DR208" s="613">
        <f t="shared" si="716"/>
        <v>2910.2999999999997</v>
      </c>
      <c r="DS208" s="487">
        <f t="shared" si="716"/>
        <v>2912.7</v>
      </c>
      <c r="DT208" s="487">
        <f t="shared" si="716"/>
        <v>2686.2</v>
      </c>
      <c r="DU208" s="487">
        <f>DU207+DU199</f>
        <v>2686.2</v>
      </c>
      <c r="DV208" s="306">
        <f t="shared" ref="DV208:EA208" si="717">DV207+DV199</f>
        <v>2739.8999999999996</v>
      </c>
      <c r="DW208" s="487">
        <f t="shared" si="717"/>
        <v>2867.7</v>
      </c>
      <c r="DX208" s="487">
        <f t="shared" si="717"/>
        <v>2867.7</v>
      </c>
      <c r="DY208" s="613">
        <f t="shared" si="717"/>
        <v>2867.7</v>
      </c>
      <c r="DZ208" s="487">
        <f t="shared" si="717"/>
        <v>2742.3</v>
      </c>
      <c r="EA208" s="487">
        <f t="shared" si="717"/>
        <v>2662.6</v>
      </c>
      <c r="EB208" s="487">
        <f t="shared" ref="EB208:EM208" si="718">EB207+EB199</f>
        <v>2662.6</v>
      </c>
      <c r="EC208" s="487">
        <f t="shared" si="718"/>
        <v>2920.3999999999996</v>
      </c>
      <c r="ED208" s="487">
        <f t="shared" si="718"/>
        <v>3053.7000000000003</v>
      </c>
      <c r="EE208" s="487">
        <f t="shared" si="718"/>
        <v>3053.7000000000003</v>
      </c>
      <c r="EF208" s="613">
        <f t="shared" si="718"/>
        <v>3053.7000000000003</v>
      </c>
      <c r="EG208" s="487">
        <f t="shared" si="718"/>
        <v>2991</v>
      </c>
      <c r="EH208" s="488">
        <f t="shared" si="718"/>
        <v>2996.5</v>
      </c>
      <c r="EI208" s="487">
        <f t="shared" si="718"/>
        <v>2996.5</v>
      </c>
      <c r="EJ208" s="487">
        <f t="shared" si="718"/>
        <v>2807.9</v>
      </c>
      <c r="EK208" s="487">
        <f t="shared" si="718"/>
        <v>3068.4</v>
      </c>
      <c r="EL208" s="487">
        <f t="shared" si="718"/>
        <v>3068.4</v>
      </c>
      <c r="EM208" s="613">
        <f t="shared" si="718"/>
        <v>3068.4</v>
      </c>
      <c r="EN208" s="487">
        <f t="shared" ref="EN208:EP208" si="719">EN207+EN199</f>
        <v>4530.4000000000005</v>
      </c>
      <c r="EO208" s="488">
        <f t="shared" si="719"/>
        <v>7746.8999999999987</v>
      </c>
      <c r="EP208" s="487">
        <f t="shared" si="719"/>
        <v>7746.8999999999987</v>
      </c>
      <c r="EQ208" s="492">
        <f t="shared" ref="EQ208" si="720">EQ207+EQ199</f>
        <v>7407.8000000000011</v>
      </c>
      <c r="ER208" s="487">
        <f t="shared" ref="ER208:FV208" si="721">ER207+ER199</f>
        <v>7309.971439081376</v>
      </c>
      <c r="ES208" s="487">
        <f t="shared" si="721"/>
        <v>7309.971439081376</v>
      </c>
      <c r="ET208" s="613">
        <f t="shared" si="721"/>
        <v>7309.971439081376</v>
      </c>
      <c r="EU208" s="487">
        <f t="shared" si="721"/>
        <v>7168.1441393734176</v>
      </c>
      <c r="EV208" s="487">
        <f t="shared" si="721"/>
        <v>7034.0098076977192</v>
      </c>
      <c r="EW208" s="487">
        <f t="shared" si="721"/>
        <v>7034.0098076977192</v>
      </c>
      <c r="EX208" s="487">
        <f t="shared" si="721"/>
        <v>6836.4267747143849</v>
      </c>
      <c r="EY208" s="487">
        <f t="shared" si="721"/>
        <v>6697.8938898040306</v>
      </c>
      <c r="EZ208" s="487">
        <f t="shared" si="721"/>
        <v>6697.8938898040306</v>
      </c>
      <c r="FA208" s="613">
        <f t="shared" si="721"/>
        <v>6697.8938898040306</v>
      </c>
      <c r="FB208" s="487">
        <f t="shared" si="721"/>
        <v>6523.7131643585126</v>
      </c>
      <c r="FC208" s="487">
        <f t="shared" si="721"/>
        <v>6359.5756626835919</v>
      </c>
      <c r="FD208" s="487">
        <f t="shared" si="721"/>
        <v>6359.5756626835919</v>
      </c>
      <c r="FE208" s="487">
        <f t="shared" si="721"/>
        <v>6102.131742165544</v>
      </c>
      <c r="FF208" s="487">
        <f t="shared" si="721"/>
        <v>5912.4889018995555</v>
      </c>
      <c r="FG208" s="487">
        <f t="shared" si="721"/>
        <v>5912.4889018995555</v>
      </c>
      <c r="FH208" s="613">
        <f t="shared" si="721"/>
        <v>5912.4889018995555</v>
      </c>
      <c r="FI208" s="487">
        <f t="shared" si="721"/>
        <v>5671.6616752616555</v>
      </c>
      <c r="FJ208" s="487">
        <f t="shared" si="721"/>
        <v>5464.4666669366707</v>
      </c>
      <c r="FK208" s="487">
        <f t="shared" si="721"/>
        <v>5464.4666669366707</v>
      </c>
      <c r="FL208" s="487">
        <f t="shared" si="721"/>
        <v>5161.7644588318817</v>
      </c>
      <c r="FM208" s="487">
        <f t="shared" si="721"/>
        <v>4928.0284675553567</v>
      </c>
      <c r="FN208" s="487">
        <f t="shared" si="721"/>
        <v>4928.0284675553567</v>
      </c>
      <c r="FO208" s="613">
        <f t="shared" si="721"/>
        <v>4928.0284675553567</v>
      </c>
      <c r="FP208" s="487">
        <f t="shared" si="721"/>
        <v>4652.630667198071</v>
      </c>
      <c r="FQ208" s="487">
        <f t="shared" si="721"/>
        <v>4411.0209630189092</v>
      </c>
      <c r="FR208" s="487">
        <f t="shared" si="721"/>
        <v>4411.0209630189092</v>
      </c>
      <c r="FS208" s="487">
        <f t="shared" si="721"/>
        <v>4062.9281472392022</v>
      </c>
      <c r="FT208" s="487">
        <f t="shared" si="721"/>
        <v>3781.8701728201654</v>
      </c>
      <c r="FU208" s="487">
        <f t="shared" si="721"/>
        <v>3781.8701728201654</v>
      </c>
      <c r="FV208" s="613">
        <f t="shared" si="721"/>
        <v>3781.8701728201654</v>
      </c>
      <c r="FW208" s="645"/>
      <c r="FX208" s="636"/>
      <c r="FY208" s="636"/>
      <c r="FZ208" s="636"/>
      <c r="GA208" s="636"/>
      <c r="GB208"/>
      <c r="GC208"/>
      <c r="GD208"/>
      <c r="GE208"/>
      <c r="GF208"/>
      <c r="GG208"/>
      <c r="GH208" s="637"/>
      <c r="GI208" s="637"/>
      <c r="GJ208" s="637"/>
      <c r="GK208" s="637"/>
      <c r="GL208" s="637"/>
      <c r="GM208" s="637"/>
      <c r="GN208" s="637"/>
      <c r="GO208" s="637"/>
      <c r="GP208" s="637"/>
      <c r="GQ208" s="637"/>
      <c r="GR208" s="637"/>
      <c r="GS208" s="637"/>
      <c r="GT208" s="637"/>
      <c r="GU208" s="637"/>
      <c r="GV208" s="637"/>
      <c r="GW208" s="637"/>
      <c r="GX208" s="637"/>
      <c r="GY208" s="637"/>
      <c r="GZ208" s="637"/>
      <c r="HA208" s="637"/>
      <c r="HB208" s="637"/>
      <c r="HC208" s="637"/>
      <c r="HD208" s="637"/>
      <c r="HE208" s="637"/>
      <c r="HF208" s="637"/>
      <c r="HG208" s="637"/>
      <c r="HH208" s="637"/>
      <c r="HI208" s="637"/>
      <c r="HJ208" s="637"/>
      <c r="HK208" s="637"/>
      <c r="HL208" s="637"/>
      <c r="HM208" s="637"/>
      <c r="HN208" s="637"/>
      <c r="HO208" s="637"/>
      <c r="HP208" s="637"/>
      <c r="HQ208" s="637"/>
      <c r="HR208" s="637"/>
      <c r="HS208" s="637"/>
      <c r="HT208" s="637"/>
      <c r="HU208" s="637"/>
      <c r="HV208" s="637"/>
      <c r="HW208" s="637"/>
      <c r="HX208" s="637"/>
      <c r="HY208" s="637"/>
      <c r="HZ208" s="637"/>
      <c r="IA208" s="637"/>
      <c r="IB208" s="637"/>
      <c r="IC208" s="637"/>
      <c r="ID208" s="637"/>
      <c r="IE208" s="637"/>
      <c r="IF208" s="637"/>
      <c r="IG208" s="637"/>
      <c r="IH208" s="637"/>
      <c r="II208" s="637"/>
      <c r="IJ208" s="637"/>
      <c r="IK208" s="637"/>
      <c r="IL208" s="637"/>
      <c r="IM208" s="637"/>
      <c r="IN208" s="637"/>
      <c r="IO208" s="637"/>
      <c r="IP208" s="637"/>
      <c r="IQ208" s="637"/>
      <c r="IR208" s="637"/>
      <c r="IS208" s="637"/>
      <c r="IT208" s="637"/>
      <c r="IU208" s="637"/>
      <c r="IV208" s="637"/>
      <c r="IW208" s="637"/>
      <c r="IX208" s="637"/>
      <c r="IY208" s="637"/>
      <c r="IZ208" s="637"/>
      <c r="JA208" s="637"/>
      <c r="JB208" s="637"/>
      <c r="JC208" s="637"/>
      <c r="JD208" s="637"/>
      <c r="JE208" s="637"/>
      <c r="JF208" s="637"/>
      <c r="JG208" s="637"/>
      <c r="JH208" s="637"/>
      <c r="JI208" s="637"/>
      <c r="JJ208" s="637"/>
      <c r="JK208" s="637"/>
      <c r="JL208" s="637"/>
      <c r="JM208" s="637"/>
      <c r="JN208" s="637"/>
      <c r="JO208" s="637"/>
      <c r="JP208" s="637"/>
      <c r="JQ208" s="637"/>
      <c r="JR208" s="637"/>
      <c r="JS208" s="637"/>
      <c r="JT208" s="637"/>
    </row>
    <row r="209" spans="1:280" s="247" customFormat="1" outlineLevel="1" x14ac:dyDescent="0.3">
      <c r="A209" s="485"/>
      <c r="B209" s="486" t="s">
        <v>100</v>
      </c>
      <c r="C209" s="280" t="s">
        <v>226</v>
      </c>
      <c r="D209" s="370">
        <f t="shared" ref="D209:BO209" si="722">D189-D208</f>
        <v>658.7</v>
      </c>
      <c r="E209" s="370">
        <f t="shared" si="722"/>
        <v>712.7</v>
      </c>
      <c r="F209" s="370">
        <f t="shared" si="722"/>
        <v>712.7</v>
      </c>
      <c r="G209" s="370">
        <f t="shared" si="722"/>
        <v>740</v>
      </c>
      <c r="H209" s="370">
        <f t="shared" si="722"/>
        <v>94.900000000000091</v>
      </c>
      <c r="I209" s="370">
        <f t="shared" si="722"/>
        <v>94.900000000000091</v>
      </c>
      <c r="J209" s="369">
        <f t="shared" si="722"/>
        <v>94.900000000000091</v>
      </c>
      <c r="K209" s="369">
        <f t="shared" si="722"/>
        <v>112.79999999999995</v>
      </c>
      <c r="L209" s="369">
        <f t="shared" si="722"/>
        <v>140.70000000000005</v>
      </c>
      <c r="M209" s="369">
        <f t="shared" si="722"/>
        <v>140.70000000000005</v>
      </c>
      <c r="N209" s="369">
        <f t="shared" si="722"/>
        <v>138.79999999999973</v>
      </c>
      <c r="O209" s="369">
        <f t="shared" si="722"/>
        <v>258.69999999999982</v>
      </c>
      <c r="P209" s="369">
        <f t="shared" si="722"/>
        <v>258.69999999999982</v>
      </c>
      <c r="Q209" s="369">
        <f t="shared" si="722"/>
        <v>258.69999999999982</v>
      </c>
      <c r="R209" s="369">
        <f t="shared" si="722"/>
        <v>147.69999999999982</v>
      </c>
      <c r="S209" s="369">
        <f t="shared" si="722"/>
        <v>112.40000000000009</v>
      </c>
      <c r="T209" s="369">
        <f t="shared" si="722"/>
        <v>112.40000000000009</v>
      </c>
      <c r="U209" s="369">
        <f t="shared" si="722"/>
        <v>-52.599999999999454</v>
      </c>
      <c r="V209" s="369">
        <f t="shared" si="722"/>
        <v>-202.59999999999991</v>
      </c>
      <c r="W209" s="369">
        <f t="shared" si="722"/>
        <v>-202.59999999999991</v>
      </c>
      <c r="X209" s="369">
        <f t="shared" si="722"/>
        <v>-202.59999999999991</v>
      </c>
      <c r="Y209" s="369">
        <f t="shared" si="722"/>
        <v>-237.60000000000036</v>
      </c>
      <c r="Z209" s="369">
        <f t="shared" si="722"/>
        <v>-116.39999999999964</v>
      </c>
      <c r="AA209" s="369">
        <f t="shared" si="722"/>
        <v>-116.39999999999964</v>
      </c>
      <c r="AB209" s="369">
        <f t="shared" si="722"/>
        <v>-37.499999999999773</v>
      </c>
      <c r="AC209" s="369">
        <f t="shared" si="722"/>
        <v>-108.70000000000005</v>
      </c>
      <c r="AD209" s="369">
        <f t="shared" si="722"/>
        <v>-108.70000000000005</v>
      </c>
      <c r="AE209" s="369">
        <f t="shared" si="722"/>
        <v>-108.70000000000005</v>
      </c>
      <c r="AF209" s="369">
        <f t="shared" si="722"/>
        <v>-151.20000000000005</v>
      </c>
      <c r="AG209" s="369">
        <f t="shared" si="722"/>
        <v>-153</v>
      </c>
      <c r="AH209" s="369">
        <f t="shared" si="722"/>
        <v>-153</v>
      </c>
      <c r="AI209" s="369">
        <f t="shared" si="722"/>
        <v>-131.10000000000036</v>
      </c>
      <c r="AJ209" s="369">
        <f t="shared" si="722"/>
        <v>-117.89999999999964</v>
      </c>
      <c r="AK209" s="369">
        <f t="shared" si="722"/>
        <v>-117.89999999999964</v>
      </c>
      <c r="AL209" s="369">
        <f t="shared" si="722"/>
        <v>-117.89999999999964</v>
      </c>
      <c r="AM209" s="369">
        <f t="shared" si="722"/>
        <v>-26.700000000000273</v>
      </c>
      <c r="AN209" s="369">
        <f t="shared" si="722"/>
        <v>-431.99999999999977</v>
      </c>
      <c r="AO209" s="369">
        <f t="shared" si="722"/>
        <v>-431.99999999999977</v>
      </c>
      <c r="AP209" s="369">
        <f t="shared" si="722"/>
        <v>-450.09999999999991</v>
      </c>
      <c r="AQ209" s="369">
        <f t="shared" si="722"/>
        <v>-454.50000000000045</v>
      </c>
      <c r="AR209" s="369">
        <f t="shared" si="722"/>
        <v>-454.50000000000045</v>
      </c>
      <c r="AS209" s="369">
        <f t="shared" si="722"/>
        <v>-454.50000000000045</v>
      </c>
      <c r="AT209" s="369">
        <f t="shared" si="722"/>
        <v>-450.70000000000005</v>
      </c>
      <c r="AU209" s="369">
        <f t="shared" si="722"/>
        <v>-335.29999999999973</v>
      </c>
      <c r="AV209" s="369">
        <f t="shared" si="722"/>
        <v>-335.29999999999973</v>
      </c>
      <c r="AW209" s="369">
        <f t="shared" si="722"/>
        <v>-360.30000000000018</v>
      </c>
      <c r="AX209" s="369">
        <f t="shared" si="722"/>
        <v>126.40000000000009</v>
      </c>
      <c r="AY209" s="369">
        <f t="shared" si="722"/>
        <v>126.40000000000009</v>
      </c>
      <c r="AZ209" s="369">
        <f t="shared" si="722"/>
        <v>126.40000000000009</v>
      </c>
      <c r="BA209" s="369">
        <f t="shared" si="722"/>
        <v>27</v>
      </c>
      <c r="BB209" s="369">
        <f t="shared" si="722"/>
        <v>61.800000000000182</v>
      </c>
      <c r="BC209" s="369">
        <f t="shared" si="722"/>
        <v>61.800000000000182</v>
      </c>
      <c r="BD209" s="369">
        <f t="shared" si="722"/>
        <v>79.199999999999818</v>
      </c>
      <c r="BE209" s="369">
        <f t="shared" si="722"/>
        <v>18.200000000000273</v>
      </c>
      <c r="BF209" s="369">
        <f t="shared" si="722"/>
        <v>18.200000000000273</v>
      </c>
      <c r="BG209" s="369">
        <f t="shared" si="722"/>
        <v>18.200000000000273</v>
      </c>
      <c r="BH209" s="369">
        <f t="shared" si="722"/>
        <v>-13.000000000000227</v>
      </c>
      <c r="BI209" s="369">
        <f t="shared" si="722"/>
        <v>44.899999999999864</v>
      </c>
      <c r="BJ209" s="369">
        <f t="shared" si="722"/>
        <v>44.899999999999864</v>
      </c>
      <c r="BK209" s="369">
        <f t="shared" si="722"/>
        <v>105.70000000000027</v>
      </c>
      <c r="BL209" s="369">
        <f t="shared" si="722"/>
        <v>-199</v>
      </c>
      <c r="BM209" s="369">
        <f t="shared" si="722"/>
        <v>-199</v>
      </c>
      <c r="BN209" s="369">
        <f t="shared" si="722"/>
        <v>-199</v>
      </c>
      <c r="BO209" s="369">
        <f t="shared" si="722"/>
        <v>-400.89999999999986</v>
      </c>
      <c r="BP209" s="369">
        <f t="shared" ref="BP209:DT209" si="723">BP189-BP208</f>
        <v>-287.10000000000036</v>
      </c>
      <c r="BQ209" s="369">
        <f t="shared" si="723"/>
        <v>-287.10000000000036</v>
      </c>
      <c r="BR209" s="369">
        <f t="shared" si="723"/>
        <v>-224.39999999999986</v>
      </c>
      <c r="BS209" s="369">
        <f t="shared" si="723"/>
        <v>-202.59999999999991</v>
      </c>
      <c r="BT209" s="369">
        <f t="shared" si="723"/>
        <v>-202.59999999999991</v>
      </c>
      <c r="BU209" s="369">
        <f t="shared" si="723"/>
        <v>-202.59999999999991</v>
      </c>
      <c r="BV209" s="369">
        <f t="shared" si="723"/>
        <v>-356.30000000000018</v>
      </c>
      <c r="BW209" s="369">
        <f t="shared" si="723"/>
        <v>-264</v>
      </c>
      <c r="BX209" s="369">
        <f t="shared" si="723"/>
        <v>-264</v>
      </c>
      <c r="BY209" s="369">
        <f t="shared" si="723"/>
        <v>-267.29999999999973</v>
      </c>
      <c r="BZ209" s="369">
        <f t="shared" si="723"/>
        <v>-225.19999999999982</v>
      </c>
      <c r="CA209" s="369">
        <f t="shared" si="723"/>
        <v>-225.19999999999982</v>
      </c>
      <c r="CB209" s="369">
        <f t="shared" si="723"/>
        <v>-225.19999999999982</v>
      </c>
      <c r="CC209" s="369">
        <f t="shared" si="723"/>
        <v>-270</v>
      </c>
      <c r="CD209" s="369">
        <f t="shared" si="723"/>
        <v>-304.20000000000027</v>
      </c>
      <c r="CE209" s="369">
        <f t="shared" si="723"/>
        <v>-304.20000000000027</v>
      </c>
      <c r="CF209" s="369">
        <f t="shared" si="723"/>
        <v>-269.7000000000005</v>
      </c>
      <c r="CG209" s="369">
        <f t="shared" si="723"/>
        <v>-212.20000000000027</v>
      </c>
      <c r="CH209" s="369">
        <f t="shared" si="723"/>
        <v>-212.20000000000027</v>
      </c>
      <c r="CI209" s="369">
        <f t="shared" si="723"/>
        <v>-212.20000000000027</v>
      </c>
      <c r="CJ209" s="369">
        <f t="shared" si="723"/>
        <v>-272.40000000000009</v>
      </c>
      <c r="CK209" s="369">
        <f t="shared" si="723"/>
        <v>-200.59999999999991</v>
      </c>
      <c r="CL209" s="369">
        <f t="shared" si="723"/>
        <v>-200.59999999999991</v>
      </c>
      <c r="CM209" s="369">
        <f t="shared" si="723"/>
        <v>-160.99999999999955</v>
      </c>
      <c r="CN209" s="369">
        <f t="shared" si="723"/>
        <v>-221.50000000000045</v>
      </c>
      <c r="CO209" s="369">
        <f t="shared" si="723"/>
        <v>-221.50000000000045</v>
      </c>
      <c r="CP209" s="487">
        <f t="shared" si="723"/>
        <v>-221.50000000000045</v>
      </c>
      <c r="CQ209" s="487">
        <f t="shared" si="723"/>
        <v>882.59999999999945</v>
      </c>
      <c r="CR209" s="487">
        <f t="shared" si="723"/>
        <v>948.89999999999964</v>
      </c>
      <c r="CS209" s="487">
        <f t="shared" si="723"/>
        <v>948.89999999999964</v>
      </c>
      <c r="CT209" s="487">
        <f t="shared" si="723"/>
        <v>969.69999999999982</v>
      </c>
      <c r="CU209" s="487">
        <f t="shared" si="723"/>
        <v>974.40000000000009</v>
      </c>
      <c r="CV209" s="487">
        <f t="shared" si="723"/>
        <v>974.40000000000009</v>
      </c>
      <c r="CW209" s="487">
        <f t="shared" si="723"/>
        <v>974.40000000000009</v>
      </c>
      <c r="CX209" s="487">
        <f t="shared" si="723"/>
        <v>948.09999999999945</v>
      </c>
      <c r="CY209" s="487">
        <f t="shared" si="723"/>
        <v>1039.3000000000006</v>
      </c>
      <c r="CZ209" s="487">
        <f t="shared" si="723"/>
        <v>1039.3000000000006</v>
      </c>
      <c r="DA209" s="487">
        <f t="shared" si="723"/>
        <v>1059.9000000000001</v>
      </c>
      <c r="DB209" s="487">
        <f>DB189-DB208</f>
        <v>1035.3000000000011</v>
      </c>
      <c r="DC209" s="487">
        <f>DC189-DC208</f>
        <v>1035.3000000000011</v>
      </c>
      <c r="DD209" s="613">
        <f>DD189-DD208</f>
        <v>1035.3000000000011</v>
      </c>
      <c r="DE209" s="487">
        <f t="shared" si="723"/>
        <v>1074.2000000000003</v>
      </c>
      <c r="DF209" s="487">
        <f t="shared" si="723"/>
        <v>1180.3000000000002</v>
      </c>
      <c r="DG209" s="487">
        <f>DG189-DG208</f>
        <v>1180.3000000000002</v>
      </c>
      <c r="DH209" s="487">
        <f t="shared" si="723"/>
        <v>1277.7999999999997</v>
      </c>
      <c r="DI209" s="487">
        <f t="shared" si="723"/>
        <v>1060.7999999999997</v>
      </c>
      <c r="DJ209" s="487">
        <f t="shared" si="723"/>
        <v>1060.7999999999997</v>
      </c>
      <c r="DK209" s="613">
        <f t="shared" si="723"/>
        <v>1060.7999999999997</v>
      </c>
      <c r="DL209" s="492">
        <f t="shared" si="723"/>
        <v>1186.6999999999998</v>
      </c>
      <c r="DM209" s="487">
        <f t="shared" si="723"/>
        <v>1321.6999999999998</v>
      </c>
      <c r="DN209" s="487">
        <f>DN189-DN208</f>
        <v>1321.6999999999998</v>
      </c>
      <c r="DO209" s="487">
        <f t="shared" si="723"/>
        <v>1280.3000000000002</v>
      </c>
      <c r="DP209" s="487">
        <f t="shared" si="723"/>
        <v>1332.900000000001</v>
      </c>
      <c r="DQ209" s="487">
        <f t="shared" si="723"/>
        <v>1332.900000000001</v>
      </c>
      <c r="DR209" s="613">
        <f t="shared" si="723"/>
        <v>1332.900000000001</v>
      </c>
      <c r="DS209" s="487">
        <f t="shared" si="723"/>
        <v>1328.3000000000002</v>
      </c>
      <c r="DT209" s="487">
        <f t="shared" si="723"/>
        <v>1466.3000000000002</v>
      </c>
      <c r="DU209" s="487">
        <f t="shared" ref="DU209:EM209" si="724">DU189-DU208</f>
        <v>1466.3000000000002</v>
      </c>
      <c r="DV209" s="306">
        <f t="shared" si="724"/>
        <v>1567.6999999999998</v>
      </c>
      <c r="DW209" s="487">
        <f t="shared" si="724"/>
        <v>1611.4000000000005</v>
      </c>
      <c r="DX209" s="487">
        <f t="shared" si="724"/>
        <v>1611.4000000000005</v>
      </c>
      <c r="DY209" s="613">
        <f t="shared" si="724"/>
        <v>1611.4000000000005</v>
      </c>
      <c r="DZ209" s="487">
        <f t="shared" si="724"/>
        <v>1719.4000000000005</v>
      </c>
      <c r="EA209" s="487">
        <f t="shared" si="724"/>
        <v>1788.0000000000005</v>
      </c>
      <c r="EB209" s="487">
        <f t="shared" si="724"/>
        <v>1788.0000000000005</v>
      </c>
      <c r="EC209" s="487">
        <f t="shared" si="724"/>
        <v>1895.2000000000007</v>
      </c>
      <c r="ED209" s="487">
        <f t="shared" si="724"/>
        <v>1858.9</v>
      </c>
      <c r="EE209" s="487">
        <f t="shared" si="724"/>
        <v>1858.9</v>
      </c>
      <c r="EF209" s="613">
        <f t="shared" si="724"/>
        <v>1858.9</v>
      </c>
      <c r="EG209" s="487">
        <f t="shared" si="724"/>
        <v>1937</v>
      </c>
      <c r="EH209" s="488">
        <f t="shared" si="724"/>
        <v>1976.8000000000011</v>
      </c>
      <c r="EI209" s="487">
        <f t="shared" si="724"/>
        <v>1976.8000000000011</v>
      </c>
      <c r="EJ209" s="487">
        <f t="shared" si="724"/>
        <v>2100.3000000000006</v>
      </c>
      <c r="EK209" s="487">
        <f t="shared" si="724"/>
        <v>2161.4999999999995</v>
      </c>
      <c r="EL209" s="487">
        <f t="shared" si="724"/>
        <v>2161.4999999999995</v>
      </c>
      <c r="EM209" s="613">
        <f t="shared" si="724"/>
        <v>2161.4999999999995</v>
      </c>
      <c r="EN209" s="487">
        <f t="shared" ref="EN209:EP209" si="725">EN189-EN208</f>
        <v>2256.3000000000002</v>
      </c>
      <c r="EO209" s="488">
        <f t="shared" si="725"/>
        <v>6322.1000000000013</v>
      </c>
      <c r="EP209" s="487">
        <f t="shared" si="725"/>
        <v>6322.1000000000013</v>
      </c>
      <c r="EQ209" s="492">
        <f t="shared" ref="EQ209" si="726">EQ189-EQ208</f>
        <v>6396.6999999999989</v>
      </c>
      <c r="ER209" s="487">
        <f t="shared" ref="ER209:FV209" si="727">ER189-ER208</f>
        <v>6570.8998129539932</v>
      </c>
      <c r="ES209" s="487">
        <f t="shared" si="727"/>
        <v>6570.8998129539932</v>
      </c>
      <c r="ET209" s="613">
        <f t="shared" si="727"/>
        <v>6570.8998129539932</v>
      </c>
      <c r="EU209" s="487">
        <f t="shared" si="727"/>
        <v>6751.2961444133043</v>
      </c>
      <c r="EV209" s="487">
        <f t="shared" si="727"/>
        <v>6930.0468346793386</v>
      </c>
      <c r="EW209" s="487">
        <f t="shared" si="727"/>
        <v>6930.0468346793386</v>
      </c>
      <c r="EX209" s="487">
        <f t="shared" si="727"/>
        <v>7119.224982429766</v>
      </c>
      <c r="EY209" s="487">
        <f t="shared" si="727"/>
        <v>7340.9153845013298</v>
      </c>
      <c r="EZ209" s="487">
        <f t="shared" si="727"/>
        <v>7340.9153845013298</v>
      </c>
      <c r="FA209" s="613">
        <f t="shared" si="727"/>
        <v>7340.9153845013298</v>
      </c>
      <c r="FB209" s="487">
        <f t="shared" si="727"/>
        <v>7561.4790743062294</v>
      </c>
      <c r="FC209" s="487">
        <f t="shared" si="727"/>
        <v>7786.3336406873077</v>
      </c>
      <c r="FD209" s="487">
        <f t="shared" si="727"/>
        <v>7786.3336406873077</v>
      </c>
      <c r="FE209" s="487">
        <f t="shared" si="727"/>
        <v>8029.9377776709862</v>
      </c>
      <c r="FF209" s="487">
        <f t="shared" si="727"/>
        <v>8298.3338614869426</v>
      </c>
      <c r="FG209" s="487">
        <f t="shared" si="727"/>
        <v>8298.3338614869426</v>
      </c>
      <c r="FH209" s="613">
        <f t="shared" si="727"/>
        <v>8298.3338614869426</v>
      </c>
      <c r="FI209" s="487">
        <f t="shared" si="727"/>
        <v>8562.3654031846272</v>
      </c>
      <c r="FJ209" s="487">
        <f t="shared" si="727"/>
        <v>8824.6033343586823</v>
      </c>
      <c r="FK209" s="487">
        <f t="shared" si="727"/>
        <v>8824.6033343586823</v>
      </c>
      <c r="FL209" s="487">
        <f t="shared" si="727"/>
        <v>9105.7329636227587</v>
      </c>
      <c r="FM209" s="487">
        <f t="shared" si="727"/>
        <v>9410.5990052598863</v>
      </c>
      <c r="FN209" s="487">
        <f t="shared" si="727"/>
        <v>9410.5990052598863</v>
      </c>
      <c r="FO209" s="613">
        <f t="shared" si="727"/>
        <v>9410.5990052598863</v>
      </c>
      <c r="FP209" s="487">
        <f t="shared" si="727"/>
        <v>9714.7241897458844</v>
      </c>
      <c r="FQ209" s="487">
        <f t="shared" si="727"/>
        <v>10023.552649608335</v>
      </c>
      <c r="FR209" s="487">
        <f t="shared" si="727"/>
        <v>10023.552649608335</v>
      </c>
      <c r="FS209" s="487">
        <f t="shared" si="727"/>
        <v>10351.587848149709</v>
      </c>
      <c r="FT209" s="487">
        <f t="shared" si="727"/>
        <v>10702.87082258362</v>
      </c>
      <c r="FU209" s="487">
        <f t="shared" si="727"/>
        <v>10702.87082258362</v>
      </c>
      <c r="FV209" s="613">
        <f t="shared" si="727"/>
        <v>10702.87082258362</v>
      </c>
      <c r="FW209" s="645"/>
      <c r="FX209" s="639"/>
      <c r="FY209" s="639"/>
      <c r="FZ209" s="639"/>
      <c r="GA209" s="639"/>
      <c r="GB209"/>
      <c r="GC209"/>
      <c r="GD209"/>
      <c r="GE209"/>
      <c r="GF209"/>
      <c r="GG209"/>
      <c r="GH209" s="532"/>
      <c r="GI209" s="532"/>
      <c r="GJ209" s="532"/>
      <c r="GK209" s="532"/>
      <c r="GL209" s="532"/>
      <c r="GM209" s="532"/>
      <c r="GN209" s="532"/>
      <c r="GO209" s="532"/>
      <c r="GP209" s="532"/>
      <c r="GQ209" s="532"/>
      <c r="GR209" s="532"/>
      <c r="GS209" s="532"/>
      <c r="GT209" s="532"/>
      <c r="GU209" s="532"/>
      <c r="GV209" s="532"/>
      <c r="GW209" s="532"/>
      <c r="GX209" s="532"/>
      <c r="GY209" s="532"/>
      <c r="GZ209" s="532"/>
      <c r="HA209" s="532"/>
      <c r="HB209" s="532"/>
      <c r="HC209" s="532"/>
      <c r="HD209" s="532"/>
      <c r="HE209" s="532"/>
      <c r="HF209" s="532"/>
      <c r="HG209" s="532"/>
      <c r="HH209" s="532"/>
      <c r="HI209" s="532"/>
      <c r="HJ209" s="532"/>
      <c r="HK209" s="532"/>
      <c r="HL209" s="532"/>
      <c r="HM209" s="532"/>
      <c r="HN209" s="532"/>
      <c r="HO209" s="532"/>
      <c r="HP209" s="532"/>
      <c r="HQ209" s="532"/>
      <c r="HR209" s="532"/>
      <c r="HS209" s="532"/>
      <c r="HT209" s="532"/>
      <c r="HU209" s="532"/>
      <c r="HV209" s="532"/>
      <c r="HW209" s="532"/>
      <c r="HX209" s="532"/>
      <c r="HY209" s="532"/>
      <c r="HZ209" s="532"/>
      <c r="IA209" s="532"/>
      <c r="IB209" s="532"/>
      <c r="IC209" s="532"/>
      <c r="ID209" s="532"/>
      <c r="IE209" s="532"/>
      <c r="IF209" s="532"/>
      <c r="IG209" s="532"/>
      <c r="IH209" s="532"/>
      <c r="II209" s="532"/>
      <c r="IJ209" s="532"/>
      <c r="IK209" s="532"/>
      <c r="IL209" s="532"/>
      <c r="IM209" s="532"/>
      <c r="IN209" s="532"/>
      <c r="IO209" s="532"/>
      <c r="IP209" s="532"/>
      <c r="IQ209" s="532"/>
      <c r="IR209" s="532"/>
      <c r="IS209" s="532"/>
      <c r="IT209" s="532"/>
      <c r="IU209" s="532"/>
      <c r="IV209" s="532"/>
      <c r="IW209" s="532"/>
      <c r="IX209" s="532"/>
      <c r="IY209" s="532"/>
      <c r="IZ209" s="532"/>
      <c r="JA209" s="532"/>
      <c r="JB209" s="532"/>
      <c r="JC209" s="532"/>
      <c r="JD209" s="532"/>
      <c r="JE209" s="532"/>
      <c r="JF209" s="532"/>
      <c r="JG209" s="532"/>
      <c r="JH209" s="532"/>
      <c r="JI209" s="532"/>
      <c r="JJ209" s="532"/>
      <c r="JK209" s="532"/>
      <c r="JL209" s="532"/>
      <c r="JM209" s="532"/>
      <c r="JN209" s="532"/>
      <c r="JO209" s="532"/>
      <c r="JP209" s="532"/>
      <c r="JQ209" s="532"/>
      <c r="JR209" s="532"/>
      <c r="JS209" s="532"/>
      <c r="JT209" s="532"/>
    </row>
    <row r="210" spans="1:280" outlineLevel="1" x14ac:dyDescent="0.3">
      <c r="B210" s="273" t="s">
        <v>545</v>
      </c>
      <c r="C210" s="415"/>
      <c r="D210" s="273"/>
      <c r="E210" s="273"/>
      <c r="F210" s="273"/>
      <c r="G210" s="273"/>
      <c r="H210" s="273"/>
      <c r="I210" s="273"/>
      <c r="J210" s="273"/>
      <c r="K210" s="273"/>
      <c r="L210" s="273"/>
      <c r="M210" s="273"/>
      <c r="N210" s="273"/>
      <c r="O210" s="273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3"/>
      <c r="AG210" s="273"/>
      <c r="AH210" s="273"/>
      <c r="AI210" s="273"/>
      <c r="AJ210" s="273"/>
      <c r="AK210" s="273"/>
      <c r="AL210" s="273"/>
      <c r="AM210" s="273"/>
      <c r="AN210" s="273"/>
      <c r="AO210" s="273"/>
      <c r="AP210" s="273"/>
      <c r="AQ210" s="273"/>
      <c r="AR210" s="273"/>
      <c r="AS210" s="273"/>
      <c r="AT210" s="273"/>
      <c r="AU210" s="273"/>
      <c r="AV210" s="273"/>
      <c r="AW210" s="273"/>
      <c r="AX210" s="273"/>
      <c r="AY210" s="273"/>
      <c r="AZ210" s="273"/>
      <c r="BA210" s="273"/>
      <c r="BB210" s="273"/>
      <c r="BC210" s="273"/>
      <c r="BD210" s="273"/>
      <c r="BE210" s="273"/>
      <c r="BF210" s="273"/>
      <c r="BG210" s="273"/>
      <c r="BH210" s="273"/>
      <c r="BI210" s="273"/>
      <c r="BJ210" s="273"/>
      <c r="BK210" s="273"/>
      <c r="BL210" s="273"/>
      <c r="BM210" s="273"/>
      <c r="BN210" s="273"/>
      <c r="BO210" s="273"/>
      <c r="BP210" s="273"/>
      <c r="BQ210" s="273"/>
      <c r="BR210" s="273"/>
      <c r="BS210" s="273"/>
      <c r="BT210" s="273"/>
      <c r="BU210" s="273"/>
      <c r="BV210" s="273"/>
      <c r="BW210" s="273"/>
      <c r="BX210" s="273"/>
      <c r="BY210" s="273"/>
      <c r="BZ210" s="273"/>
      <c r="CA210" s="273"/>
      <c r="CB210" s="273"/>
      <c r="CC210" s="273"/>
      <c r="CD210" s="273"/>
      <c r="CE210" s="273"/>
      <c r="CF210" s="273"/>
      <c r="CG210" s="273"/>
      <c r="CH210" s="273"/>
      <c r="CI210" s="273"/>
      <c r="CJ210" s="273"/>
      <c r="CK210" s="273"/>
      <c r="CL210" s="273"/>
      <c r="CM210" s="273"/>
      <c r="CN210" s="273"/>
      <c r="CO210" s="273"/>
      <c r="CP210" s="273"/>
      <c r="CQ210" s="273"/>
      <c r="CR210" s="273"/>
      <c r="CS210" s="273"/>
      <c r="CT210" s="273"/>
      <c r="CU210" s="273"/>
      <c r="CV210" s="273"/>
      <c r="CW210" s="273"/>
      <c r="CX210" s="273"/>
      <c r="CY210" s="273"/>
      <c r="CZ210" s="273"/>
      <c r="DA210" s="273"/>
      <c r="DB210" s="273"/>
      <c r="DC210" s="273"/>
      <c r="DD210" s="602"/>
      <c r="DE210" s="273"/>
      <c r="DF210" s="273"/>
      <c r="DG210" s="273"/>
      <c r="DH210" s="273"/>
      <c r="DI210" s="273"/>
      <c r="DJ210" s="273"/>
      <c r="DK210" s="602"/>
      <c r="DL210" s="416"/>
      <c r="DM210" s="273"/>
      <c r="DN210" s="273"/>
      <c r="DO210" s="273"/>
      <c r="DP210" s="273"/>
      <c r="DQ210" s="273"/>
      <c r="DR210" s="602"/>
      <c r="DS210" s="273"/>
      <c r="DT210" s="273"/>
      <c r="DU210" s="273"/>
      <c r="DV210" s="273"/>
      <c r="DW210" s="273"/>
      <c r="DX210" s="273"/>
      <c r="DY210" s="602"/>
      <c r="DZ210" s="273"/>
      <c r="EA210" s="273"/>
      <c r="EB210" s="273"/>
      <c r="EC210" s="273"/>
      <c r="ED210" s="273"/>
      <c r="EE210" s="273"/>
      <c r="EF210" s="602"/>
      <c r="EG210" s="273"/>
      <c r="EH210" s="273"/>
      <c r="EI210" s="273"/>
      <c r="EJ210" s="273"/>
      <c r="EK210" s="273"/>
      <c r="EL210" s="273"/>
      <c r="EM210" s="602"/>
      <c r="EN210" s="273"/>
      <c r="EO210" s="273"/>
      <c r="EP210" s="273"/>
      <c r="EQ210" s="416"/>
      <c r="ER210" s="273"/>
      <c r="ES210" s="273"/>
      <c r="ET210" s="602"/>
      <c r="EU210" s="273"/>
      <c r="EV210" s="273"/>
      <c r="EW210" s="273"/>
      <c r="EX210" s="273"/>
      <c r="EY210" s="273"/>
      <c r="EZ210" s="273"/>
      <c r="FA210" s="602"/>
      <c r="FB210" s="273"/>
      <c r="FC210" s="273"/>
      <c r="FD210" s="273"/>
      <c r="FE210" s="273"/>
      <c r="FF210" s="273"/>
      <c r="FG210" s="273"/>
      <c r="FH210" s="602"/>
      <c r="FI210" s="273"/>
      <c r="FJ210" s="273"/>
      <c r="FK210" s="273"/>
      <c r="FL210" s="273"/>
      <c r="FM210" s="273"/>
      <c r="FN210" s="273"/>
      <c r="FO210" s="602"/>
      <c r="FP210" s="273"/>
      <c r="FQ210" s="273"/>
      <c r="FR210" s="273"/>
      <c r="FS210" s="273"/>
      <c r="FT210" s="273"/>
      <c r="FU210" s="273"/>
      <c r="FV210" s="602"/>
      <c r="FW210" s="645"/>
    </row>
    <row r="211" spans="1:280" outlineLevel="1" x14ac:dyDescent="0.3">
      <c r="B211" s="485" t="s">
        <v>101</v>
      </c>
      <c r="C211" s="280" t="s">
        <v>226</v>
      </c>
      <c r="D211" s="499">
        <v>247.1</v>
      </c>
      <c r="E211" s="500">
        <f>F211</f>
        <v>247.9</v>
      </c>
      <c r="F211" s="499">
        <v>247.9</v>
      </c>
      <c r="G211" s="499">
        <v>248</v>
      </c>
      <c r="H211" s="500">
        <f t="shared" ref="H211:I217" si="728">I211</f>
        <v>253.2</v>
      </c>
      <c r="I211" s="500">
        <f t="shared" si="728"/>
        <v>253.2</v>
      </c>
      <c r="J211" s="289">
        <v>253.2</v>
      </c>
      <c r="K211" s="289">
        <v>253.2</v>
      </c>
      <c r="L211" s="281">
        <f>M211</f>
        <v>253.2</v>
      </c>
      <c r="M211" s="289">
        <v>253.2</v>
      </c>
      <c r="N211" s="289">
        <v>255.7</v>
      </c>
      <c r="O211" s="281">
        <f t="shared" ref="O211:P217" si="729">P211</f>
        <v>251.8</v>
      </c>
      <c r="P211" s="281">
        <f t="shared" si="729"/>
        <v>251.8</v>
      </c>
      <c r="Q211" s="289">
        <v>251.8</v>
      </c>
      <c r="R211" s="289">
        <v>252.1</v>
      </c>
      <c r="S211" s="281">
        <f>T211</f>
        <v>252.1</v>
      </c>
      <c r="T211" s="289">
        <v>252.1</v>
      </c>
      <c r="U211" s="289">
        <v>252.3</v>
      </c>
      <c r="V211" s="281">
        <f t="shared" ref="V211:W217" si="730">W211</f>
        <v>219.7</v>
      </c>
      <c r="W211" s="281">
        <f t="shared" si="730"/>
        <v>219.7</v>
      </c>
      <c r="X211" s="289">
        <v>219.7</v>
      </c>
      <c r="Y211" s="289">
        <v>219.7</v>
      </c>
      <c r="Z211" s="281">
        <f>AA211</f>
        <v>219.7</v>
      </c>
      <c r="AA211" s="289">
        <v>219.7</v>
      </c>
      <c r="AB211" s="289">
        <v>219.7</v>
      </c>
      <c r="AC211" s="281">
        <f t="shared" ref="AC211:AD217" si="731">AD211</f>
        <v>219.2</v>
      </c>
      <c r="AD211" s="281">
        <f t="shared" si="731"/>
        <v>219.2</v>
      </c>
      <c r="AE211" s="289">
        <v>219.2</v>
      </c>
      <c r="AF211" s="289">
        <v>219.2</v>
      </c>
      <c r="AG211" s="281">
        <f>AH211</f>
        <v>219.7</v>
      </c>
      <c r="AH211" s="289">
        <v>219.7</v>
      </c>
      <c r="AI211" s="289">
        <v>221</v>
      </c>
      <c r="AJ211" s="281">
        <f t="shared" ref="AJ211:AK217" si="732">AK211</f>
        <v>221.1</v>
      </c>
      <c r="AK211" s="281">
        <f t="shared" si="732"/>
        <v>221.1</v>
      </c>
      <c r="AL211" s="289">
        <v>221.1</v>
      </c>
      <c r="AM211" s="289">
        <v>221.1</v>
      </c>
      <c r="AN211" s="281">
        <f>AO211</f>
        <v>221.2</v>
      </c>
      <c r="AO211" s="289">
        <v>221.2</v>
      </c>
      <c r="AP211" s="281">
        <f>AO211+AP121-0.5</f>
        <v>221.29999999999998</v>
      </c>
      <c r="AQ211" s="281">
        <f t="shared" ref="AQ211:AR213" si="733">AR211</f>
        <v>222.5</v>
      </c>
      <c r="AR211" s="281">
        <f t="shared" si="733"/>
        <v>222.5</v>
      </c>
      <c r="AS211" s="289">
        <v>222.5</v>
      </c>
      <c r="AT211" s="289">
        <v>223.3</v>
      </c>
      <c r="AU211" s="281">
        <f>+AV211</f>
        <v>222</v>
      </c>
      <c r="AV211" s="289">
        <v>222</v>
      </c>
      <c r="AW211" s="289">
        <v>222.9</v>
      </c>
      <c r="AX211" s="289">
        <v>224</v>
      </c>
      <c r="AY211" s="281">
        <f t="shared" ref="AY211:AZ213" si="734">+AX211</f>
        <v>224</v>
      </c>
      <c r="AZ211" s="281">
        <f t="shared" si="734"/>
        <v>224</v>
      </c>
      <c r="BA211" s="289">
        <v>224.5</v>
      </c>
      <c r="BB211" s="281">
        <f>+BC211</f>
        <v>225.7</v>
      </c>
      <c r="BC211" s="289">
        <v>225.7</v>
      </c>
      <c r="BD211" s="289">
        <v>226.8</v>
      </c>
      <c r="BE211" s="281">
        <f t="shared" ref="BE211:BF213" si="735">+BF211</f>
        <v>227.3</v>
      </c>
      <c r="BF211" s="281">
        <f t="shared" si="735"/>
        <v>227.3</v>
      </c>
      <c r="BG211" s="289">
        <v>227.3</v>
      </c>
      <c r="BH211" s="289">
        <v>227.6</v>
      </c>
      <c r="BI211" s="281">
        <f>+BJ211</f>
        <v>228</v>
      </c>
      <c r="BJ211" s="289">
        <v>228</v>
      </c>
      <c r="BK211" s="289">
        <v>229</v>
      </c>
      <c r="BL211" s="289">
        <v>230.6</v>
      </c>
      <c r="BM211" s="281">
        <f t="shared" ref="BM211:BN213" si="736">BL211</f>
        <v>230.6</v>
      </c>
      <c r="BN211" s="281">
        <f t="shared" si="736"/>
        <v>230.6</v>
      </c>
      <c r="BO211" s="289">
        <v>230.6</v>
      </c>
      <c r="BP211" s="289">
        <v>230.7</v>
      </c>
      <c r="BQ211" s="281">
        <f>+BP211</f>
        <v>230.7</v>
      </c>
      <c r="BR211" s="289">
        <v>230.9</v>
      </c>
      <c r="BS211" s="289">
        <v>231.2</v>
      </c>
      <c r="BT211" s="281">
        <f t="shared" ref="BT211:BU213" si="737">BS211</f>
        <v>231.2</v>
      </c>
      <c r="BU211" s="281">
        <f t="shared" si="737"/>
        <v>231.2</v>
      </c>
      <c r="BV211" s="281">
        <f>231.3</f>
        <v>231.3</v>
      </c>
      <c r="BW211" s="289">
        <v>231.2</v>
      </c>
      <c r="BX211" s="281">
        <f>BW211</f>
        <v>231.2</v>
      </c>
      <c r="BY211" s="289">
        <v>231.3</v>
      </c>
      <c r="BZ211" s="289">
        <v>231.4</v>
      </c>
      <c r="CA211" s="281">
        <f t="shared" ref="CA211:CB213" si="738">BZ211</f>
        <v>231.4</v>
      </c>
      <c r="CB211" s="281">
        <f t="shared" si="738"/>
        <v>231.4</v>
      </c>
      <c r="CC211" s="289">
        <v>231.4</v>
      </c>
      <c r="CD211" s="289">
        <v>228.9</v>
      </c>
      <c r="CE211" s="281">
        <f>CD211</f>
        <v>228.9</v>
      </c>
      <c r="CF211" s="289">
        <v>229.1</v>
      </c>
      <c r="CG211" s="289">
        <v>229.1</v>
      </c>
      <c r="CH211" s="281">
        <f t="shared" ref="CH211:CI213" si="739">CG211</f>
        <v>229.1</v>
      </c>
      <c r="CI211" s="281">
        <f t="shared" si="739"/>
        <v>229.1</v>
      </c>
      <c r="CJ211" s="289">
        <v>229.1</v>
      </c>
      <c r="CK211" s="289">
        <v>229.4</v>
      </c>
      <c r="CL211" s="281">
        <f>CK211</f>
        <v>229.4</v>
      </c>
      <c r="CM211" s="289">
        <v>229.5</v>
      </c>
      <c r="CN211" s="289">
        <v>229.5</v>
      </c>
      <c r="CO211" s="281">
        <f t="shared" ref="CO211:CP213" si="740">CN211</f>
        <v>229.5</v>
      </c>
      <c r="CP211" s="282">
        <f t="shared" si="740"/>
        <v>229.5</v>
      </c>
      <c r="CQ211" s="290">
        <v>229.5</v>
      </c>
      <c r="CR211" s="290">
        <v>229.8</v>
      </c>
      <c r="CS211" s="282">
        <f>CR211</f>
        <v>229.8</v>
      </c>
      <c r="CT211" s="290">
        <v>230</v>
      </c>
      <c r="CU211" s="290">
        <v>230</v>
      </c>
      <c r="CV211" s="282">
        <f t="shared" ref="CV211:CW213" si="741">CU211</f>
        <v>230</v>
      </c>
      <c r="CW211" s="282">
        <f t="shared" si="741"/>
        <v>230</v>
      </c>
      <c r="CX211" s="290">
        <v>230</v>
      </c>
      <c r="CY211" s="290">
        <v>230.3</v>
      </c>
      <c r="CZ211" s="282">
        <f>CY211</f>
        <v>230.3</v>
      </c>
      <c r="DA211" s="290">
        <v>230.5</v>
      </c>
      <c r="DB211" s="290">
        <v>230.6</v>
      </c>
      <c r="DC211" s="282">
        <f t="shared" ref="DC211:DD213" si="742">DB211</f>
        <v>230.6</v>
      </c>
      <c r="DD211" s="670">
        <f t="shared" si="742"/>
        <v>230.6</v>
      </c>
      <c r="DE211" s="290">
        <v>230.6</v>
      </c>
      <c r="DF211" s="290">
        <v>231.2</v>
      </c>
      <c r="DG211" s="282">
        <f>DF211</f>
        <v>231.2</v>
      </c>
      <c r="DH211" s="290">
        <v>231.3</v>
      </c>
      <c r="DI211" s="290">
        <v>231.4</v>
      </c>
      <c r="DJ211" s="282">
        <f t="shared" ref="DJ211:DK213" si="743">DI211</f>
        <v>231.4</v>
      </c>
      <c r="DK211" s="670">
        <f t="shared" si="743"/>
        <v>231.4</v>
      </c>
      <c r="DL211" s="292">
        <v>231.5</v>
      </c>
      <c r="DM211" s="290">
        <v>232</v>
      </c>
      <c r="DN211" s="282">
        <f>DM211</f>
        <v>232</v>
      </c>
      <c r="DO211" s="290">
        <v>232.1</v>
      </c>
      <c r="DP211" s="282">
        <f t="shared" ref="DP211:DQ215" si="744">+DQ211</f>
        <v>232.1</v>
      </c>
      <c r="DQ211" s="282">
        <f t="shared" si="744"/>
        <v>232.1</v>
      </c>
      <c r="DR211" s="670">
        <v>232.1</v>
      </c>
      <c r="DS211" s="290">
        <v>232.2</v>
      </c>
      <c r="DT211" s="290">
        <v>232.3</v>
      </c>
      <c r="DU211" s="282">
        <f>DT211</f>
        <v>232.3</v>
      </c>
      <c r="DV211" s="290">
        <v>231.4</v>
      </c>
      <c r="DW211" s="282">
        <f t="shared" ref="DW211:DX215" si="745">+DX211</f>
        <v>230</v>
      </c>
      <c r="DX211" s="282">
        <f t="shared" si="745"/>
        <v>230</v>
      </c>
      <c r="DY211" s="670">
        <v>230</v>
      </c>
      <c r="DZ211" s="290">
        <v>228.7</v>
      </c>
      <c r="EA211" s="290">
        <v>227.3</v>
      </c>
      <c r="EB211" s="282">
        <f>EA211</f>
        <v>227.3</v>
      </c>
      <c r="EC211" s="290">
        <v>225.9</v>
      </c>
      <c r="ED211" s="282">
        <f t="shared" ref="ED211:EE213" si="746">+EE211</f>
        <v>224.7</v>
      </c>
      <c r="EE211" s="282">
        <f t="shared" si="746"/>
        <v>224.7</v>
      </c>
      <c r="EF211" s="670">
        <v>224.7</v>
      </c>
      <c r="EG211" s="290">
        <v>223.2</v>
      </c>
      <c r="EH211" s="290">
        <v>221.9</v>
      </c>
      <c r="EI211" s="282">
        <f>EH211</f>
        <v>221.9</v>
      </c>
      <c r="EJ211" s="290">
        <v>222.1</v>
      </c>
      <c r="EK211" s="282">
        <f t="shared" ref="EK211:EL213" si="747">+EL211</f>
        <v>222.1</v>
      </c>
      <c r="EL211" s="282">
        <f t="shared" si="747"/>
        <v>222.1</v>
      </c>
      <c r="EM211" s="670">
        <v>222.1</v>
      </c>
      <c r="EN211" s="290">
        <v>222.1</v>
      </c>
      <c r="EO211" s="290">
        <v>325.89999999999998</v>
      </c>
      <c r="EP211" s="282">
        <f>EO211</f>
        <v>325.89999999999998</v>
      </c>
      <c r="EQ211" s="292">
        <v>326.39999999999998</v>
      </c>
      <c r="ER211" s="282">
        <f t="shared" ref="ER211:ER212" si="748">EQ211</f>
        <v>326.39999999999998</v>
      </c>
      <c r="ES211" s="282">
        <f t="shared" ref="ES211:ET213" si="749">ER211</f>
        <v>326.39999999999998</v>
      </c>
      <c r="ET211" s="590">
        <f t="shared" si="749"/>
        <v>326.39999999999998</v>
      </c>
      <c r="EU211" s="282">
        <f t="shared" ref="EU211:EY212" si="750">ET211</f>
        <v>326.39999999999998</v>
      </c>
      <c r="EV211" s="282">
        <f t="shared" si="750"/>
        <v>326.39999999999998</v>
      </c>
      <c r="EW211" s="282">
        <f t="shared" si="750"/>
        <v>326.39999999999998</v>
      </c>
      <c r="EX211" s="282">
        <f t="shared" si="750"/>
        <v>326.39999999999998</v>
      </c>
      <c r="EY211" s="282">
        <f t="shared" si="750"/>
        <v>326.39999999999998</v>
      </c>
      <c r="EZ211" s="282">
        <f t="shared" ref="EZ211:FA213" si="751">EY211</f>
        <v>326.39999999999998</v>
      </c>
      <c r="FA211" s="590">
        <f t="shared" si="751"/>
        <v>326.39999999999998</v>
      </c>
      <c r="FB211" s="282">
        <f t="shared" ref="FB211:FF212" si="752">FA211</f>
        <v>326.39999999999998</v>
      </c>
      <c r="FC211" s="282">
        <f t="shared" si="752"/>
        <v>326.39999999999998</v>
      </c>
      <c r="FD211" s="282">
        <f t="shared" si="752"/>
        <v>326.39999999999998</v>
      </c>
      <c r="FE211" s="282">
        <f t="shared" si="752"/>
        <v>326.39999999999998</v>
      </c>
      <c r="FF211" s="282">
        <f t="shared" si="752"/>
        <v>326.39999999999998</v>
      </c>
      <c r="FG211" s="282">
        <f t="shared" ref="FG211:FH213" si="753">FF211</f>
        <v>326.39999999999998</v>
      </c>
      <c r="FH211" s="590">
        <f t="shared" si="753"/>
        <v>326.39999999999998</v>
      </c>
      <c r="FI211" s="282">
        <f t="shared" ref="FI211:FM212" si="754">FH211</f>
        <v>326.39999999999998</v>
      </c>
      <c r="FJ211" s="282">
        <f t="shared" si="754"/>
        <v>326.39999999999998</v>
      </c>
      <c r="FK211" s="282">
        <f t="shared" si="754"/>
        <v>326.39999999999998</v>
      </c>
      <c r="FL211" s="282">
        <f t="shared" si="754"/>
        <v>326.39999999999998</v>
      </c>
      <c r="FM211" s="282">
        <f t="shared" si="754"/>
        <v>326.39999999999998</v>
      </c>
      <c r="FN211" s="282">
        <f t="shared" ref="FN211:FO213" si="755">FM211</f>
        <v>326.39999999999998</v>
      </c>
      <c r="FO211" s="590">
        <f t="shared" si="755"/>
        <v>326.39999999999998</v>
      </c>
      <c r="FP211" s="282">
        <f t="shared" ref="FP211:FT212" si="756">FO211</f>
        <v>326.39999999999998</v>
      </c>
      <c r="FQ211" s="282">
        <f t="shared" si="756"/>
        <v>326.39999999999998</v>
      </c>
      <c r="FR211" s="282">
        <f t="shared" si="756"/>
        <v>326.39999999999998</v>
      </c>
      <c r="FS211" s="282">
        <f t="shared" si="756"/>
        <v>326.39999999999998</v>
      </c>
      <c r="FT211" s="282">
        <f t="shared" si="756"/>
        <v>326.39999999999998</v>
      </c>
      <c r="FU211" s="282">
        <f t="shared" ref="FU211:FV213" si="757">FT211</f>
        <v>326.39999999999998</v>
      </c>
      <c r="FV211" s="590">
        <f t="shared" si="757"/>
        <v>326.39999999999998</v>
      </c>
      <c r="FW211" s="534"/>
    </row>
    <row r="212" spans="1:280" outlineLevel="1" x14ac:dyDescent="0.3">
      <c r="B212" s="485" t="s">
        <v>546</v>
      </c>
      <c r="C212" s="280" t="s">
        <v>226</v>
      </c>
      <c r="D212" s="499">
        <v>144.30000000000001</v>
      </c>
      <c r="E212" s="500">
        <f t="shared" ref="E212:E217" si="758">F212</f>
        <v>149.9</v>
      </c>
      <c r="F212" s="499">
        <v>149.9</v>
      </c>
      <c r="G212" s="499">
        <v>152</v>
      </c>
      <c r="H212" s="500">
        <f t="shared" si="728"/>
        <v>158.80000000000001</v>
      </c>
      <c r="I212" s="500">
        <f t="shared" si="728"/>
        <v>158.80000000000001</v>
      </c>
      <c r="J212" s="289">
        <v>158.80000000000001</v>
      </c>
      <c r="K212" s="289">
        <v>159.19999999999999</v>
      </c>
      <c r="L212" s="281">
        <f t="shared" ref="L212:L217" si="759">M212</f>
        <v>161.80000000000001</v>
      </c>
      <c r="M212" s="289">
        <v>161.80000000000001</v>
      </c>
      <c r="N212" s="289">
        <v>176.2</v>
      </c>
      <c r="O212" s="281">
        <f t="shared" si="729"/>
        <v>180.2</v>
      </c>
      <c r="P212" s="281">
        <f t="shared" si="729"/>
        <v>180.2</v>
      </c>
      <c r="Q212" s="289">
        <v>180.2</v>
      </c>
      <c r="R212" s="289">
        <v>183.8</v>
      </c>
      <c r="S212" s="281">
        <f t="shared" ref="S212:S217" si="760">T212</f>
        <v>185.4</v>
      </c>
      <c r="T212" s="289">
        <v>185.4</v>
      </c>
      <c r="U212" s="289">
        <v>187.9</v>
      </c>
      <c r="V212" s="281">
        <f t="shared" si="730"/>
        <v>19.3</v>
      </c>
      <c r="W212" s="281">
        <f t="shared" si="730"/>
        <v>19.3</v>
      </c>
      <c r="X212" s="289">
        <v>19.3</v>
      </c>
      <c r="Y212" s="289">
        <v>21.4</v>
      </c>
      <c r="Z212" s="281">
        <f t="shared" ref="Z212:Z217" si="761">AA212</f>
        <v>22.6</v>
      </c>
      <c r="AA212" s="289">
        <v>22.6</v>
      </c>
      <c r="AB212" s="289">
        <v>24.2</v>
      </c>
      <c r="AC212" s="281">
        <f t="shared" si="731"/>
        <v>22.7</v>
      </c>
      <c r="AD212" s="281">
        <f t="shared" si="731"/>
        <v>22.7</v>
      </c>
      <c r="AE212" s="289">
        <v>22.7</v>
      </c>
      <c r="AF212" s="289">
        <v>24.7</v>
      </c>
      <c r="AG212" s="281">
        <f t="shared" ref="AG212:AG217" si="762">AH212</f>
        <v>28.2</v>
      </c>
      <c r="AH212" s="289">
        <v>28.2</v>
      </c>
      <c r="AI212" s="289">
        <v>35.700000000000003</v>
      </c>
      <c r="AJ212" s="281">
        <f t="shared" si="732"/>
        <v>39.5</v>
      </c>
      <c r="AK212" s="281">
        <f t="shared" si="732"/>
        <v>39.5</v>
      </c>
      <c r="AL212" s="289">
        <v>39.5</v>
      </c>
      <c r="AM212" s="289">
        <v>41.4</v>
      </c>
      <c r="AN212" s="281">
        <f>AO212</f>
        <v>45.1</v>
      </c>
      <c r="AO212" s="289">
        <v>45.1</v>
      </c>
      <c r="AP212" s="289">
        <v>48.3</v>
      </c>
      <c r="AQ212" s="281">
        <f t="shared" si="733"/>
        <v>52.5</v>
      </c>
      <c r="AR212" s="281">
        <f t="shared" si="733"/>
        <v>52.5</v>
      </c>
      <c r="AS212" s="289">
        <v>52.5</v>
      </c>
      <c r="AT212" s="289">
        <v>53.9</v>
      </c>
      <c r="AU212" s="281">
        <f>+AV212</f>
        <v>55.2</v>
      </c>
      <c r="AV212" s="289">
        <v>55.2</v>
      </c>
      <c r="AW212" s="289">
        <v>59.1</v>
      </c>
      <c r="AX212" s="289">
        <v>67.599999999999994</v>
      </c>
      <c r="AY212" s="281">
        <f t="shared" si="734"/>
        <v>67.599999999999994</v>
      </c>
      <c r="AZ212" s="281">
        <f t="shared" si="734"/>
        <v>67.599999999999994</v>
      </c>
      <c r="BA212" s="289">
        <v>69.8</v>
      </c>
      <c r="BB212" s="281">
        <f>+BC212</f>
        <v>81.5</v>
      </c>
      <c r="BC212" s="289">
        <v>81.5</v>
      </c>
      <c r="BD212" s="289">
        <v>91.7</v>
      </c>
      <c r="BE212" s="281">
        <f t="shared" si="735"/>
        <v>101.1</v>
      </c>
      <c r="BF212" s="281">
        <f t="shared" si="735"/>
        <v>101.1</v>
      </c>
      <c r="BG212" s="289">
        <v>101.1</v>
      </c>
      <c r="BH212" s="289">
        <v>104.3</v>
      </c>
      <c r="BI212" s="281">
        <f>+BJ212</f>
        <v>110.1</v>
      </c>
      <c r="BJ212" s="289">
        <v>110.1</v>
      </c>
      <c r="BK212" s="289">
        <v>121.3</v>
      </c>
      <c r="BL212" s="289">
        <v>139.69999999999999</v>
      </c>
      <c r="BM212" s="281">
        <f t="shared" si="736"/>
        <v>139.69999999999999</v>
      </c>
      <c r="BN212" s="281">
        <f t="shared" si="736"/>
        <v>139.69999999999999</v>
      </c>
      <c r="BO212" s="289">
        <v>143.69999999999999</v>
      </c>
      <c r="BP212" s="289">
        <v>144.80000000000001</v>
      </c>
      <c r="BQ212" s="281">
        <f>+BP212</f>
        <v>144.80000000000001</v>
      </c>
      <c r="BR212" s="289">
        <v>147.30000000000001</v>
      </c>
      <c r="BS212" s="289">
        <v>153.19999999999999</v>
      </c>
      <c r="BT212" s="281">
        <f t="shared" si="737"/>
        <v>153.19999999999999</v>
      </c>
      <c r="BU212" s="281">
        <f t="shared" si="737"/>
        <v>153.19999999999999</v>
      </c>
      <c r="BV212" s="281">
        <f>157.3</f>
        <v>157.30000000000001</v>
      </c>
      <c r="BW212" s="289">
        <v>162</v>
      </c>
      <c r="BX212" s="281">
        <f>BW212</f>
        <v>162</v>
      </c>
      <c r="BY212" s="289">
        <v>163</v>
      </c>
      <c r="BZ212" s="289">
        <v>164.4</v>
      </c>
      <c r="CA212" s="281">
        <f t="shared" si="738"/>
        <v>164.4</v>
      </c>
      <c r="CB212" s="281">
        <f t="shared" si="738"/>
        <v>164.4</v>
      </c>
      <c r="CC212" s="289">
        <v>167.1</v>
      </c>
      <c r="CD212" s="289">
        <v>168.4</v>
      </c>
      <c r="CE212" s="281">
        <f>CD212</f>
        <v>168.4</v>
      </c>
      <c r="CF212" s="289">
        <v>171.3</v>
      </c>
      <c r="CG212" s="289">
        <v>173.8</v>
      </c>
      <c r="CH212" s="281">
        <f t="shared" si="739"/>
        <v>173.8</v>
      </c>
      <c r="CI212" s="281">
        <f t="shared" si="739"/>
        <v>173.8</v>
      </c>
      <c r="CJ212" s="289">
        <v>176.9</v>
      </c>
      <c r="CK212" s="289">
        <v>178.9</v>
      </c>
      <c r="CL212" s="281">
        <f>CK212</f>
        <v>178.9</v>
      </c>
      <c r="CM212" s="289">
        <v>182.5</v>
      </c>
      <c r="CN212" s="289">
        <v>185.6</v>
      </c>
      <c r="CO212" s="281">
        <f t="shared" si="740"/>
        <v>185.6</v>
      </c>
      <c r="CP212" s="282">
        <f t="shared" si="740"/>
        <v>185.6</v>
      </c>
      <c r="CQ212" s="290">
        <v>189.4</v>
      </c>
      <c r="CR212" s="290">
        <v>191.5</v>
      </c>
      <c r="CS212" s="282">
        <f>CR212</f>
        <v>191.5</v>
      </c>
      <c r="CT212" s="290">
        <v>192.8</v>
      </c>
      <c r="CU212" s="290">
        <v>197.6</v>
      </c>
      <c r="CV212" s="282">
        <f t="shared" si="741"/>
        <v>197.6</v>
      </c>
      <c r="CW212" s="282">
        <f t="shared" si="741"/>
        <v>197.6</v>
      </c>
      <c r="CX212" s="290">
        <v>200.2</v>
      </c>
      <c r="CY212" s="290">
        <v>202.8</v>
      </c>
      <c r="CZ212" s="282">
        <f>CY212</f>
        <v>202.8</v>
      </c>
      <c r="DA212" s="290">
        <v>207.3</v>
      </c>
      <c r="DB212" s="290">
        <v>207.3</v>
      </c>
      <c r="DC212" s="282">
        <f t="shared" si="742"/>
        <v>207.3</v>
      </c>
      <c r="DD212" s="670">
        <f t="shared" si="742"/>
        <v>207.3</v>
      </c>
      <c r="DE212" s="290">
        <v>211.6</v>
      </c>
      <c r="DF212" s="290">
        <v>214.9</v>
      </c>
      <c r="DG212" s="282">
        <f>DF212</f>
        <v>214.9</v>
      </c>
      <c r="DH212" s="290">
        <v>218.9</v>
      </c>
      <c r="DI212" s="290">
        <v>224.6</v>
      </c>
      <c r="DJ212" s="282">
        <f t="shared" si="743"/>
        <v>224.6</v>
      </c>
      <c r="DK212" s="670">
        <f t="shared" si="743"/>
        <v>224.6</v>
      </c>
      <c r="DL212" s="292">
        <v>229.4</v>
      </c>
      <c r="DM212" s="290">
        <v>232</v>
      </c>
      <c r="DN212" s="282">
        <f>DM212</f>
        <v>232</v>
      </c>
      <c r="DO212" s="290">
        <v>234.2</v>
      </c>
      <c r="DP212" s="282">
        <f t="shared" si="744"/>
        <v>230.4</v>
      </c>
      <c r="DQ212" s="282">
        <f t="shared" si="744"/>
        <v>230.4</v>
      </c>
      <c r="DR212" s="670">
        <v>230.4</v>
      </c>
      <c r="DS212" s="290">
        <v>230.9</v>
      </c>
      <c r="DT212" s="290">
        <v>231.7</v>
      </c>
      <c r="DU212" s="282">
        <f>DT212</f>
        <v>231.7</v>
      </c>
      <c r="DV212" s="290">
        <v>232.8</v>
      </c>
      <c r="DW212" s="282">
        <f t="shared" si="745"/>
        <v>237.9</v>
      </c>
      <c r="DX212" s="282">
        <f t="shared" si="745"/>
        <v>237.9</v>
      </c>
      <c r="DY212" s="670">
        <v>237.9</v>
      </c>
      <c r="DZ212" s="290">
        <v>243</v>
      </c>
      <c r="EA212" s="290">
        <v>246.5</v>
      </c>
      <c r="EB212" s="282">
        <f>EA212</f>
        <v>246.5</v>
      </c>
      <c r="EC212" s="290">
        <v>249.8</v>
      </c>
      <c r="ED212" s="282">
        <f t="shared" si="746"/>
        <v>256.5</v>
      </c>
      <c r="EE212" s="282">
        <f t="shared" si="746"/>
        <v>256.5</v>
      </c>
      <c r="EF212" s="670">
        <v>256.5</v>
      </c>
      <c r="EG212" s="290">
        <v>259.39999999999998</v>
      </c>
      <c r="EH212" s="290">
        <v>264.10000000000002</v>
      </c>
      <c r="EI212" s="282">
        <f>EH212</f>
        <v>264.10000000000002</v>
      </c>
      <c r="EJ212" s="290">
        <v>265.7</v>
      </c>
      <c r="EK212" s="282">
        <f t="shared" si="747"/>
        <v>271.89999999999998</v>
      </c>
      <c r="EL212" s="282">
        <f t="shared" si="747"/>
        <v>271.89999999999998</v>
      </c>
      <c r="EM212" s="670">
        <v>271.89999999999998</v>
      </c>
      <c r="EN212" s="290">
        <v>279.8</v>
      </c>
      <c r="EO212" s="290">
        <v>4303.6000000000004</v>
      </c>
      <c r="EP212" s="282">
        <f>EO212</f>
        <v>4303.6000000000004</v>
      </c>
      <c r="EQ212" s="292">
        <v>4308.3</v>
      </c>
      <c r="ER212" s="282">
        <f t="shared" si="748"/>
        <v>4308.3</v>
      </c>
      <c r="ES212" s="282">
        <f t="shared" si="749"/>
        <v>4308.3</v>
      </c>
      <c r="ET212" s="590">
        <f t="shared" si="749"/>
        <v>4308.3</v>
      </c>
      <c r="EU212" s="282">
        <f t="shared" si="750"/>
        <v>4308.3</v>
      </c>
      <c r="EV212" s="282">
        <f t="shared" si="750"/>
        <v>4308.3</v>
      </c>
      <c r="EW212" s="282">
        <f t="shared" si="750"/>
        <v>4308.3</v>
      </c>
      <c r="EX212" s="282">
        <f t="shared" si="750"/>
        <v>4308.3</v>
      </c>
      <c r="EY212" s="282">
        <f t="shared" si="750"/>
        <v>4308.3</v>
      </c>
      <c r="EZ212" s="282">
        <f t="shared" si="751"/>
        <v>4308.3</v>
      </c>
      <c r="FA212" s="590">
        <f t="shared" si="751"/>
        <v>4308.3</v>
      </c>
      <c r="FB212" s="282">
        <f t="shared" si="752"/>
        <v>4308.3</v>
      </c>
      <c r="FC212" s="282">
        <f t="shared" si="752"/>
        <v>4308.3</v>
      </c>
      <c r="FD212" s="282">
        <f t="shared" si="752"/>
        <v>4308.3</v>
      </c>
      <c r="FE212" s="282">
        <f t="shared" si="752"/>
        <v>4308.3</v>
      </c>
      <c r="FF212" s="282">
        <f t="shared" si="752"/>
        <v>4308.3</v>
      </c>
      <c r="FG212" s="282">
        <f t="shared" si="753"/>
        <v>4308.3</v>
      </c>
      <c r="FH212" s="590">
        <f t="shared" si="753"/>
        <v>4308.3</v>
      </c>
      <c r="FI212" s="282">
        <f t="shared" si="754"/>
        <v>4308.3</v>
      </c>
      <c r="FJ212" s="282">
        <f t="shared" si="754"/>
        <v>4308.3</v>
      </c>
      <c r="FK212" s="282">
        <f t="shared" si="754"/>
        <v>4308.3</v>
      </c>
      <c r="FL212" s="282">
        <f t="shared" si="754"/>
        <v>4308.3</v>
      </c>
      <c r="FM212" s="282">
        <f t="shared" si="754"/>
        <v>4308.3</v>
      </c>
      <c r="FN212" s="282">
        <f t="shared" si="755"/>
        <v>4308.3</v>
      </c>
      <c r="FO212" s="590">
        <f t="shared" si="755"/>
        <v>4308.3</v>
      </c>
      <c r="FP212" s="282">
        <f t="shared" si="756"/>
        <v>4308.3</v>
      </c>
      <c r="FQ212" s="282">
        <f t="shared" si="756"/>
        <v>4308.3</v>
      </c>
      <c r="FR212" s="282">
        <f t="shared" si="756"/>
        <v>4308.3</v>
      </c>
      <c r="FS212" s="282">
        <f t="shared" si="756"/>
        <v>4308.3</v>
      </c>
      <c r="FT212" s="282">
        <f t="shared" si="756"/>
        <v>4308.3</v>
      </c>
      <c r="FU212" s="282">
        <f t="shared" si="757"/>
        <v>4308.3</v>
      </c>
      <c r="FV212" s="590">
        <f t="shared" si="757"/>
        <v>4308.3</v>
      </c>
      <c r="FW212" s="534"/>
    </row>
    <row r="213" spans="1:280" outlineLevel="1" x14ac:dyDescent="0.3">
      <c r="B213" s="485" t="s">
        <v>547</v>
      </c>
      <c r="C213" s="280" t="s">
        <v>226</v>
      </c>
      <c r="D213" s="499">
        <v>292.7</v>
      </c>
      <c r="E213" s="500">
        <f>F213</f>
        <v>340.3</v>
      </c>
      <c r="F213" s="499">
        <v>340.3</v>
      </c>
      <c r="G213" s="499">
        <v>362.7</v>
      </c>
      <c r="H213" s="500">
        <f t="shared" si="728"/>
        <v>-288.3</v>
      </c>
      <c r="I213" s="500">
        <f t="shared" si="728"/>
        <v>-288.3</v>
      </c>
      <c r="J213" s="289">
        <v>-288.3</v>
      </c>
      <c r="K213" s="289">
        <v>-271.5</v>
      </c>
      <c r="L213" s="281">
        <f t="shared" si="759"/>
        <v>-250.4</v>
      </c>
      <c r="M213" s="289">
        <v>-250.4</v>
      </c>
      <c r="N213" s="289">
        <v>-281.8</v>
      </c>
      <c r="O213" s="281">
        <f t="shared" si="729"/>
        <v>-178.7</v>
      </c>
      <c r="P213" s="281">
        <f t="shared" si="729"/>
        <v>-178.7</v>
      </c>
      <c r="Q213" s="289">
        <v>-178.7</v>
      </c>
      <c r="R213" s="289">
        <v>-300.7</v>
      </c>
      <c r="S213" s="281">
        <f t="shared" si="760"/>
        <v>-281.60000000000002</v>
      </c>
      <c r="T213" s="289">
        <v>-281.60000000000002</v>
      </c>
      <c r="U213" s="289">
        <v>-316.89999999999998</v>
      </c>
      <c r="V213" s="281">
        <f t="shared" si="730"/>
        <v>-454.5</v>
      </c>
      <c r="W213" s="281">
        <f t="shared" si="730"/>
        <v>-454.5</v>
      </c>
      <c r="X213" s="289">
        <v>-454.5</v>
      </c>
      <c r="Y213" s="289">
        <v>-487.7</v>
      </c>
      <c r="Z213" s="281">
        <f t="shared" si="761"/>
        <v>-334.2</v>
      </c>
      <c r="AA213" s="289">
        <v>-334.2</v>
      </c>
      <c r="AB213" s="289">
        <v>-223.2</v>
      </c>
      <c r="AC213" s="281">
        <f t="shared" si="731"/>
        <v>-352.8</v>
      </c>
      <c r="AD213" s="281">
        <f t="shared" si="731"/>
        <v>-352.8</v>
      </c>
      <c r="AE213" s="289">
        <v>-352.8</v>
      </c>
      <c r="AF213" s="289">
        <v>-430.7</v>
      </c>
      <c r="AG213" s="281">
        <f t="shared" si="762"/>
        <v>-450.3</v>
      </c>
      <c r="AH213" s="289">
        <v>-450.3</v>
      </c>
      <c r="AI213" s="289">
        <v>-435.4</v>
      </c>
      <c r="AJ213" s="281">
        <f t="shared" si="732"/>
        <v>-437.7</v>
      </c>
      <c r="AK213" s="281">
        <f t="shared" si="732"/>
        <v>-437.7</v>
      </c>
      <c r="AL213" s="289">
        <v>-437.7</v>
      </c>
      <c r="AM213" s="289">
        <v>-332.8</v>
      </c>
      <c r="AN213" s="281">
        <f>AO213</f>
        <v>-756.5</v>
      </c>
      <c r="AO213" s="289">
        <v>-756.5</v>
      </c>
      <c r="AP213" s="281">
        <f>AO213+AP79+AP120</f>
        <v>-782.9</v>
      </c>
      <c r="AQ213" s="281">
        <f t="shared" si="733"/>
        <v>-784.7</v>
      </c>
      <c r="AR213" s="281">
        <f t="shared" si="733"/>
        <v>-784.7</v>
      </c>
      <c r="AS213" s="289">
        <v>-784.7</v>
      </c>
      <c r="AT213" s="289">
        <v>-783.7</v>
      </c>
      <c r="AU213" s="281">
        <f>+AV213</f>
        <v>-667.8</v>
      </c>
      <c r="AV213" s="289">
        <v>-667.8</v>
      </c>
      <c r="AW213" s="289">
        <v>-695.3</v>
      </c>
      <c r="AX213" s="289">
        <v>-214.6</v>
      </c>
      <c r="AY213" s="281">
        <f t="shared" si="734"/>
        <v>-214.6</v>
      </c>
      <c r="AZ213" s="281">
        <f t="shared" si="734"/>
        <v>-214.6</v>
      </c>
      <c r="BA213" s="289">
        <v>-312.5</v>
      </c>
      <c r="BB213" s="281">
        <f>++BC213</f>
        <v>-297.5</v>
      </c>
      <c r="BC213" s="289">
        <v>-297.5</v>
      </c>
      <c r="BD213" s="289">
        <v>-288.10000000000002</v>
      </c>
      <c r="BE213" s="281">
        <f t="shared" si="735"/>
        <v>-357.6</v>
      </c>
      <c r="BF213" s="281">
        <f t="shared" si="735"/>
        <v>-357.6</v>
      </c>
      <c r="BG213" s="289">
        <v>-357.6</v>
      </c>
      <c r="BH213" s="289">
        <v>-379</v>
      </c>
      <c r="BI213" s="281">
        <f>+BJ213</f>
        <v>-328.7</v>
      </c>
      <c r="BJ213" s="289">
        <v>-328.7</v>
      </c>
      <c r="BK213" s="289">
        <v>-275.10000000000002</v>
      </c>
      <c r="BL213" s="289">
        <v>-602.4</v>
      </c>
      <c r="BM213" s="281">
        <f t="shared" si="736"/>
        <v>-602.4</v>
      </c>
      <c r="BN213" s="281">
        <f t="shared" si="736"/>
        <v>-602.4</v>
      </c>
      <c r="BO213" s="289">
        <v>-813.3</v>
      </c>
      <c r="BP213" s="289">
        <v>-686.1</v>
      </c>
      <c r="BQ213" s="281">
        <f>+BP213</f>
        <v>-686.1</v>
      </c>
      <c r="BR213" s="289">
        <v>-614.6</v>
      </c>
      <c r="BS213" s="289">
        <v>-586.6</v>
      </c>
      <c r="BT213" s="281">
        <f t="shared" si="737"/>
        <v>-586.6</v>
      </c>
      <c r="BU213" s="281">
        <f t="shared" si="737"/>
        <v>-586.6</v>
      </c>
      <c r="BV213" s="281">
        <f>-745.1</f>
        <v>-745.1</v>
      </c>
      <c r="BW213" s="289">
        <v>-635.79999999999995</v>
      </c>
      <c r="BX213" s="281">
        <f>BW213</f>
        <v>-635.79999999999995</v>
      </c>
      <c r="BY213" s="289">
        <v>-650.4</v>
      </c>
      <c r="BZ213" s="289">
        <v>-621.79999999999995</v>
      </c>
      <c r="CA213" s="281">
        <f t="shared" si="738"/>
        <v>-621.79999999999995</v>
      </c>
      <c r="CB213" s="281">
        <f t="shared" si="738"/>
        <v>-621.79999999999995</v>
      </c>
      <c r="CC213" s="289">
        <v>-663.9</v>
      </c>
      <c r="CD213" s="289">
        <v>-701.2</v>
      </c>
      <c r="CE213" s="281">
        <f>CD213</f>
        <v>-701.2</v>
      </c>
      <c r="CF213" s="289">
        <v>-657.4</v>
      </c>
      <c r="CG213" s="289">
        <v>-612.9</v>
      </c>
      <c r="CH213" s="281">
        <f t="shared" si="739"/>
        <v>-612.9</v>
      </c>
      <c r="CI213" s="281">
        <f t="shared" si="739"/>
        <v>-612.9</v>
      </c>
      <c r="CJ213" s="289">
        <v>-678.9</v>
      </c>
      <c r="CK213" s="289">
        <f>-613.4</f>
        <v>-613.4</v>
      </c>
      <c r="CL213" s="281">
        <f>CK213</f>
        <v>-613.4</v>
      </c>
      <c r="CM213" s="289">
        <f>-577.7</f>
        <v>-577.70000000000005</v>
      </c>
      <c r="CN213" s="289">
        <f>-635.3</f>
        <v>-635.29999999999995</v>
      </c>
      <c r="CO213" s="281">
        <f t="shared" si="740"/>
        <v>-635.29999999999995</v>
      </c>
      <c r="CP213" s="282">
        <f t="shared" si="740"/>
        <v>-635.29999999999995</v>
      </c>
      <c r="CQ213" s="290">
        <v>483.1</v>
      </c>
      <c r="CR213" s="290">
        <v>552.6</v>
      </c>
      <c r="CS213" s="282">
        <f>CR213</f>
        <v>552.6</v>
      </c>
      <c r="CT213" s="290">
        <v>576.29999999999995</v>
      </c>
      <c r="CU213" s="290">
        <v>577.1</v>
      </c>
      <c r="CV213" s="282">
        <f>CU213</f>
        <v>577.1</v>
      </c>
      <c r="CW213" s="282">
        <f t="shared" si="741"/>
        <v>577.1</v>
      </c>
      <c r="CX213" s="290">
        <v>548.79999999999995</v>
      </c>
      <c r="CY213" s="290">
        <v>651.9</v>
      </c>
      <c r="CZ213" s="282">
        <f>CY213</f>
        <v>651.9</v>
      </c>
      <c r="DA213" s="290">
        <v>653.20000000000005</v>
      </c>
      <c r="DB213" s="290">
        <v>659.5</v>
      </c>
      <c r="DC213" s="282">
        <f t="shared" si="742"/>
        <v>659.5</v>
      </c>
      <c r="DD213" s="670">
        <f t="shared" si="742"/>
        <v>659.5</v>
      </c>
      <c r="DE213" s="290">
        <v>668.9</v>
      </c>
      <c r="DF213" s="290">
        <v>755.7</v>
      </c>
      <c r="DG213" s="282">
        <f>DF213</f>
        <v>755.7</v>
      </c>
      <c r="DH213" s="290">
        <v>824.3</v>
      </c>
      <c r="DI213" s="290">
        <v>611.4</v>
      </c>
      <c r="DJ213" s="282">
        <f t="shared" si="743"/>
        <v>611.4</v>
      </c>
      <c r="DK213" s="670">
        <f t="shared" si="743"/>
        <v>611.4</v>
      </c>
      <c r="DL213" s="292">
        <v>732.8</v>
      </c>
      <c r="DM213" s="290">
        <v>882.9</v>
      </c>
      <c r="DN213" s="282">
        <f>DM213</f>
        <v>882.9</v>
      </c>
      <c r="DO213" s="290">
        <v>840.2</v>
      </c>
      <c r="DP213" s="282">
        <f t="shared" si="744"/>
        <v>892.4</v>
      </c>
      <c r="DQ213" s="282">
        <f t="shared" si="744"/>
        <v>892.4</v>
      </c>
      <c r="DR213" s="670">
        <v>892.4</v>
      </c>
      <c r="DS213" s="290">
        <v>921.9</v>
      </c>
      <c r="DT213" s="290">
        <v>1089.3</v>
      </c>
      <c r="DU213" s="282">
        <f>DT213</f>
        <v>1089.3</v>
      </c>
      <c r="DV213" s="290">
        <v>1160.0999999999999</v>
      </c>
      <c r="DW213" s="282">
        <f t="shared" si="745"/>
        <v>1196.8</v>
      </c>
      <c r="DX213" s="282">
        <f t="shared" si="745"/>
        <v>1196.8</v>
      </c>
      <c r="DY213" s="670">
        <v>1196.8</v>
      </c>
      <c r="DZ213" s="290">
        <v>1308</v>
      </c>
      <c r="EA213" s="290">
        <v>1390.3</v>
      </c>
      <c r="EB213" s="282">
        <f>EA213</f>
        <v>1390.3</v>
      </c>
      <c r="EC213" s="290">
        <v>1463.2</v>
      </c>
      <c r="ED213" s="282">
        <f t="shared" si="746"/>
        <v>1446</v>
      </c>
      <c r="EE213" s="282">
        <f t="shared" si="746"/>
        <v>1446</v>
      </c>
      <c r="EF213" s="670">
        <v>1446</v>
      </c>
      <c r="EG213" s="290">
        <v>1529.2</v>
      </c>
      <c r="EH213" s="290">
        <v>1540.4</v>
      </c>
      <c r="EI213" s="282">
        <f>EH213</f>
        <v>1540.4</v>
      </c>
      <c r="EJ213" s="290">
        <v>1682.1</v>
      </c>
      <c r="EK213" s="282">
        <f t="shared" si="747"/>
        <v>1725.7</v>
      </c>
      <c r="EL213" s="282">
        <f t="shared" si="747"/>
        <v>1725.7</v>
      </c>
      <c r="EM213" s="670">
        <v>1725.7</v>
      </c>
      <c r="EN213" s="290">
        <v>1788.3</v>
      </c>
      <c r="EO213" s="290">
        <v>1732.5</v>
      </c>
      <c r="EP213" s="282">
        <f>EO213</f>
        <v>1732.5</v>
      </c>
      <c r="EQ213" s="292">
        <v>1801.2</v>
      </c>
      <c r="ER213" s="282">
        <f>EQ213+ER79+ER120+(EQ197-ER197)+ER121</f>
        <v>1975.3998129539937</v>
      </c>
      <c r="ES213" s="282">
        <f t="shared" si="749"/>
        <v>1975.3998129539937</v>
      </c>
      <c r="ET213" s="590">
        <f t="shared" si="749"/>
        <v>1975.3998129539937</v>
      </c>
      <c r="EU213" s="282">
        <f>ET213+EU79+EU120+(ET197-EU197)+EU121</f>
        <v>2155.7961444133043</v>
      </c>
      <c r="EV213" s="282">
        <f>EU213+EV79+EV120+(EU197-EV197)+EV121</f>
        <v>2334.54683467934</v>
      </c>
      <c r="EW213" s="282">
        <f>EV213</f>
        <v>2334.54683467934</v>
      </c>
      <c r="EX213" s="282">
        <f>EW213+EX79+EX120+(EW197-EX197)+EX121</f>
        <v>2523.724982429766</v>
      </c>
      <c r="EY213" s="282">
        <f>EX213+EY79+EY120+(EX197-EY197)+EY121</f>
        <v>2745.4153845013316</v>
      </c>
      <c r="EZ213" s="282">
        <f t="shared" si="751"/>
        <v>2745.4153845013316</v>
      </c>
      <c r="FA213" s="590">
        <f t="shared" si="751"/>
        <v>2745.4153845013316</v>
      </c>
      <c r="FB213" s="282">
        <f>FA213+FB79+FB120+(FA197-FB197)+FB121</f>
        <v>2965.9790743062304</v>
      </c>
      <c r="FC213" s="282">
        <f>FB213+FC79+FC120+(FB197-FC197)+FC121</f>
        <v>3190.8336406873077</v>
      </c>
      <c r="FD213" s="282">
        <f>FC213</f>
        <v>3190.8336406873077</v>
      </c>
      <c r="FE213" s="282">
        <f>FD213+FE79+FE120+(FD197-FE197)+FE121</f>
        <v>3434.4377776709866</v>
      </c>
      <c r="FF213" s="282">
        <f>FE213+FF79+FF120+(FE197-FF197)+FF121</f>
        <v>3702.833861486944</v>
      </c>
      <c r="FG213" s="282">
        <f t="shared" si="753"/>
        <v>3702.833861486944</v>
      </c>
      <c r="FH213" s="590">
        <f t="shared" si="753"/>
        <v>3702.833861486944</v>
      </c>
      <c r="FI213" s="282">
        <f>FH213+FI79+FI120+(FH197-FI197)+FI121</f>
        <v>3966.8654031846277</v>
      </c>
      <c r="FJ213" s="282">
        <f>FI213+FJ79+FJ120+(FI197-FJ197)+FJ121</f>
        <v>4229.1033343586814</v>
      </c>
      <c r="FK213" s="282">
        <f>FJ213</f>
        <v>4229.1033343586814</v>
      </c>
      <c r="FL213" s="282">
        <f>FK213+FL79+FL120+(FK197-FL197)+FL121</f>
        <v>4510.2329636227587</v>
      </c>
      <c r="FM213" s="282">
        <f>FL213+FM79+FM120+(FL197-FM197)+FM121</f>
        <v>4815.0990052598863</v>
      </c>
      <c r="FN213" s="282">
        <f t="shared" si="755"/>
        <v>4815.0990052598863</v>
      </c>
      <c r="FO213" s="590">
        <f t="shared" si="755"/>
        <v>4815.0990052598863</v>
      </c>
      <c r="FP213" s="282">
        <f>FO213+FP79+FP120+(FO197-FP197)+FP121</f>
        <v>5119.2241897458816</v>
      </c>
      <c r="FQ213" s="282">
        <f>FP213+FQ79+FQ120+(FP197-FQ197)+FQ121</f>
        <v>5428.052649608333</v>
      </c>
      <c r="FR213" s="282">
        <f>FQ213</f>
        <v>5428.052649608333</v>
      </c>
      <c r="FS213" s="282">
        <f>FR213+FS79+FS120+(FR197-FS197)+FS121</f>
        <v>5756.0878481497084</v>
      </c>
      <c r="FT213" s="282">
        <f>FS213+FT79+FT120+(FS197-FT197)+FT121</f>
        <v>6107.3708225836181</v>
      </c>
      <c r="FU213" s="282">
        <f t="shared" si="757"/>
        <v>6107.3708225836181</v>
      </c>
      <c r="FV213" s="590">
        <f t="shared" si="757"/>
        <v>6107.3708225836181</v>
      </c>
      <c r="FW213" s="534"/>
    </row>
    <row r="214" spans="1:280" outlineLevel="1" x14ac:dyDescent="0.3">
      <c r="B214" s="485" t="s">
        <v>548</v>
      </c>
      <c r="C214" s="280" t="s">
        <v>226</v>
      </c>
      <c r="D214" s="500"/>
      <c r="E214" s="500">
        <f t="shared" si="758"/>
        <v>0</v>
      </c>
      <c r="F214" s="500"/>
      <c r="G214" s="500"/>
      <c r="H214" s="500">
        <f t="shared" si="728"/>
        <v>0</v>
      </c>
      <c r="I214" s="500">
        <f t="shared" si="728"/>
        <v>0</v>
      </c>
      <c r="J214" s="281"/>
      <c r="K214" s="281"/>
      <c r="L214" s="281">
        <f t="shared" si="759"/>
        <v>0</v>
      </c>
      <c r="M214" s="281"/>
      <c r="N214" s="281"/>
      <c r="O214" s="281">
        <f t="shared" si="729"/>
        <v>0</v>
      </c>
      <c r="P214" s="281">
        <f t="shared" si="729"/>
        <v>0</v>
      </c>
      <c r="Q214" s="281"/>
      <c r="R214" s="281"/>
      <c r="S214" s="281">
        <f t="shared" si="760"/>
        <v>0</v>
      </c>
      <c r="T214" s="281"/>
      <c r="U214" s="281"/>
      <c r="V214" s="281">
        <f t="shared" si="730"/>
        <v>0</v>
      </c>
      <c r="W214" s="281">
        <f t="shared" si="730"/>
        <v>0</v>
      </c>
      <c r="X214" s="281"/>
      <c r="Y214" s="281"/>
      <c r="Z214" s="281">
        <f t="shared" si="761"/>
        <v>0</v>
      </c>
      <c r="AA214" s="281"/>
      <c r="AB214" s="281"/>
      <c r="AC214" s="281">
        <f t="shared" si="731"/>
        <v>0</v>
      </c>
      <c r="AD214" s="281">
        <f t="shared" si="731"/>
        <v>0</v>
      </c>
      <c r="AE214" s="281"/>
      <c r="AF214" s="281"/>
      <c r="AG214" s="281">
        <f t="shared" si="762"/>
        <v>0</v>
      </c>
      <c r="AH214" s="281"/>
      <c r="AI214" s="281"/>
      <c r="AJ214" s="281">
        <f t="shared" si="732"/>
        <v>0</v>
      </c>
      <c r="AK214" s="281">
        <f t="shared" si="732"/>
        <v>0</v>
      </c>
      <c r="AL214" s="281"/>
      <c r="AM214" s="281"/>
      <c r="AN214" s="281"/>
      <c r="AO214" s="281"/>
      <c r="AP214" s="281"/>
      <c r="AQ214" s="281"/>
      <c r="AR214" s="281"/>
      <c r="AS214" s="281"/>
      <c r="AT214" s="281"/>
      <c r="AU214" s="281"/>
      <c r="AV214" s="281"/>
      <c r="AW214" s="281"/>
      <c r="AX214" s="281"/>
      <c r="AY214" s="281"/>
      <c r="AZ214" s="281"/>
      <c r="BA214" s="281"/>
      <c r="BB214" s="281"/>
      <c r="BC214" s="281"/>
      <c r="BD214" s="281"/>
      <c r="BE214" s="281"/>
      <c r="BF214" s="281"/>
      <c r="BG214" s="281"/>
      <c r="BH214" s="281"/>
      <c r="BI214" s="281"/>
      <c r="BJ214" s="281"/>
      <c r="BK214" s="281"/>
      <c r="BL214" s="281"/>
      <c r="BM214" s="281"/>
      <c r="BN214" s="281"/>
      <c r="BO214" s="281"/>
      <c r="BP214" s="281"/>
      <c r="BQ214" s="281"/>
      <c r="BR214" s="281"/>
      <c r="BS214" s="281"/>
      <c r="BT214" s="281"/>
      <c r="BU214" s="281"/>
      <c r="BV214" s="281"/>
      <c r="BW214" s="281"/>
      <c r="BX214" s="281"/>
      <c r="BY214" s="281"/>
      <c r="BZ214" s="281"/>
      <c r="CA214" s="281"/>
      <c r="CB214" s="281"/>
      <c r="CC214" s="281"/>
      <c r="CD214" s="281"/>
      <c r="CE214" s="281"/>
      <c r="CF214" s="281"/>
      <c r="CG214" s="281"/>
      <c r="CH214" s="281"/>
      <c r="CI214" s="281"/>
      <c r="CJ214" s="281"/>
      <c r="CK214" s="281"/>
      <c r="CL214" s="281"/>
      <c r="CM214" s="281"/>
      <c r="CN214" s="281"/>
      <c r="CO214" s="281"/>
      <c r="CP214" s="282"/>
      <c r="CQ214" s="282"/>
      <c r="CR214" s="282"/>
      <c r="CS214" s="282"/>
      <c r="CT214" s="282"/>
      <c r="CU214" s="290"/>
      <c r="CV214" s="282"/>
      <c r="CW214" s="282"/>
      <c r="CX214" s="282"/>
      <c r="CY214" s="290"/>
      <c r="CZ214" s="282"/>
      <c r="DA214" s="282"/>
      <c r="DB214" s="282"/>
      <c r="DC214" s="282"/>
      <c r="DD214" s="670"/>
      <c r="DE214" s="290"/>
      <c r="DF214" s="282"/>
      <c r="DG214" s="282"/>
      <c r="DH214" s="282"/>
      <c r="DI214" s="290"/>
      <c r="DJ214" s="282"/>
      <c r="DK214" s="670"/>
      <c r="DL214" s="292"/>
      <c r="DM214" s="290"/>
      <c r="DN214" s="282"/>
      <c r="DO214" s="290"/>
      <c r="DP214" s="282">
        <f t="shared" si="744"/>
        <v>0</v>
      </c>
      <c r="DQ214" s="282">
        <f t="shared" si="744"/>
        <v>0</v>
      </c>
      <c r="DR214" s="670"/>
      <c r="DS214" s="290"/>
      <c r="DT214" s="290"/>
      <c r="DU214" s="282"/>
      <c r="DV214" s="290"/>
      <c r="DW214" s="282">
        <f t="shared" si="745"/>
        <v>0</v>
      </c>
      <c r="DX214" s="282">
        <f t="shared" si="745"/>
        <v>0</v>
      </c>
      <c r="DY214" s="670"/>
      <c r="DZ214" s="290"/>
      <c r="EA214" s="290"/>
      <c r="EB214" s="282"/>
      <c r="EC214" s="290"/>
      <c r="ED214" s="282"/>
      <c r="EE214" s="282"/>
      <c r="EF214" s="670"/>
      <c r="EG214" s="290"/>
      <c r="EH214" s="290"/>
      <c r="EI214" s="282"/>
      <c r="EJ214" s="290"/>
      <c r="EK214" s="282"/>
      <c r="EL214" s="282"/>
      <c r="EM214" s="670"/>
      <c r="EN214" s="290"/>
      <c r="EO214" s="290"/>
      <c r="EP214" s="282"/>
      <c r="EQ214" s="292"/>
      <c r="ER214" s="588">
        <v>-12.29</v>
      </c>
      <c r="ES214" s="588">
        <v>-12.29</v>
      </c>
      <c r="ET214" s="615">
        <v>-12.29</v>
      </c>
      <c r="EU214" s="588">
        <v>-12.29</v>
      </c>
      <c r="EV214" s="588">
        <v>-12.29</v>
      </c>
      <c r="EW214" s="588">
        <v>-12.29</v>
      </c>
      <c r="EX214" s="588">
        <v>-12.29</v>
      </c>
      <c r="EY214" s="588">
        <v>-12.29</v>
      </c>
      <c r="EZ214" s="588">
        <v>-12.29</v>
      </c>
      <c r="FA214" s="615">
        <v>-12.29</v>
      </c>
      <c r="FB214" s="588">
        <v>-12.29</v>
      </c>
      <c r="FC214" s="588">
        <v>-12.29</v>
      </c>
      <c r="FD214" s="588">
        <v>-12.29</v>
      </c>
      <c r="FE214" s="588">
        <v>-12.29</v>
      </c>
      <c r="FF214" s="588">
        <v>-12.29</v>
      </c>
      <c r="FG214" s="588">
        <v>-12.29</v>
      </c>
      <c r="FH214" s="615">
        <v>-12.29</v>
      </c>
      <c r="FI214" s="588">
        <v>-12.29</v>
      </c>
      <c r="FJ214" s="588">
        <v>-12.29</v>
      </c>
      <c r="FK214" s="588">
        <v>-12.29</v>
      </c>
      <c r="FL214" s="588">
        <v>-12.29</v>
      </c>
      <c r="FM214" s="588">
        <v>-12.29</v>
      </c>
      <c r="FN214" s="588">
        <v>-12.29</v>
      </c>
      <c r="FO214" s="615">
        <v>-12.29</v>
      </c>
      <c r="FP214" s="588">
        <v>-12.29</v>
      </c>
      <c r="FQ214" s="588">
        <v>-12.29</v>
      </c>
      <c r="FR214" s="588">
        <v>-12.29</v>
      </c>
      <c r="FS214" s="588">
        <v>-12.29</v>
      </c>
      <c r="FT214" s="588">
        <v>-12.29</v>
      </c>
      <c r="FU214" s="588">
        <v>-12.29</v>
      </c>
      <c r="FV214" s="615">
        <v>-12.29</v>
      </c>
      <c r="FW214" s="534"/>
    </row>
    <row r="215" spans="1:280" outlineLevel="1" x14ac:dyDescent="0.3">
      <c r="B215" s="485" t="s">
        <v>549</v>
      </c>
      <c r="C215" s="280" t="s">
        <v>226</v>
      </c>
      <c r="D215" s="500">
        <f>-0.6-24.8</f>
        <v>-25.400000000000002</v>
      </c>
      <c r="E215" s="500">
        <f t="shared" si="758"/>
        <v>-25.4</v>
      </c>
      <c r="F215" s="500">
        <f>-0.5-24.9</f>
        <v>-25.4</v>
      </c>
      <c r="G215" s="500">
        <f>-22.2-0.5</f>
        <v>-22.7</v>
      </c>
      <c r="H215" s="500">
        <f t="shared" si="728"/>
        <v>-28.799999999999997</v>
      </c>
      <c r="I215" s="500">
        <f t="shared" si="728"/>
        <v>-28.799999999999997</v>
      </c>
      <c r="J215" s="281">
        <f>-0.4-28.4</f>
        <v>-28.799999999999997</v>
      </c>
      <c r="K215" s="281">
        <f>-0.4-27.7</f>
        <v>-28.099999999999998</v>
      </c>
      <c r="L215" s="281">
        <f t="shared" si="759"/>
        <v>-23.900000000000002</v>
      </c>
      <c r="M215" s="281">
        <f>-0.3-23.6</f>
        <v>-23.900000000000002</v>
      </c>
      <c r="N215" s="281">
        <f>-0.3-11</f>
        <v>-11.3</v>
      </c>
      <c r="O215" s="281">
        <f t="shared" si="729"/>
        <v>5.4</v>
      </c>
      <c r="P215" s="281">
        <f t="shared" si="729"/>
        <v>5.4</v>
      </c>
      <c r="Q215" s="289">
        <v>5.4</v>
      </c>
      <c r="R215" s="289">
        <v>12.5</v>
      </c>
      <c r="S215" s="281">
        <f t="shared" si="760"/>
        <v>3.6</v>
      </c>
      <c r="T215" s="289">
        <v>3.6</v>
      </c>
      <c r="U215" s="289">
        <v>20.399999999999999</v>
      </c>
      <c r="V215" s="281">
        <f t="shared" si="730"/>
        <v>16.899999999999999</v>
      </c>
      <c r="W215" s="281">
        <f t="shared" si="730"/>
        <v>16.899999999999999</v>
      </c>
      <c r="X215" s="289">
        <v>16.899999999999999</v>
      </c>
      <c r="Y215" s="289">
        <v>13</v>
      </c>
      <c r="Z215" s="281">
        <f t="shared" si="761"/>
        <v>-20.5</v>
      </c>
      <c r="AA215" s="289">
        <v>-20.5</v>
      </c>
      <c r="AB215" s="289">
        <v>-54.2</v>
      </c>
      <c r="AC215" s="281">
        <f t="shared" si="731"/>
        <v>2.2000000000000002</v>
      </c>
      <c r="AD215" s="281">
        <f t="shared" si="731"/>
        <v>2.2000000000000002</v>
      </c>
      <c r="AE215" s="289">
        <v>2.2000000000000002</v>
      </c>
      <c r="AF215" s="289">
        <v>35.6</v>
      </c>
      <c r="AG215" s="281">
        <f t="shared" si="762"/>
        <v>49.4</v>
      </c>
      <c r="AH215" s="289">
        <v>49.4</v>
      </c>
      <c r="AI215" s="289">
        <v>47.6</v>
      </c>
      <c r="AJ215" s="281">
        <f t="shared" si="732"/>
        <v>59.2</v>
      </c>
      <c r="AK215" s="281">
        <f t="shared" si="732"/>
        <v>59.2</v>
      </c>
      <c r="AL215" s="289">
        <v>59.2</v>
      </c>
      <c r="AM215" s="289">
        <v>43.6</v>
      </c>
      <c r="AN215" s="281">
        <f>AO215</f>
        <v>58.2</v>
      </c>
      <c r="AO215" s="289">
        <v>58.2</v>
      </c>
      <c r="AP215" s="289">
        <v>63.2</v>
      </c>
      <c r="AQ215" s="281">
        <f>AR215</f>
        <v>55.2</v>
      </c>
      <c r="AR215" s="281">
        <f>AS215</f>
        <v>55.2</v>
      </c>
      <c r="AS215" s="289">
        <v>55.2</v>
      </c>
      <c r="AT215" s="289">
        <v>55.8</v>
      </c>
      <c r="AU215" s="281">
        <f>+AV215</f>
        <v>55.3</v>
      </c>
      <c r="AV215" s="289">
        <v>55.3</v>
      </c>
      <c r="AW215" s="289">
        <v>53</v>
      </c>
      <c r="AX215" s="289">
        <v>49.4</v>
      </c>
      <c r="AY215" s="281">
        <f>+AX215</f>
        <v>49.4</v>
      </c>
      <c r="AZ215" s="281">
        <f>+AY215</f>
        <v>49.4</v>
      </c>
      <c r="BA215" s="289">
        <v>45.2</v>
      </c>
      <c r="BB215" s="281">
        <f>+BC215</f>
        <v>52.1</v>
      </c>
      <c r="BC215" s="289">
        <v>52.1</v>
      </c>
      <c r="BD215" s="289">
        <v>48.8</v>
      </c>
      <c r="BE215" s="281">
        <f>+BF215</f>
        <v>47.4</v>
      </c>
      <c r="BF215" s="281">
        <f>+BG215</f>
        <v>47.4</v>
      </c>
      <c r="BG215" s="289">
        <v>47.4</v>
      </c>
      <c r="BH215" s="289">
        <v>34.1</v>
      </c>
      <c r="BI215" s="281">
        <f>+BJ215</f>
        <v>35.5</v>
      </c>
      <c r="BJ215" s="289">
        <v>35.5</v>
      </c>
      <c r="BK215" s="289">
        <v>30.5</v>
      </c>
      <c r="BL215" s="289">
        <v>33.1</v>
      </c>
      <c r="BM215" s="281">
        <f>BL215</f>
        <v>33.1</v>
      </c>
      <c r="BN215" s="281">
        <f>BM215</f>
        <v>33.1</v>
      </c>
      <c r="BO215" s="289">
        <v>38.1</v>
      </c>
      <c r="BP215" s="289">
        <v>23.5</v>
      </c>
      <c r="BQ215" s="281">
        <f>+BP215</f>
        <v>23.5</v>
      </c>
      <c r="BR215" s="289">
        <v>12</v>
      </c>
      <c r="BS215" s="289">
        <v>-0.4</v>
      </c>
      <c r="BT215" s="281">
        <f>BS215</f>
        <v>-0.4</v>
      </c>
      <c r="BU215" s="281">
        <f>BT215</f>
        <v>-0.4</v>
      </c>
      <c r="BV215" s="281">
        <f>0.2</f>
        <v>0.2</v>
      </c>
      <c r="BW215" s="289">
        <v>-21.4</v>
      </c>
      <c r="BX215" s="281">
        <f>BW215</f>
        <v>-21.4</v>
      </c>
      <c r="BY215" s="289">
        <v>-11.2</v>
      </c>
      <c r="BZ215" s="289">
        <v>0.8</v>
      </c>
      <c r="CA215" s="281">
        <f>BZ215</f>
        <v>0.8</v>
      </c>
      <c r="CB215" s="281">
        <f>CA215</f>
        <v>0.8</v>
      </c>
      <c r="CC215" s="289">
        <v>-4.5999999999999996</v>
      </c>
      <c r="CD215" s="289">
        <v>-0.3</v>
      </c>
      <c r="CE215" s="281">
        <f>CD215</f>
        <v>-0.3</v>
      </c>
      <c r="CF215" s="289">
        <v>-12.7</v>
      </c>
      <c r="CG215" s="289">
        <v>-2.2000000000000002</v>
      </c>
      <c r="CH215" s="281">
        <f>CG215</f>
        <v>-2.2000000000000002</v>
      </c>
      <c r="CI215" s="281">
        <f>CH215</f>
        <v>-2.2000000000000002</v>
      </c>
      <c r="CJ215" s="289">
        <v>0.5</v>
      </c>
      <c r="CK215" s="289">
        <v>4.5</v>
      </c>
      <c r="CL215" s="281">
        <f>CK215</f>
        <v>4.5</v>
      </c>
      <c r="CM215" s="289">
        <v>4.7</v>
      </c>
      <c r="CN215" s="289">
        <f>-1.3</f>
        <v>-1.3</v>
      </c>
      <c r="CO215" s="281">
        <f>CN215</f>
        <v>-1.3</v>
      </c>
      <c r="CP215" s="282">
        <f>CO215</f>
        <v>-1.3</v>
      </c>
      <c r="CQ215" s="290">
        <f>-19.4</f>
        <v>-19.399999999999999</v>
      </c>
      <c r="CR215" s="290">
        <v>-25</v>
      </c>
      <c r="CS215" s="282">
        <f>CR215</f>
        <v>-25</v>
      </c>
      <c r="CT215" s="290">
        <v>-29.4</v>
      </c>
      <c r="CU215" s="290">
        <v>-30.3</v>
      </c>
      <c r="CV215" s="282">
        <f>CU215</f>
        <v>-30.3</v>
      </c>
      <c r="CW215" s="282">
        <f>CV215</f>
        <v>-30.3</v>
      </c>
      <c r="CX215" s="291">
        <v>-30.9</v>
      </c>
      <c r="CY215" s="290">
        <v>-45.7</v>
      </c>
      <c r="CZ215" s="282">
        <f>CY215</f>
        <v>-45.7</v>
      </c>
      <c r="DA215" s="290">
        <v>-31.1</v>
      </c>
      <c r="DB215" s="290">
        <v>-62.1</v>
      </c>
      <c r="DC215" s="282">
        <f>DB215</f>
        <v>-62.1</v>
      </c>
      <c r="DD215" s="670">
        <f>DC215</f>
        <v>-62.1</v>
      </c>
      <c r="DE215" s="290">
        <v>-36.9</v>
      </c>
      <c r="DF215" s="290">
        <v>-21.5</v>
      </c>
      <c r="DG215" s="282">
        <f>DF215</f>
        <v>-21.5</v>
      </c>
      <c r="DH215" s="290">
        <v>3.3</v>
      </c>
      <c r="DI215" s="290">
        <v>-6.6</v>
      </c>
      <c r="DJ215" s="282">
        <f>DI215</f>
        <v>-6.6</v>
      </c>
      <c r="DK215" s="670">
        <f>DJ215</f>
        <v>-6.6</v>
      </c>
      <c r="DL215" s="292">
        <v>-7</v>
      </c>
      <c r="DM215" s="290">
        <v>-25.2</v>
      </c>
      <c r="DN215" s="282">
        <f>DM215</f>
        <v>-25.2</v>
      </c>
      <c r="DO215" s="290">
        <v>-26.2</v>
      </c>
      <c r="DP215" s="282">
        <f t="shared" si="744"/>
        <v>-22</v>
      </c>
      <c r="DQ215" s="282">
        <f t="shared" si="744"/>
        <v>-22</v>
      </c>
      <c r="DR215" s="670">
        <v>-22</v>
      </c>
      <c r="DS215" s="290">
        <v>-56.7</v>
      </c>
      <c r="DT215" s="290">
        <v>-87</v>
      </c>
      <c r="DU215" s="282">
        <f>DT215</f>
        <v>-87</v>
      </c>
      <c r="DV215" s="290">
        <v>-56.6</v>
      </c>
      <c r="DW215" s="282">
        <f t="shared" si="745"/>
        <v>-53.3</v>
      </c>
      <c r="DX215" s="282">
        <f t="shared" si="745"/>
        <v>-53.3</v>
      </c>
      <c r="DY215" s="670">
        <v>-53.3</v>
      </c>
      <c r="DZ215" s="290">
        <v>-60.3</v>
      </c>
      <c r="EA215" s="290">
        <v>-76.099999999999994</v>
      </c>
      <c r="EB215" s="282">
        <f>EA215</f>
        <v>-76.099999999999994</v>
      </c>
      <c r="EC215" s="290">
        <v>-43.7</v>
      </c>
      <c r="ED215" s="282">
        <f>+EE215</f>
        <v>-68.3</v>
      </c>
      <c r="EE215" s="282">
        <f>+EF215</f>
        <v>-68.3</v>
      </c>
      <c r="EF215" s="670">
        <v>-68.3</v>
      </c>
      <c r="EG215" s="290">
        <v>-74.8</v>
      </c>
      <c r="EH215" s="290">
        <v>-49.6</v>
      </c>
      <c r="EI215" s="282">
        <f>EH215</f>
        <v>-49.6</v>
      </c>
      <c r="EJ215" s="290">
        <v>-69.599999999999994</v>
      </c>
      <c r="EK215" s="282">
        <f>+EL215</f>
        <v>-58.2</v>
      </c>
      <c r="EL215" s="282">
        <f>+EM215</f>
        <v>-58.2</v>
      </c>
      <c r="EM215" s="670">
        <v>-58.2</v>
      </c>
      <c r="EN215" s="290">
        <v>-33.9</v>
      </c>
      <c r="EO215" s="290">
        <v>-39.9</v>
      </c>
      <c r="EP215" s="282">
        <f>EO215</f>
        <v>-39.9</v>
      </c>
      <c r="EQ215" s="292">
        <v>-39.200000000000003</v>
      </c>
      <c r="ER215" s="282">
        <f t="shared" ref="ER215:FV215" si="763">EQ215</f>
        <v>-39.200000000000003</v>
      </c>
      <c r="ES215" s="282">
        <f t="shared" si="763"/>
        <v>-39.200000000000003</v>
      </c>
      <c r="ET215" s="590">
        <f t="shared" si="763"/>
        <v>-39.200000000000003</v>
      </c>
      <c r="EU215" s="282">
        <f t="shared" si="763"/>
        <v>-39.200000000000003</v>
      </c>
      <c r="EV215" s="282">
        <f t="shared" si="763"/>
        <v>-39.200000000000003</v>
      </c>
      <c r="EW215" s="282">
        <f t="shared" si="763"/>
        <v>-39.200000000000003</v>
      </c>
      <c r="EX215" s="282">
        <f t="shared" si="763"/>
        <v>-39.200000000000003</v>
      </c>
      <c r="EY215" s="282">
        <f t="shared" si="763"/>
        <v>-39.200000000000003</v>
      </c>
      <c r="EZ215" s="282">
        <f t="shared" si="763"/>
        <v>-39.200000000000003</v>
      </c>
      <c r="FA215" s="590">
        <f t="shared" si="763"/>
        <v>-39.200000000000003</v>
      </c>
      <c r="FB215" s="282">
        <f t="shared" si="763"/>
        <v>-39.200000000000003</v>
      </c>
      <c r="FC215" s="282">
        <f t="shared" si="763"/>
        <v>-39.200000000000003</v>
      </c>
      <c r="FD215" s="282">
        <f t="shared" si="763"/>
        <v>-39.200000000000003</v>
      </c>
      <c r="FE215" s="282">
        <f t="shared" si="763"/>
        <v>-39.200000000000003</v>
      </c>
      <c r="FF215" s="282">
        <f t="shared" si="763"/>
        <v>-39.200000000000003</v>
      </c>
      <c r="FG215" s="282">
        <f t="shared" si="763"/>
        <v>-39.200000000000003</v>
      </c>
      <c r="FH215" s="590">
        <f t="shared" si="763"/>
        <v>-39.200000000000003</v>
      </c>
      <c r="FI215" s="282">
        <f t="shared" si="763"/>
        <v>-39.200000000000003</v>
      </c>
      <c r="FJ215" s="282">
        <f t="shared" si="763"/>
        <v>-39.200000000000003</v>
      </c>
      <c r="FK215" s="282">
        <f t="shared" si="763"/>
        <v>-39.200000000000003</v>
      </c>
      <c r="FL215" s="282">
        <f t="shared" si="763"/>
        <v>-39.200000000000003</v>
      </c>
      <c r="FM215" s="282">
        <f t="shared" si="763"/>
        <v>-39.200000000000003</v>
      </c>
      <c r="FN215" s="282">
        <f t="shared" si="763"/>
        <v>-39.200000000000003</v>
      </c>
      <c r="FO215" s="590">
        <f t="shared" si="763"/>
        <v>-39.200000000000003</v>
      </c>
      <c r="FP215" s="282">
        <f t="shared" si="763"/>
        <v>-39.200000000000003</v>
      </c>
      <c r="FQ215" s="282">
        <f t="shared" si="763"/>
        <v>-39.200000000000003</v>
      </c>
      <c r="FR215" s="282">
        <f t="shared" si="763"/>
        <v>-39.200000000000003</v>
      </c>
      <c r="FS215" s="282">
        <f t="shared" si="763"/>
        <v>-39.200000000000003</v>
      </c>
      <c r="FT215" s="282">
        <f t="shared" si="763"/>
        <v>-39.200000000000003</v>
      </c>
      <c r="FU215" s="282">
        <f t="shared" si="763"/>
        <v>-39.200000000000003</v>
      </c>
      <c r="FV215" s="590">
        <f t="shared" si="763"/>
        <v>-39.200000000000003</v>
      </c>
      <c r="FW215" s="534"/>
    </row>
    <row r="216" spans="1:280" outlineLevel="1" x14ac:dyDescent="0.3">
      <c r="B216" s="485" t="s">
        <v>550</v>
      </c>
      <c r="C216" s="280" t="s">
        <v>226</v>
      </c>
      <c r="D216" s="500"/>
      <c r="E216" s="500">
        <f t="shared" si="758"/>
        <v>0</v>
      </c>
      <c r="F216" s="500"/>
      <c r="G216" s="500"/>
      <c r="H216" s="500">
        <f t="shared" si="728"/>
        <v>0</v>
      </c>
      <c r="I216" s="500">
        <f t="shared" si="728"/>
        <v>0</v>
      </c>
      <c r="J216" s="281"/>
      <c r="K216" s="281"/>
      <c r="L216" s="281">
        <f t="shared" si="759"/>
        <v>0</v>
      </c>
      <c r="M216" s="281"/>
      <c r="N216" s="281"/>
      <c r="O216" s="281">
        <f t="shared" si="729"/>
        <v>0</v>
      </c>
      <c r="P216" s="281">
        <f t="shared" si="729"/>
        <v>0</v>
      </c>
      <c r="Q216" s="281"/>
      <c r="R216" s="281"/>
      <c r="S216" s="281">
        <f t="shared" si="760"/>
        <v>-47.1</v>
      </c>
      <c r="T216" s="289">
        <v>-47.1</v>
      </c>
      <c r="U216" s="289">
        <v>-196.3</v>
      </c>
      <c r="V216" s="281">
        <f t="shared" si="730"/>
        <v>-4</v>
      </c>
      <c r="W216" s="281">
        <f t="shared" si="730"/>
        <v>-4</v>
      </c>
      <c r="X216" s="289">
        <v>-4</v>
      </c>
      <c r="Y216" s="289">
        <v>-4</v>
      </c>
      <c r="Z216" s="281">
        <f t="shared" si="761"/>
        <v>-4</v>
      </c>
      <c r="AA216" s="289">
        <v>-4</v>
      </c>
      <c r="AB216" s="289">
        <v>-4</v>
      </c>
      <c r="AC216" s="281">
        <f t="shared" si="731"/>
        <v>0</v>
      </c>
      <c r="AD216" s="281">
        <f t="shared" si="731"/>
        <v>0</v>
      </c>
      <c r="AE216" s="281"/>
      <c r="AF216" s="281"/>
      <c r="AG216" s="281">
        <f t="shared" si="762"/>
        <v>0</v>
      </c>
      <c r="AH216" s="281"/>
      <c r="AI216" s="281"/>
      <c r="AJ216" s="281">
        <f t="shared" si="732"/>
        <v>0</v>
      </c>
      <c r="AK216" s="281">
        <f t="shared" si="732"/>
        <v>0</v>
      </c>
      <c r="AL216" s="281"/>
      <c r="AM216" s="281"/>
      <c r="AN216" s="281"/>
      <c r="AO216" s="281"/>
      <c r="AP216" s="281"/>
      <c r="AQ216" s="281"/>
      <c r="AR216" s="281"/>
      <c r="AS216" s="281"/>
      <c r="AT216" s="281"/>
      <c r="AU216" s="281"/>
      <c r="AV216" s="281"/>
      <c r="AW216" s="281"/>
      <c r="AX216" s="281"/>
      <c r="AY216" s="281"/>
      <c r="AZ216" s="281"/>
      <c r="BA216" s="281"/>
      <c r="BB216" s="281"/>
      <c r="BC216" s="281"/>
      <c r="BD216" s="281"/>
      <c r="BE216" s="281"/>
      <c r="BF216" s="281"/>
      <c r="BG216" s="281"/>
      <c r="BH216" s="281"/>
      <c r="BI216" s="281"/>
      <c r="BJ216" s="281"/>
      <c r="BK216" s="281"/>
      <c r="BL216" s="281"/>
      <c r="BM216" s="281"/>
      <c r="BN216" s="281"/>
      <c r="BO216" s="281"/>
      <c r="BP216" s="281"/>
      <c r="BQ216" s="281"/>
      <c r="BR216" s="281"/>
      <c r="BS216" s="281"/>
      <c r="BT216" s="281"/>
      <c r="BU216" s="281"/>
      <c r="BV216" s="281"/>
      <c r="BW216" s="281"/>
      <c r="BX216" s="281"/>
      <c r="BY216" s="281"/>
      <c r="BZ216" s="281"/>
      <c r="CA216" s="281"/>
      <c r="CB216" s="281"/>
      <c r="CC216" s="281"/>
      <c r="CD216" s="281"/>
      <c r="CE216" s="281"/>
      <c r="CF216" s="281"/>
      <c r="CG216" s="281"/>
      <c r="CH216" s="281"/>
      <c r="CI216" s="281"/>
      <c r="CJ216" s="281"/>
      <c r="CK216" s="281"/>
      <c r="CL216" s="281"/>
      <c r="CM216" s="281"/>
      <c r="CN216" s="281"/>
      <c r="CO216" s="281"/>
      <c r="CP216" s="282"/>
      <c r="CQ216" s="282"/>
      <c r="CR216" s="282"/>
      <c r="CS216" s="282"/>
      <c r="CT216" s="282"/>
      <c r="CU216" s="282"/>
      <c r="CV216" s="282"/>
      <c r="CW216" s="282"/>
      <c r="CX216" s="282"/>
      <c r="CY216" s="282"/>
      <c r="CZ216" s="282"/>
      <c r="DA216" s="282"/>
      <c r="DB216" s="282"/>
      <c r="DC216" s="282"/>
      <c r="DD216" s="590"/>
      <c r="DE216" s="282"/>
      <c r="DF216" s="282"/>
      <c r="DG216" s="282"/>
      <c r="DH216" s="282"/>
      <c r="DI216" s="282"/>
      <c r="DJ216" s="282"/>
      <c r="DK216" s="590"/>
      <c r="DL216" s="284"/>
      <c r="DM216" s="282"/>
      <c r="DN216" s="282"/>
      <c r="DO216" s="282"/>
      <c r="DP216" s="282"/>
      <c r="DQ216" s="282"/>
      <c r="DR216" s="590"/>
      <c r="DS216" s="282"/>
      <c r="DT216" s="282"/>
      <c r="DU216" s="282"/>
      <c r="DV216" s="282"/>
      <c r="DW216" s="282"/>
      <c r="DX216" s="282"/>
      <c r="DY216" s="590"/>
      <c r="DZ216" s="282"/>
      <c r="EA216" s="282"/>
      <c r="EB216" s="282"/>
      <c r="EC216" s="282"/>
      <c r="ED216" s="282"/>
      <c r="EE216" s="282"/>
      <c r="EF216" s="590"/>
      <c r="EG216" s="282"/>
      <c r="EH216" s="282"/>
      <c r="EI216" s="282"/>
      <c r="EJ216" s="282"/>
      <c r="EK216" s="282"/>
      <c r="EL216" s="282"/>
      <c r="EM216" s="590"/>
      <c r="EN216" s="282"/>
      <c r="EO216" s="282"/>
      <c r="EP216" s="282"/>
      <c r="EQ216" s="284"/>
      <c r="ER216" s="282"/>
      <c r="ES216" s="282"/>
      <c r="ET216" s="590"/>
      <c r="EU216" s="282"/>
      <c r="EV216" s="282"/>
      <c r="EW216" s="282"/>
      <c r="EX216" s="282"/>
      <c r="EY216" s="282"/>
      <c r="EZ216" s="282"/>
      <c r="FA216" s="590"/>
      <c r="FB216" s="282"/>
      <c r="FC216" s="282"/>
      <c r="FD216" s="282"/>
      <c r="FE216" s="282"/>
      <c r="FF216" s="282"/>
      <c r="FG216" s="282"/>
      <c r="FH216" s="590"/>
      <c r="FI216" s="282"/>
      <c r="FJ216" s="282"/>
      <c r="FK216" s="282"/>
      <c r="FL216" s="282"/>
      <c r="FM216" s="282"/>
      <c r="FN216" s="282"/>
      <c r="FO216" s="590"/>
      <c r="FP216" s="282"/>
      <c r="FQ216" s="282"/>
      <c r="FR216" s="282"/>
      <c r="FS216" s="282"/>
      <c r="FT216" s="282"/>
      <c r="FU216" s="282"/>
      <c r="FV216" s="590"/>
      <c r="FW216" s="534"/>
    </row>
    <row r="217" spans="1:280" outlineLevel="1" x14ac:dyDescent="0.3">
      <c r="B217" s="485" t="s">
        <v>551</v>
      </c>
      <c r="C217" s="280" t="s">
        <v>226</v>
      </c>
      <c r="D217" s="500"/>
      <c r="E217" s="500">
        <f t="shared" si="758"/>
        <v>0</v>
      </c>
      <c r="F217" s="500"/>
      <c r="G217" s="500"/>
      <c r="H217" s="500">
        <f t="shared" si="728"/>
        <v>0</v>
      </c>
      <c r="I217" s="500">
        <f t="shared" si="728"/>
        <v>0</v>
      </c>
      <c r="J217" s="281"/>
      <c r="K217" s="281"/>
      <c r="L217" s="281">
        <f t="shared" si="759"/>
        <v>0</v>
      </c>
      <c r="M217" s="281"/>
      <c r="N217" s="281"/>
      <c r="O217" s="281">
        <f t="shared" si="729"/>
        <v>0</v>
      </c>
      <c r="P217" s="281">
        <f t="shared" si="729"/>
        <v>0</v>
      </c>
      <c r="Q217" s="281"/>
      <c r="R217" s="281"/>
      <c r="S217" s="281">
        <f t="shared" si="760"/>
        <v>0</v>
      </c>
      <c r="T217" s="281"/>
      <c r="U217" s="281"/>
      <c r="V217" s="281">
        <f t="shared" si="730"/>
        <v>0</v>
      </c>
      <c r="W217" s="281">
        <f t="shared" si="730"/>
        <v>0</v>
      </c>
      <c r="X217" s="281"/>
      <c r="Y217" s="281"/>
      <c r="Z217" s="281">
        <f t="shared" si="761"/>
        <v>0</v>
      </c>
      <c r="AA217" s="281"/>
      <c r="AB217" s="281"/>
      <c r="AC217" s="281">
        <f t="shared" si="731"/>
        <v>0</v>
      </c>
      <c r="AD217" s="281">
        <f t="shared" si="731"/>
        <v>0</v>
      </c>
      <c r="AE217" s="281"/>
      <c r="AF217" s="281"/>
      <c r="AG217" s="281">
        <f t="shared" si="762"/>
        <v>0</v>
      </c>
      <c r="AH217" s="281"/>
      <c r="AI217" s="281"/>
      <c r="AJ217" s="281">
        <f t="shared" si="732"/>
        <v>0</v>
      </c>
      <c r="AK217" s="281">
        <f t="shared" si="732"/>
        <v>0</v>
      </c>
      <c r="AL217" s="281"/>
      <c r="AM217" s="281"/>
      <c r="AN217" s="281"/>
      <c r="AO217" s="281"/>
      <c r="AP217" s="281"/>
      <c r="AQ217" s="281"/>
      <c r="AR217" s="281"/>
      <c r="AS217" s="281"/>
      <c r="AT217" s="281"/>
      <c r="AU217" s="281"/>
      <c r="AV217" s="281"/>
      <c r="AW217" s="281"/>
      <c r="AX217" s="281"/>
      <c r="AY217" s="281"/>
      <c r="AZ217" s="281"/>
      <c r="BA217" s="281"/>
      <c r="BB217" s="281"/>
      <c r="BC217" s="281"/>
      <c r="BD217" s="281"/>
      <c r="BE217" s="281"/>
      <c r="BF217" s="281"/>
      <c r="BG217" s="281"/>
      <c r="BH217" s="281"/>
      <c r="BI217" s="281"/>
      <c r="BJ217" s="281"/>
      <c r="BK217" s="281"/>
      <c r="BL217" s="281"/>
      <c r="BM217" s="281"/>
      <c r="BN217" s="281"/>
      <c r="BO217" s="281"/>
      <c r="BP217" s="281"/>
      <c r="BQ217" s="281"/>
      <c r="BR217" s="281"/>
      <c r="BS217" s="281"/>
      <c r="BT217" s="281"/>
      <c r="BU217" s="281"/>
      <c r="BV217" s="281"/>
      <c r="BW217" s="281"/>
      <c r="BX217" s="281"/>
      <c r="BY217" s="281"/>
      <c r="BZ217" s="281"/>
      <c r="CA217" s="281"/>
      <c r="CB217" s="281"/>
      <c r="CC217" s="281"/>
      <c r="CD217" s="281"/>
      <c r="CE217" s="281"/>
      <c r="CF217" s="281"/>
      <c r="CG217" s="281"/>
      <c r="CH217" s="281"/>
      <c r="CI217" s="281"/>
      <c r="CJ217" s="281"/>
      <c r="CK217" s="281"/>
      <c r="CL217" s="281"/>
      <c r="CM217" s="281"/>
      <c r="CN217" s="281"/>
      <c r="CO217" s="281"/>
      <c r="CP217" s="282"/>
      <c r="CQ217" s="282"/>
      <c r="CR217" s="282"/>
      <c r="CS217" s="282"/>
      <c r="CT217" s="282"/>
      <c r="CU217" s="282"/>
      <c r="CV217" s="282"/>
      <c r="CW217" s="282"/>
      <c r="CX217" s="282"/>
      <c r="CY217" s="282"/>
      <c r="CZ217" s="282"/>
      <c r="DA217" s="282"/>
      <c r="DB217" s="282"/>
      <c r="DC217" s="282"/>
      <c r="DD217" s="590"/>
      <c r="DE217" s="282"/>
      <c r="DF217" s="282"/>
      <c r="DG217" s="282"/>
      <c r="DH217" s="282"/>
      <c r="DI217" s="282"/>
      <c r="DJ217" s="282"/>
      <c r="DK217" s="590"/>
      <c r="DL217" s="284"/>
      <c r="DM217" s="282"/>
      <c r="DN217" s="282"/>
      <c r="DO217" s="282"/>
      <c r="DP217" s="282"/>
      <c r="DQ217" s="282"/>
      <c r="DR217" s="590"/>
      <c r="DS217" s="282"/>
      <c r="DT217" s="282"/>
      <c r="DU217" s="282"/>
      <c r="DV217" s="282"/>
      <c r="DW217" s="282"/>
      <c r="DX217" s="282"/>
      <c r="DY217" s="590"/>
      <c r="DZ217" s="282"/>
      <c r="EA217" s="282"/>
      <c r="EB217" s="282"/>
      <c r="EC217" s="282"/>
      <c r="ED217" s="282"/>
      <c r="EE217" s="282"/>
      <c r="EF217" s="590"/>
      <c r="EG217" s="282"/>
      <c r="EH217" s="282"/>
      <c r="EI217" s="282"/>
      <c r="EJ217" s="282"/>
      <c r="EK217" s="282"/>
      <c r="EL217" s="282"/>
      <c r="EM217" s="590"/>
      <c r="EN217" s="282"/>
      <c r="EO217" s="282"/>
      <c r="EP217" s="282"/>
      <c r="EQ217" s="284"/>
      <c r="ER217" s="282"/>
      <c r="ES217" s="282"/>
      <c r="ET217" s="590"/>
      <c r="EU217" s="282"/>
      <c r="EV217" s="282"/>
      <c r="EW217" s="282"/>
      <c r="EX217" s="282"/>
      <c r="EY217" s="282"/>
      <c r="EZ217" s="282"/>
      <c r="FA217" s="590"/>
      <c r="FB217" s="282"/>
      <c r="FC217" s="282"/>
      <c r="FD217" s="282"/>
      <c r="FE217" s="282"/>
      <c r="FF217" s="282"/>
      <c r="FG217" s="282"/>
      <c r="FH217" s="590"/>
      <c r="FI217" s="282"/>
      <c r="FJ217" s="282"/>
      <c r="FK217" s="282"/>
      <c r="FL217" s="282"/>
      <c r="FM217" s="282"/>
      <c r="FN217" s="282"/>
      <c r="FO217" s="590"/>
      <c r="FP217" s="282"/>
      <c r="FQ217" s="282"/>
      <c r="FR217" s="282"/>
      <c r="FS217" s="282"/>
      <c r="FT217" s="282"/>
      <c r="FU217" s="282"/>
      <c r="FV217" s="590"/>
      <c r="FW217" s="534"/>
    </row>
    <row r="218" spans="1:280" s="247" customFormat="1" outlineLevel="1" x14ac:dyDescent="0.3">
      <c r="A218" s="485"/>
      <c r="B218" s="486" t="s">
        <v>552</v>
      </c>
      <c r="C218" s="280" t="s">
        <v>226</v>
      </c>
      <c r="D218" s="491">
        <f t="shared" ref="D218:AL218" si="764">SUM(D211:D217)</f>
        <v>658.69999999999993</v>
      </c>
      <c r="E218" s="491">
        <f t="shared" si="764"/>
        <v>712.7</v>
      </c>
      <c r="F218" s="491">
        <f t="shared" si="764"/>
        <v>712.7</v>
      </c>
      <c r="G218" s="491">
        <f t="shared" si="764"/>
        <v>740</v>
      </c>
      <c r="H218" s="491">
        <f t="shared" si="764"/>
        <v>94.899999999999991</v>
      </c>
      <c r="I218" s="491">
        <f t="shared" si="764"/>
        <v>94.899999999999991</v>
      </c>
      <c r="J218" s="369">
        <f t="shared" si="764"/>
        <v>94.899999999999991</v>
      </c>
      <c r="K218" s="369">
        <f t="shared" si="764"/>
        <v>112.79999999999998</v>
      </c>
      <c r="L218" s="369">
        <f t="shared" si="764"/>
        <v>140.69999999999999</v>
      </c>
      <c r="M218" s="369">
        <f t="shared" si="764"/>
        <v>140.69999999999999</v>
      </c>
      <c r="N218" s="369">
        <f t="shared" si="764"/>
        <v>138.79999999999995</v>
      </c>
      <c r="O218" s="369">
        <f t="shared" si="764"/>
        <v>258.7</v>
      </c>
      <c r="P218" s="369">
        <f t="shared" si="764"/>
        <v>258.7</v>
      </c>
      <c r="Q218" s="369">
        <f t="shared" si="764"/>
        <v>258.7</v>
      </c>
      <c r="R218" s="369">
        <f t="shared" si="764"/>
        <v>147.69999999999999</v>
      </c>
      <c r="S218" s="369">
        <f t="shared" si="764"/>
        <v>112.39999999999998</v>
      </c>
      <c r="T218" s="369">
        <f t="shared" si="764"/>
        <v>112.39999999999998</v>
      </c>
      <c r="U218" s="369">
        <f t="shared" si="764"/>
        <v>-52.599999999999937</v>
      </c>
      <c r="V218" s="369">
        <f t="shared" si="764"/>
        <v>-202.6</v>
      </c>
      <c r="W218" s="369">
        <f t="shared" si="764"/>
        <v>-202.6</v>
      </c>
      <c r="X218" s="369">
        <f>SUM(X211:X216)</f>
        <v>-202.6</v>
      </c>
      <c r="Y218" s="369">
        <f>SUM(Y211:Y216)</f>
        <v>-237.6</v>
      </c>
      <c r="Z218" s="369">
        <f t="shared" si="764"/>
        <v>-116.4</v>
      </c>
      <c r="AA218" s="369">
        <f t="shared" si="764"/>
        <v>-116.4</v>
      </c>
      <c r="AB218" s="369">
        <f t="shared" si="764"/>
        <v>-37.500000000000014</v>
      </c>
      <c r="AC218" s="369">
        <f t="shared" si="764"/>
        <v>-108.70000000000003</v>
      </c>
      <c r="AD218" s="369">
        <f t="shared" si="764"/>
        <v>-108.70000000000003</v>
      </c>
      <c r="AE218" s="369">
        <f t="shared" si="764"/>
        <v>-108.70000000000003</v>
      </c>
      <c r="AF218" s="369">
        <f t="shared" si="764"/>
        <v>-151.20000000000002</v>
      </c>
      <c r="AG218" s="369">
        <f t="shared" si="764"/>
        <v>-153.00000000000003</v>
      </c>
      <c r="AH218" s="369">
        <f t="shared" si="764"/>
        <v>-153.00000000000003</v>
      </c>
      <c r="AI218" s="369">
        <f t="shared" si="764"/>
        <v>-131.1</v>
      </c>
      <c r="AJ218" s="369">
        <f t="shared" si="764"/>
        <v>-117.89999999999996</v>
      </c>
      <c r="AK218" s="369">
        <f t="shared" si="764"/>
        <v>-117.89999999999996</v>
      </c>
      <c r="AL218" s="369">
        <f t="shared" si="764"/>
        <v>-117.89999999999996</v>
      </c>
      <c r="AM218" s="369">
        <f t="shared" ref="AM218:CX218" si="765">SUM(AM211:AM217)</f>
        <v>-26.70000000000001</v>
      </c>
      <c r="AN218" s="369">
        <f t="shared" si="765"/>
        <v>-432</v>
      </c>
      <c r="AO218" s="369">
        <f t="shared" si="765"/>
        <v>-432</v>
      </c>
      <c r="AP218" s="369">
        <f t="shared" si="765"/>
        <v>-450.09999999999997</v>
      </c>
      <c r="AQ218" s="369">
        <f t="shared" si="765"/>
        <v>-454.50000000000006</v>
      </c>
      <c r="AR218" s="369">
        <f t="shared" si="765"/>
        <v>-454.50000000000006</v>
      </c>
      <c r="AS218" s="369">
        <f t="shared" si="765"/>
        <v>-454.50000000000006</v>
      </c>
      <c r="AT218" s="369">
        <f t="shared" si="765"/>
        <v>-450.70000000000005</v>
      </c>
      <c r="AU218" s="369">
        <f t="shared" si="765"/>
        <v>-335.29999999999995</v>
      </c>
      <c r="AV218" s="369">
        <f t="shared" si="765"/>
        <v>-335.29999999999995</v>
      </c>
      <c r="AW218" s="369">
        <f t="shared" si="765"/>
        <v>-360.29999999999995</v>
      </c>
      <c r="AX218" s="369">
        <f t="shared" si="765"/>
        <v>126.40000000000003</v>
      </c>
      <c r="AY218" s="369">
        <f t="shared" si="765"/>
        <v>126.40000000000003</v>
      </c>
      <c r="AZ218" s="369">
        <f t="shared" si="765"/>
        <v>126.40000000000003</v>
      </c>
      <c r="BA218" s="369">
        <f t="shared" si="765"/>
        <v>27.000000000000014</v>
      </c>
      <c r="BB218" s="369">
        <f t="shared" si="765"/>
        <v>61.79999999999999</v>
      </c>
      <c r="BC218" s="369">
        <f t="shared" si="765"/>
        <v>61.79999999999999</v>
      </c>
      <c r="BD218" s="369">
        <f t="shared" si="765"/>
        <v>79.199999999999974</v>
      </c>
      <c r="BE218" s="369">
        <f t="shared" si="765"/>
        <v>18.199999999999953</v>
      </c>
      <c r="BF218" s="369">
        <f t="shared" si="765"/>
        <v>18.199999999999953</v>
      </c>
      <c r="BG218" s="369">
        <f t="shared" si="765"/>
        <v>18.199999999999953</v>
      </c>
      <c r="BH218" s="369">
        <f t="shared" si="765"/>
        <v>-13.000000000000021</v>
      </c>
      <c r="BI218" s="369">
        <f t="shared" si="765"/>
        <v>44.900000000000034</v>
      </c>
      <c r="BJ218" s="369">
        <f t="shared" si="765"/>
        <v>44.900000000000034</v>
      </c>
      <c r="BK218" s="369">
        <f t="shared" si="765"/>
        <v>105.69999999999999</v>
      </c>
      <c r="BL218" s="369">
        <f t="shared" si="765"/>
        <v>-199.00000000000003</v>
      </c>
      <c r="BM218" s="369">
        <f t="shared" si="765"/>
        <v>-199.00000000000003</v>
      </c>
      <c r="BN218" s="369">
        <f t="shared" si="765"/>
        <v>-199.00000000000003</v>
      </c>
      <c r="BO218" s="369">
        <f t="shared" si="765"/>
        <v>-400.9</v>
      </c>
      <c r="BP218" s="369">
        <f t="shared" si="765"/>
        <v>-287.10000000000002</v>
      </c>
      <c r="BQ218" s="369">
        <f t="shared" si="765"/>
        <v>-287.10000000000002</v>
      </c>
      <c r="BR218" s="369">
        <f t="shared" si="765"/>
        <v>-224.39999999999998</v>
      </c>
      <c r="BS218" s="369">
        <f t="shared" si="765"/>
        <v>-202.60000000000005</v>
      </c>
      <c r="BT218" s="369">
        <f>SUM(BT211:BT217)</f>
        <v>-202.60000000000005</v>
      </c>
      <c r="BU218" s="369">
        <f>SUM(BU211:BU217)</f>
        <v>-202.60000000000005</v>
      </c>
      <c r="BV218" s="369">
        <f t="shared" si="765"/>
        <v>-356.3</v>
      </c>
      <c r="BW218" s="369">
        <f t="shared" si="765"/>
        <v>-263.99999999999994</v>
      </c>
      <c r="BX218" s="369">
        <f t="shared" si="765"/>
        <v>-263.99999999999994</v>
      </c>
      <c r="BY218" s="369">
        <f t="shared" si="765"/>
        <v>-267.29999999999995</v>
      </c>
      <c r="BZ218" s="369">
        <f t="shared" si="765"/>
        <v>-225.19999999999993</v>
      </c>
      <c r="CA218" s="369">
        <f>SUM(CA211:CA217)</f>
        <v>-225.19999999999993</v>
      </c>
      <c r="CB218" s="369">
        <f t="shared" si="765"/>
        <v>-225.19999999999993</v>
      </c>
      <c r="CC218" s="369">
        <f>SUM(CC211:CC217)</f>
        <v>-270</v>
      </c>
      <c r="CD218" s="369">
        <f t="shared" si="765"/>
        <v>-304.20000000000005</v>
      </c>
      <c r="CE218" s="369">
        <f>SUM(CE211:CE217)</f>
        <v>-304.20000000000005</v>
      </c>
      <c r="CF218" s="369">
        <f t="shared" si="765"/>
        <v>-269.7</v>
      </c>
      <c r="CG218" s="369">
        <f t="shared" si="765"/>
        <v>-212.2</v>
      </c>
      <c r="CH218" s="369">
        <f t="shared" si="765"/>
        <v>-212.2</v>
      </c>
      <c r="CI218" s="369">
        <f>SUM(CI211:CI217)</f>
        <v>-212.2</v>
      </c>
      <c r="CJ218" s="369">
        <f t="shared" si="765"/>
        <v>-272.39999999999998</v>
      </c>
      <c r="CK218" s="369">
        <f t="shared" si="765"/>
        <v>-200.59999999999997</v>
      </c>
      <c r="CL218" s="369">
        <f t="shared" si="765"/>
        <v>-200.59999999999997</v>
      </c>
      <c r="CM218" s="369">
        <f t="shared" si="765"/>
        <v>-161.00000000000006</v>
      </c>
      <c r="CN218" s="369">
        <f>SUM(CN211:CN217)</f>
        <v>-221.49999999999994</v>
      </c>
      <c r="CO218" s="369">
        <f>SUM(CO211:CO217)</f>
        <v>-221.49999999999994</v>
      </c>
      <c r="CP218" s="487">
        <f>SUM(CP211:CP217)</f>
        <v>-221.49999999999994</v>
      </c>
      <c r="CQ218" s="487">
        <f t="shared" si="765"/>
        <v>882.6</v>
      </c>
      <c r="CR218" s="487">
        <f t="shared" si="765"/>
        <v>948.90000000000009</v>
      </c>
      <c r="CS218" s="487">
        <f>SUM(CS211:CS217)</f>
        <v>948.90000000000009</v>
      </c>
      <c r="CT218" s="487">
        <f>SUM(CT211:CT217)</f>
        <v>969.69999999999993</v>
      </c>
      <c r="CU218" s="487">
        <f>SUM(CU211:CU217)</f>
        <v>974.40000000000009</v>
      </c>
      <c r="CV218" s="487">
        <f>SUM(CV211:CV217)</f>
        <v>974.40000000000009</v>
      </c>
      <c r="CW218" s="487">
        <f>SUM(CW211:CW217)</f>
        <v>974.40000000000009</v>
      </c>
      <c r="CX218" s="487">
        <f t="shared" si="765"/>
        <v>948.1</v>
      </c>
      <c r="CY218" s="487">
        <f t="shared" ref="CY218:DJ218" si="766">SUM(CY211:CY217)</f>
        <v>1039.3</v>
      </c>
      <c r="CZ218" s="487">
        <f t="shared" si="766"/>
        <v>1039.3</v>
      </c>
      <c r="DA218" s="487">
        <f t="shared" si="766"/>
        <v>1059.9000000000001</v>
      </c>
      <c r="DB218" s="487">
        <f t="shared" si="766"/>
        <v>1035.3000000000002</v>
      </c>
      <c r="DC218" s="487">
        <f>SUM(DC211:DC217)</f>
        <v>1035.3000000000002</v>
      </c>
      <c r="DD218" s="613">
        <f>SUM(DD211:DD217)</f>
        <v>1035.3000000000002</v>
      </c>
      <c r="DE218" s="487">
        <f t="shared" si="766"/>
        <v>1074.1999999999998</v>
      </c>
      <c r="DF218" s="487">
        <f t="shared" si="766"/>
        <v>1180.3000000000002</v>
      </c>
      <c r="DG218" s="487">
        <f>SUM(DG211:DG217)</f>
        <v>1180.3000000000002</v>
      </c>
      <c r="DH218" s="487">
        <f t="shared" si="766"/>
        <v>1277.8</v>
      </c>
      <c r="DI218" s="487">
        <f t="shared" si="766"/>
        <v>1060.8000000000002</v>
      </c>
      <c r="DJ218" s="487">
        <f t="shared" si="766"/>
        <v>1060.8000000000002</v>
      </c>
      <c r="DK218" s="613">
        <f>SUM(DK211:DK217)</f>
        <v>1060.8000000000002</v>
      </c>
      <c r="DL218" s="492">
        <f t="shared" ref="DL218:DT218" si="767">SUM(DL211:DL217)</f>
        <v>1186.6999999999998</v>
      </c>
      <c r="DM218" s="487">
        <f t="shared" si="767"/>
        <v>1321.7</v>
      </c>
      <c r="DN218" s="487">
        <f>SUM(DN211:DN217)</f>
        <v>1321.7</v>
      </c>
      <c r="DO218" s="487">
        <f t="shared" si="767"/>
        <v>1280.3</v>
      </c>
      <c r="DP218" s="487">
        <f t="shared" si="767"/>
        <v>1332.9</v>
      </c>
      <c r="DQ218" s="487">
        <f t="shared" si="767"/>
        <v>1332.9</v>
      </c>
      <c r="DR218" s="613">
        <f t="shared" si="767"/>
        <v>1332.9</v>
      </c>
      <c r="DS218" s="487">
        <f t="shared" si="767"/>
        <v>1328.3</v>
      </c>
      <c r="DT218" s="487">
        <f t="shared" si="767"/>
        <v>1466.3</v>
      </c>
      <c r="DU218" s="487">
        <f>SUM(DU211:DU217)</f>
        <v>1466.3</v>
      </c>
      <c r="DV218" s="306">
        <f t="shared" ref="DV218:EA218" si="768">SUM(DV211:DV217)</f>
        <v>1567.7</v>
      </c>
      <c r="DW218" s="487">
        <f t="shared" si="768"/>
        <v>1611.3999999999999</v>
      </c>
      <c r="DX218" s="487">
        <f t="shared" si="768"/>
        <v>1611.3999999999999</v>
      </c>
      <c r="DY218" s="613">
        <f t="shared" si="768"/>
        <v>1611.3999999999999</v>
      </c>
      <c r="DZ218" s="487">
        <f t="shared" si="768"/>
        <v>1719.4</v>
      </c>
      <c r="EA218" s="487">
        <f t="shared" si="768"/>
        <v>1788</v>
      </c>
      <c r="EB218" s="487">
        <f>SUM(EB211:EB217)</f>
        <v>1788</v>
      </c>
      <c r="EC218" s="487">
        <f t="shared" ref="EC218:EH218" si="769">SUM(EC211:EC217)</f>
        <v>1895.2</v>
      </c>
      <c r="ED218" s="487">
        <f t="shared" si="769"/>
        <v>1858.9</v>
      </c>
      <c r="EE218" s="487">
        <f t="shared" si="769"/>
        <v>1858.9</v>
      </c>
      <c r="EF218" s="613">
        <f t="shared" si="769"/>
        <v>1858.9</v>
      </c>
      <c r="EG218" s="487">
        <f t="shared" si="769"/>
        <v>1937</v>
      </c>
      <c r="EH218" s="488">
        <f t="shared" si="769"/>
        <v>1976.8000000000002</v>
      </c>
      <c r="EI218" s="487">
        <f>SUM(EI211:EI217)</f>
        <v>1976.8000000000002</v>
      </c>
      <c r="EJ218" s="487">
        <f>SUM(EJ211:EJ217)</f>
        <v>2100.2999999999997</v>
      </c>
      <c r="EK218" s="487">
        <f>SUM(EK211:EK217)</f>
        <v>2161.5</v>
      </c>
      <c r="EL218" s="487">
        <f>SUM(EL211:EL217)</f>
        <v>2161.5</v>
      </c>
      <c r="EM218" s="613">
        <f>SUM(EM211:EM217)</f>
        <v>2161.5</v>
      </c>
      <c r="EN218" s="487">
        <f t="shared" ref="EN218:EO218" si="770">SUM(EN211:EN217)</f>
        <v>2256.2999999999997</v>
      </c>
      <c r="EO218" s="488">
        <f t="shared" si="770"/>
        <v>6322.1</v>
      </c>
      <c r="EP218" s="487">
        <f>SUM(EP211:EP217)</f>
        <v>6322.1</v>
      </c>
      <c r="EQ218" s="492">
        <f t="shared" ref="EQ218" si="771">SUM(EQ211:EQ217)</f>
        <v>6396.7</v>
      </c>
      <c r="ER218" s="487">
        <f t="shared" ref="ER218:FV218" si="772">SUM(ER211:ER217)</f>
        <v>6558.6098129539932</v>
      </c>
      <c r="ES218" s="487">
        <f t="shared" si="772"/>
        <v>6558.6098129539932</v>
      </c>
      <c r="ET218" s="613">
        <f t="shared" si="772"/>
        <v>6558.6098129539932</v>
      </c>
      <c r="EU218" s="487">
        <f t="shared" si="772"/>
        <v>6739.0061444133044</v>
      </c>
      <c r="EV218" s="487">
        <f t="shared" si="772"/>
        <v>6917.7568346793396</v>
      </c>
      <c r="EW218" s="487">
        <f t="shared" si="772"/>
        <v>6917.7568346793396</v>
      </c>
      <c r="EX218" s="487">
        <f t="shared" si="772"/>
        <v>7106.934982429766</v>
      </c>
      <c r="EY218" s="487">
        <f t="shared" si="772"/>
        <v>7328.6253845013316</v>
      </c>
      <c r="EZ218" s="487">
        <f t="shared" si="772"/>
        <v>7328.6253845013316</v>
      </c>
      <c r="FA218" s="613">
        <f t="shared" si="772"/>
        <v>7328.6253845013316</v>
      </c>
      <c r="FB218" s="487">
        <f t="shared" si="772"/>
        <v>7549.1890743062304</v>
      </c>
      <c r="FC218" s="487">
        <f t="shared" si="772"/>
        <v>7774.0436406873077</v>
      </c>
      <c r="FD218" s="487">
        <f t="shared" si="772"/>
        <v>7774.0436406873077</v>
      </c>
      <c r="FE218" s="487">
        <f t="shared" si="772"/>
        <v>8017.6477776709871</v>
      </c>
      <c r="FF218" s="487">
        <f t="shared" si="772"/>
        <v>8286.0438614869418</v>
      </c>
      <c r="FG218" s="487">
        <f t="shared" si="772"/>
        <v>8286.0438614869418</v>
      </c>
      <c r="FH218" s="613">
        <f t="shared" si="772"/>
        <v>8286.0438614869418</v>
      </c>
      <c r="FI218" s="487">
        <f t="shared" si="772"/>
        <v>8550.0754031846263</v>
      </c>
      <c r="FJ218" s="487">
        <f t="shared" si="772"/>
        <v>8812.3133343586796</v>
      </c>
      <c r="FK218" s="487">
        <f t="shared" si="772"/>
        <v>8812.3133343586796</v>
      </c>
      <c r="FL218" s="487">
        <f t="shared" si="772"/>
        <v>9093.4429636227578</v>
      </c>
      <c r="FM218" s="487">
        <f t="shared" si="772"/>
        <v>9398.3090052598855</v>
      </c>
      <c r="FN218" s="487">
        <f t="shared" si="772"/>
        <v>9398.3090052598855</v>
      </c>
      <c r="FO218" s="613">
        <f t="shared" si="772"/>
        <v>9398.3090052598855</v>
      </c>
      <c r="FP218" s="487">
        <f t="shared" si="772"/>
        <v>9702.4341897458798</v>
      </c>
      <c r="FQ218" s="487">
        <f t="shared" si="772"/>
        <v>10011.262649608332</v>
      </c>
      <c r="FR218" s="487">
        <f t="shared" si="772"/>
        <v>10011.262649608332</v>
      </c>
      <c r="FS218" s="487">
        <f t="shared" si="772"/>
        <v>10339.297848149707</v>
      </c>
      <c r="FT218" s="487">
        <f t="shared" si="772"/>
        <v>10690.580822583615</v>
      </c>
      <c r="FU218" s="487">
        <f t="shared" si="772"/>
        <v>10690.580822583615</v>
      </c>
      <c r="FV218" s="613">
        <f t="shared" si="772"/>
        <v>10690.580822583615</v>
      </c>
      <c r="FW218" s="645"/>
      <c r="FX218" s="639"/>
      <c r="FY218" s="639"/>
      <c r="FZ218" s="639"/>
      <c r="GA218" s="639"/>
      <c r="GB218"/>
      <c r="GC218"/>
      <c r="GD218"/>
      <c r="GE218"/>
      <c r="GF218"/>
      <c r="GG218"/>
      <c r="GH218" s="532"/>
      <c r="GI218" s="532"/>
      <c r="GJ218" s="532"/>
      <c r="GK218" s="532"/>
      <c r="GL218" s="532"/>
      <c r="GM218" s="532"/>
      <c r="GN218" s="532"/>
      <c r="GO218" s="532"/>
      <c r="GP218" s="532"/>
      <c r="GQ218" s="532"/>
      <c r="GR218" s="532"/>
      <c r="GS218" s="532"/>
      <c r="GT218" s="532"/>
      <c r="GU218" s="532"/>
      <c r="GV218" s="532"/>
      <c r="GW218" s="532"/>
      <c r="GX218" s="532"/>
      <c r="GY218" s="532"/>
      <c r="GZ218" s="532"/>
      <c r="HA218" s="532"/>
      <c r="HB218" s="532"/>
      <c r="HC218" s="532"/>
      <c r="HD218" s="532"/>
      <c r="HE218" s="532"/>
      <c r="HF218" s="532"/>
      <c r="HG218" s="532"/>
      <c r="HH218" s="532"/>
      <c r="HI218" s="532"/>
      <c r="HJ218" s="532"/>
      <c r="HK218" s="532"/>
      <c r="HL218" s="532"/>
      <c r="HM218" s="532"/>
      <c r="HN218" s="532"/>
      <c r="HO218" s="532"/>
      <c r="HP218" s="532"/>
      <c r="HQ218" s="532"/>
      <c r="HR218" s="532"/>
      <c r="HS218" s="532"/>
      <c r="HT218" s="532"/>
      <c r="HU218" s="532"/>
      <c r="HV218" s="532"/>
      <c r="HW218" s="532"/>
      <c r="HX218" s="532"/>
      <c r="HY218" s="532"/>
      <c r="HZ218" s="532"/>
      <c r="IA218" s="532"/>
      <c r="IB218" s="532"/>
      <c r="IC218" s="532"/>
      <c r="ID218" s="532"/>
      <c r="IE218" s="532"/>
      <c r="IF218" s="532"/>
      <c r="IG218" s="532"/>
      <c r="IH218" s="532"/>
      <c r="II218" s="532"/>
      <c r="IJ218" s="532"/>
      <c r="IK218" s="532"/>
      <c r="IL218" s="532"/>
      <c r="IM218" s="532"/>
      <c r="IN218" s="532"/>
      <c r="IO218" s="532"/>
      <c r="IP218" s="532"/>
      <c r="IQ218" s="532"/>
      <c r="IR218" s="532"/>
      <c r="IS218" s="532"/>
      <c r="IT218" s="532"/>
      <c r="IU218" s="532"/>
      <c r="IV218" s="532"/>
      <c r="IW218" s="532"/>
      <c r="IX218" s="532"/>
      <c r="IY218" s="532"/>
      <c r="IZ218" s="532"/>
      <c r="JA218" s="532"/>
      <c r="JB218" s="532"/>
      <c r="JC218" s="532"/>
      <c r="JD218" s="532"/>
      <c r="JE218" s="532"/>
      <c r="JF218" s="532"/>
      <c r="JG218" s="532"/>
      <c r="JH218" s="532"/>
      <c r="JI218" s="532"/>
      <c r="JJ218" s="532"/>
      <c r="JK218" s="532"/>
      <c r="JL218" s="532"/>
      <c r="JM218" s="532"/>
      <c r="JN218" s="532"/>
      <c r="JO218" s="532"/>
      <c r="JP218" s="532"/>
      <c r="JQ218" s="532"/>
      <c r="JR218" s="532"/>
      <c r="JS218" s="532"/>
      <c r="JT218" s="532"/>
    </row>
    <row r="219" spans="1:280" s="559" customFormat="1" outlineLevel="1" x14ac:dyDescent="0.3">
      <c r="B219" s="560" t="s">
        <v>553</v>
      </c>
      <c r="C219" s="561"/>
      <c r="D219" s="562">
        <f t="shared" ref="D219:BO219" si="773">ROUND(D209-D218,2)</f>
        <v>0</v>
      </c>
      <c r="E219" s="562">
        <f t="shared" si="773"/>
        <v>0</v>
      </c>
      <c r="F219" s="562">
        <f t="shared" si="773"/>
        <v>0</v>
      </c>
      <c r="G219" s="562">
        <f t="shared" si="773"/>
        <v>0</v>
      </c>
      <c r="H219" s="562">
        <f t="shared" si="773"/>
        <v>0</v>
      </c>
      <c r="I219" s="562">
        <f t="shared" si="773"/>
        <v>0</v>
      </c>
      <c r="J219" s="562">
        <f t="shared" si="773"/>
        <v>0</v>
      </c>
      <c r="K219" s="562">
        <f t="shared" si="773"/>
        <v>0</v>
      </c>
      <c r="L219" s="562">
        <f t="shared" si="773"/>
        <v>0</v>
      </c>
      <c r="M219" s="562">
        <f t="shared" si="773"/>
        <v>0</v>
      </c>
      <c r="N219" s="562">
        <f t="shared" si="773"/>
        <v>0</v>
      </c>
      <c r="O219" s="562">
        <f t="shared" si="773"/>
        <v>0</v>
      </c>
      <c r="P219" s="562">
        <f t="shared" si="773"/>
        <v>0</v>
      </c>
      <c r="Q219" s="562">
        <f t="shared" si="773"/>
        <v>0</v>
      </c>
      <c r="R219" s="562">
        <f t="shared" si="773"/>
        <v>0</v>
      </c>
      <c r="S219" s="562">
        <f t="shared" si="773"/>
        <v>0</v>
      </c>
      <c r="T219" s="562">
        <f t="shared" si="773"/>
        <v>0</v>
      </c>
      <c r="U219" s="562">
        <f t="shared" si="773"/>
        <v>0</v>
      </c>
      <c r="V219" s="562">
        <f t="shared" si="773"/>
        <v>0</v>
      </c>
      <c r="W219" s="562">
        <f t="shared" si="773"/>
        <v>0</v>
      </c>
      <c r="X219" s="562">
        <f t="shared" si="773"/>
        <v>0</v>
      </c>
      <c r="Y219" s="562">
        <f t="shared" si="773"/>
        <v>0</v>
      </c>
      <c r="Z219" s="562">
        <f t="shared" si="773"/>
        <v>0</v>
      </c>
      <c r="AA219" s="562">
        <f t="shared" si="773"/>
        <v>0</v>
      </c>
      <c r="AB219" s="562">
        <f t="shared" si="773"/>
        <v>0</v>
      </c>
      <c r="AC219" s="562">
        <f t="shared" si="773"/>
        <v>0</v>
      </c>
      <c r="AD219" s="562">
        <f t="shared" si="773"/>
        <v>0</v>
      </c>
      <c r="AE219" s="562">
        <f t="shared" si="773"/>
        <v>0</v>
      </c>
      <c r="AF219" s="562">
        <f t="shared" si="773"/>
        <v>0</v>
      </c>
      <c r="AG219" s="562">
        <f t="shared" si="773"/>
        <v>0</v>
      </c>
      <c r="AH219" s="562">
        <f t="shared" si="773"/>
        <v>0</v>
      </c>
      <c r="AI219" s="562">
        <f t="shared" si="773"/>
        <v>0</v>
      </c>
      <c r="AJ219" s="562">
        <f t="shared" si="773"/>
        <v>0</v>
      </c>
      <c r="AK219" s="562">
        <f t="shared" si="773"/>
        <v>0</v>
      </c>
      <c r="AL219" s="562">
        <f t="shared" si="773"/>
        <v>0</v>
      </c>
      <c r="AM219" s="562">
        <f t="shared" si="773"/>
        <v>0</v>
      </c>
      <c r="AN219" s="562">
        <f t="shared" si="773"/>
        <v>0</v>
      </c>
      <c r="AO219" s="562">
        <f t="shared" si="773"/>
        <v>0</v>
      </c>
      <c r="AP219" s="562">
        <f t="shared" si="773"/>
        <v>0</v>
      </c>
      <c r="AQ219" s="562">
        <f t="shared" si="773"/>
        <v>0</v>
      </c>
      <c r="AR219" s="562">
        <f t="shared" si="773"/>
        <v>0</v>
      </c>
      <c r="AS219" s="562">
        <f t="shared" si="773"/>
        <v>0</v>
      </c>
      <c r="AT219" s="562">
        <f t="shared" si="773"/>
        <v>0</v>
      </c>
      <c r="AU219" s="562">
        <f t="shared" si="773"/>
        <v>0</v>
      </c>
      <c r="AV219" s="562">
        <f t="shared" si="773"/>
        <v>0</v>
      </c>
      <c r="AW219" s="562">
        <f t="shared" si="773"/>
        <v>0</v>
      </c>
      <c r="AX219" s="562">
        <f t="shared" si="773"/>
        <v>0</v>
      </c>
      <c r="AY219" s="562">
        <f t="shared" si="773"/>
        <v>0</v>
      </c>
      <c r="AZ219" s="562">
        <f t="shared" si="773"/>
        <v>0</v>
      </c>
      <c r="BA219" s="562">
        <f t="shared" si="773"/>
        <v>0</v>
      </c>
      <c r="BB219" s="562">
        <f t="shared" si="773"/>
        <v>0</v>
      </c>
      <c r="BC219" s="562">
        <f t="shared" si="773"/>
        <v>0</v>
      </c>
      <c r="BD219" s="562">
        <f t="shared" si="773"/>
        <v>0</v>
      </c>
      <c r="BE219" s="562">
        <f t="shared" si="773"/>
        <v>0</v>
      </c>
      <c r="BF219" s="562">
        <f t="shared" si="773"/>
        <v>0</v>
      </c>
      <c r="BG219" s="562">
        <f t="shared" si="773"/>
        <v>0</v>
      </c>
      <c r="BH219" s="562">
        <f t="shared" si="773"/>
        <v>0</v>
      </c>
      <c r="BI219" s="562">
        <f t="shared" si="773"/>
        <v>0</v>
      </c>
      <c r="BJ219" s="562">
        <f t="shared" si="773"/>
        <v>0</v>
      </c>
      <c r="BK219" s="562">
        <f t="shared" si="773"/>
        <v>0</v>
      </c>
      <c r="BL219" s="562">
        <f t="shared" si="773"/>
        <v>0</v>
      </c>
      <c r="BM219" s="562">
        <f t="shared" si="773"/>
        <v>0</v>
      </c>
      <c r="BN219" s="562">
        <f t="shared" si="773"/>
        <v>0</v>
      </c>
      <c r="BO219" s="562">
        <f t="shared" si="773"/>
        <v>0</v>
      </c>
      <c r="BP219" s="562">
        <f t="shared" ref="BP219:DT219" si="774">ROUND(BP209-BP218,2)</f>
        <v>0</v>
      </c>
      <c r="BQ219" s="562">
        <f t="shared" si="774"/>
        <v>0</v>
      </c>
      <c r="BR219" s="562">
        <f t="shared" si="774"/>
        <v>0</v>
      </c>
      <c r="BS219" s="562">
        <f t="shared" si="774"/>
        <v>0</v>
      </c>
      <c r="BT219" s="562">
        <f t="shared" si="774"/>
        <v>0</v>
      </c>
      <c r="BU219" s="562">
        <f t="shared" si="774"/>
        <v>0</v>
      </c>
      <c r="BV219" s="562">
        <f t="shared" si="774"/>
        <v>0</v>
      </c>
      <c r="BW219" s="562">
        <f t="shared" si="774"/>
        <v>0</v>
      </c>
      <c r="BX219" s="562">
        <f t="shared" si="774"/>
        <v>0</v>
      </c>
      <c r="BY219" s="562">
        <f t="shared" si="774"/>
        <v>0</v>
      </c>
      <c r="BZ219" s="562">
        <f t="shared" si="774"/>
        <v>0</v>
      </c>
      <c r="CA219" s="562">
        <f t="shared" si="774"/>
        <v>0</v>
      </c>
      <c r="CB219" s="562">
        <f t="shared" si="774"/>
        <v>0</v>
      </c>
      <c r="CC219" s="562">
        <f t="shared" si="774"/>
        <v>0</v>
      </c>
      <c r="CD219" s="562">
        <f t="shared" si="774"/>
        <v>0</v>
      </c>
      <c r="CE219" s="562">
        <f t="shared" si="774"/>
        <v>0</v>
      </c>
      <c r="CF219" s="562">
        <f t="shared" si="774"/>
        <v>0</v>
      </c>
      <c r="CG219" s="562">
        <f t="shared" si="774"/>
        <v>0</v>
      </c>
      <c r="CH219" s="562">
        <f t="shared" si="774"/>
        <v>0</v>
      </c>
      <c r="CI219" s="562">
        <f t="shared" si="774"/>
        <v>0</v>
      </c>
      <c r="CJ219" s="562">
        <f t="shared" si="774"/>
        <v>0</v>
      </c>
      <c r="CK219" s="562">
        <f t="shared" si="774"/>
        <v>0</v>
      </c>
      <c r="CL219" s="562">
        <f t="shared" si="774"/>
        <v>0</v>
      </c>
      <c r="CM219" s="562">
        <f t="shared" si="774"/>
        <v>0</v>
      </c>
      <c r="CN219" s="562">
        <f t="shared" si="774"/>
        <v>0</v>
      </c>
      <c r="CO219" s="562">
        <f t="shared" si="774"/>
        <v>0</v>
      </c>
      <c r="CP219" s="562">
        <f t="shared" si="774"/>
        <v>0</v>
      </c>
      <c r="CQ219" s="562">
        <f t="shared" si="774"/>
        <v>0</v>
      </c>
      <c r="CR219" s="562">
        <f t="shared" si="774"/>
        <v>0</v>
      </c>
      <c r="CS219" s="562">
        <f t="shared" si="774"/>
        <v>0</v>
      </c>
      <c r="CT219" s="562">
        <f t="shared" si="774"/>
        <v>0</v>
      </c>
      <c r="CU219" s="562">
        <f t="shared" si="774"/>
        <v>0</v>
      </c>
      <c r="CV219" s="562">
        <f t="shared" si="774"/>
        <v>0</v>
      </c>
      <c r="CW219" s="562">
        <f t="shared" si="774"/>
        <v>0</v>
      </c>
      <c r="CX219" s="562">
        <f t="shared" si="774"/>
        <v>0</v>
      </c>
      <c r="CY219" s="562">
        <f t="shared" si="774"/>
        <v>0</v>
      </c>
      <c r="CZ219" s="562">
        <f t="shared" si="774"/>
        <v>0</v>
      </c>
      <c r="DA219" s="562">
        <f t="shared" si="774"/>
        <v>0</v>
      </c>
      <c r="DB219" s="562">
        <f t="shared" si="774"/>
        <v>0</v>
      </c>
      <c r="DC219" s="562">
        <f>ROUND(DC209-DC218,2)</f>
        <v>0</v>
      </c>
      <c r="DD219" s="616">
        <f>ROUND(DD209-DD218,2)</f>
        <v>0</v>
      </c>
      <c r="DE219" s="562">
        <f t="shared" si="774"/>
        <v>0</v>
      </c>
      <c r="DF219" s="562">
        <f t="shared" si="774"/>
        <v>0</v>
      </c>
      <c r="DG219" s="562">
        <f t="shared" si="774"/>
        <v>0</v>
      </c>
      <c r="DH219" s="562">
        <f>ROUND(DH209-DH218,2)</f>
        <v>0</v>
      </c>
      <c r="DI219" s="562">
        <f t="shared" si="774"/>
        <v>0</v>
      </c>
      <c r="DJ219" s="562">
        <f t="shared" si="774"/>
        <v>0</v>
      </c>
      <c r="DK219" s="616">
        <f t="shared" si="774"/>
        <v>0</v>
      </c>
      <c r="DL219" s="563">
        <f t="shared" si="774"/>
        <v>0</v>
      </c>
      <c r="DM219" s="562">
        <f t="shared" si="774"/>
        <v>0</v>
      </c>
      <c r="DN219" s="562">
        <f>ROUND(DN209-DN218,2)</f>
        <v>0</v>
      </c>
      <c r="DO219" s="562">
        <f t="shared" si="774"/>
        <v>0</v>
      </c>
      <c r="DP219" s="562">
        <f t="shared" si="774"/>
        <v>0</v>
      </c>
      <c r="DQ219" s="562">
        <f t="shared" si="774"/>
        <v>0</v>
      </c>
      <c r="DR219" s="616">
        <f t="shared" si="774"/>
        <v>0</v>
      </c>
      <c r="DS219" s="562">
        <f t="shared" si="774"/>
        <v>0</v>
      </c>
      <c r="DT219" s="562">
        <f t="shared" si="774"/>
        <v>0</v>
      </c>
      <c r="DU219" s="562">
        <f t="shared" ref="DU219:EB219" si="775">ROUND(DU209-DU218,2)</f>
        <v>0</v>
      </c>
      <c r="DV219" s="562">
        <f t="shared" si="775"/>
        <v>0</v>
      </c>
      <c r="DW219" s="562">
        <f t="shared" si="775"/>
        <v>0</v>
      </c>
      <c r="DX219" s="562">
        <f t="shared" si="775"/>
        <v>0</v>
      </c>
      <c r="DY219" s="616">
        <f t="shared" si="775"/>
        <v>0</v>
      </c>
      <c r="DZ219" s="562">
        <f t="shared" si="775"/>
        <v>0</v>
      </c>
      <c r="EA219" s="562">
        <f t="shared" si="775"/>
        <v>0</v>
      </c>
      <c r="EB219" s="562">
        <f t="shared" si="775"/>
        <v>0</v>
      </c>
      <c r="EC219" s="562">
        <f t="shared" ref="EC219:EH219" si="776">ROUND(EC209-EC218,2)</f>
        <v>0</v>
      </c>
      <c r="ED219" s="562">
        <f t="shared" si="776"/>
        <v>0</v>
      </c>
      <c r="EE219" s="562">
        <f t="shared" si="776"/>
        <v>0</v>
      </c>
      <c r="EF219" s="616">
        <f t="shared" si="776"/>
        <v>0</v>
      </c>
      <c r="EG219" s="562">
        <f t="shared" si="776"/>
        <v>0</v>
      </c>
      <c r="EH219" s="562">
        <f t="shared" si="776"/>
        <v>0</v>
      </c>
      <c r="EI219" s="562">
        <f>ROUND(EI209-EI218,2)</f>
        <v>0</v>
      </c>
      <c r="EJ219" s="562">
        <f>ROUND(EJ209-EJ218,2)</f>
        <v>0</v>
      </c>
      <c r="EK219" s="562">
        <f>ROUND(EK209-EK218,2)</f>
        <v>0</v>
      </c>
      <c r="EL219" s="562">
        <f>ROUND(EL209-EL218,2)</f>
        <v>0</v>
      </c>
      <c r="EM219" s="616">
        <f>ROUND(EM209-EM218,2)</f>
        <v>0</v>
      </c>
      <c r="EN219" s="562">
        <f t="shared" ref="EN219:EO219" si="777">ROUND(EN209-EN218,2)</f>
        <v>0</v>
      </c>
      <c r="EO219" s="562">
        <f t="shared" si="777"/>
        <v>0</v>
      </c>
      <c r="EP219" s="562">
        <f>ROUND(EP209-EP218,2)</f>
        <v>0</v>
      </c>
      <c r="EQ219" s="563">
        <f t="shared" ref="EQ219" si="778">ROUND(EQ209-EQ218,2)</f>
        <v>0</v>
      </c>
      <c r="ER219" s="562">
        <f t="shared" ref="ER219:FV219" si="779">ROUND(ER209-ER218,2)</f>
        <v>12.29</v>
      </c>
      <c r="ES219" s="562">
        <f t="shared" si="779"/>
        <v>12.29</v>
      </c>
      <c r="ET219" s="616">
        <f t="shared" si="779"/>
        <v>12.29</v>
      </c>
      <c r="EU219" s="562">
        <f t="shared" si="779"/>
        <v>12.29</v>
      </c>
      <c r="EV219" s="562">
        <f t="shared" si="779"/>
        <v>12.29</v>
      </c>
      <c r="EW219" s="562">
        <f t="shared" si="779"/>
        <v>12.29</v>
      </c>
      <c r="EX219" s="562">
        <f t="shared" si="779"/>
        <v>12.29</v>
      </c>
      <c r="EY219" s="562">
        <f t="shared" si="779"/>
        <v>12.29</v>
      </c>
      <c r="EZ219" s="562">
        <f t="shared" si="779"/>
        <v>12.29</v>
      </c>
      <c r="FA219" s="616">
        <f t="shared" si="779"/>
        <v>12.29</v>
      </c>
      <c r="FB219" s="562">
        <f t="shared" si="779"/>
        <v>12.29</v>
      </c>
      <c r="FC219" s="562">
        <f t="shared" si="779"/>
        <v>12.29</v>
      </c>
      <c r="FD219" s="562">
        <f t="shared" si="779"/>
        <v>12.29</v>
      </c>
      <c r="FE219" s="562">
        <f t="shared" si="779"/>
        <v>12.29</v>
      </c>
      <c r="FF219" s="562">
        <f t="shared" si="779"/>
        <v>12.29</v>
      </c>
      <c r="FG219" s="562">
        <f t="shared" si="779"/>
        <v>12.29</v>
      </c>
      <c r="FH219" s="616">
        <f t="shared" si="779"/>
        <v>12.29</v>
      </c>
      <c r="FI219" s="562">
        <f t="shared" si="779"/>
        <v>12.29</v>
      </c>
      <c r="FJ219" s="562">
        <f t="shared" si="779"/>
        <v>12.29</v>
      </c>
      <c r="FK219" s="562">
        <f t="shared" si="779"/>
        <v>12.29</v>
      </c>
      <c r="FL219" s="562">
        <f t="shared" si="779"/>
        <v>12.29</v>
      </c>
      <c r="FM219" s="562">
        <f t="shared" si="779"/>
        <v>12.29</v>
      </c>
      <c r="FN219" s="562">
        <f t="shared" si="779"/>
        <v>12.29</v>
      </c>
      <c r="FO219" s="616">
        <f t="shared" si="779"/>
        <v>12.29</v>
      </c>
      <c r="FP219" s="562">
        <f t="shared" si="779"/>
        <v>12.29</v>
      </c>
      <c r="FQ219" s="562">
        <f t="shared" si="779"/>
        <v>12.29</v>
      </c>
      <c r="FR219" s="562">
        <f t="shared" si="779"/>
        <v>12.29</v>
      </c>
      <c r="FS219" s="562">
        <f t="shared" si="779"/>
        <v>12.29</v>
      </c>
      <c r="FT219" s="562">
        <f t="shared" si="779"/>
        <v>12.29</v>
      </c>
      <c r="FU219" s="562">
        <f t="shared" si="779"/>
        <v>12.29</v>
      </c>
      <c r="FV219" s="616">
        <f t="shared" si="779"/>
        <v>12.29</v>
      </c>
      <c r="FW219" s="648"/>
      <c r="FX219" s="648"/>
      <c r="FY219" s="648"/>
      <c r="FZ219" s="648"/>
      <c r="GA219" s="648"/>
      <c r="GB219"/>
      <c r="GC219"/>
      <c r="GD219"/>
      <c r="GE219"/>
      <c r="GF219"/>
      <c r="GG219"/>
      <c r="GH219" s="648"/>
      <c r="GI219" s="648"/>
      <c r="GJ219" s="648"/>
      <c r="GK219" s="648"/>
      <c r="GL219" s="648"/>
      <c r="GM219" s="648"/>
      <c r="GN219" s="648"/>
      <c r="GO219" s="648"/>
      <c r="GP219" s="648"/>
      <c r="GQ219" s="648"/>
      <c r="GR219" s="648"/>
      <c r="GS219" s="648"/>
      <c r="GT219" s="648"/>
      <c r="GU219" s="648"/>
      <c r="GV219" s="648"/>
      <c r="GW219" s="648"/>
      <c r="GX219" s="648"/>
      <c r="GY219" s="648"/>
      <c r="GZ219" s="648"/>
      <c r="HA219" s="648"/>
      <c r="HB219" s="648"/>
      <c r="HC219" s="648"/>
      <c r="HD219" s="648"/>
      <c r="HE219" s="648"/>
      <c r="HF219" s="648"/>
      <c r="HG219" s="648"/>
      <c r="HH219" s="648"/>
      <c r="HI219" s="648"/>
      <c r="HJ219" s="648"/>
      <c r="HK219" s="648"/>
      <c r="HL219" s="648"/>
      <c r="HM219" s="648"/>
      <c r="HN219" s="648"/>
      <c r="HO219" s="648"/>
      <c r="HP219" s="648"/>
      <c r="HQ219" s="648"/>
      <c r="HR219" s="648"/>
      <c r="HS219" s="648"/>
      <c r="HT219" s="648"/>
      <c r="HU219" s="648"/>
      <c r="HV219" s="648"/>
      <c r="HW219" s="648"/>
      <c r="HX219" s="648"/>
      <c r="HY219" s="648"/>
      <c r="HZ219" s="648"/>
      <c r="IA219" s="648"/>
      <c r="IB219" s="648"/>
      <c r="IC219" s="648"/>
      <c r="ID219" s="648"/>
      <c r="IE219" s="648"/>
      <c r="IF219" s="648"/>
      <c r="IG219" s="648"/>
      <c r="IH219" s="648"/>
      <c r="II219" s="648"/>
      <c r="IJ219" s="648"/>
      <c r="IK219" s="648"/>
      <c r="IL219" s="648"/>
      <c r="IM219" s="648"/>
      <c r="IN219" s="648"/>
      <c r="IO219" s="648"/>
      <c r="IP219" s="648"/>
      <c r="IQ219" s="648"/>
      <c r="IR219" s="648"/>
      <c r="IS219" s="648"/>
      <c r="IT219" s="648"/>
      <c r="IU219" s="648"/>
      <c r="IV219" s="648"/>
      <c r="IW219" s="648"/>
      <c r="IX219" s="648"/>
      <c r="IY219" s="648"/>
      <c r="IZ219" s="648"/>
      <c r="JA219" s="648"/>
      <c r="JB219" s="648"/>
      <c r="JC219" s="648"/>
      <c r="JD219" s="648"/>
      <c r="JE219" s="648"/>
      <c r="JF219" s="648"/>
      <c r="JG219" s="648"/>
      <c r="JH219" s="648"/>
      <c r="JI219" s="648"/>
      <c r="JJ219" s="648"/>
      <c r="JK219" s="648"/>
      <c r="JL219" s="648"/>
      <c r="JM219" s="648"/>
      <c r="JN219" s="648"/>
      <c r="JO219" s="648"/>
      <c r="JP219" s="648"/>
      <c r="JQ219" s="648"/>
      <c r="JR219" s="648"/>
      <c r="JS219" s="648"/>
      <c r="JT219" s="648"/>
    </row>
    <row r="220" spans="1:280" s="247" customFormat="1" ht="12.05" customHeight="1" x14ac:dyDescent="0.3">
      <c r="A220" s="273" t="s">
        <v>554</v>
      </c>
      <c r="B220" s="273"/>
      <c r="C220" s="394"/>
      <c r="D220" s="395"/>
      <c r="E220" s="395"/>
      <c r="F220" s="395"/>
      <c r="G220" s="395"/>
      <c r="H220" s="395"/>
      <c r="I220" s="395"/>
      <c r="J220" s="395"/>
      <c r="K220" s="395"/>
      <c r="L220" s="443"/>
      <c r="M220" s="444"/>
      <c r="N220" s="443"/>
      <c r="O220" s="443"/>
      <c r="P220" s="444"/>
      <c r="Q220" s="443"/>
      <c r="R220" s="443"/>
      <c r="S220" s="444"/>
      <c r="T220" s="443"/>
      <c r="U220" s="443"/>
      <c r="V220" s="444"/>
      <c r="W220" s="443"/>
      <c r="X220" s="443"/>
      <c r="Y220" s="444"/>
      <c r="Z220" s="443"/>
      <c r="AA220" s="443"/>
      <c r="AB220" s="443"/>
      <c r="AC220" s="443"/>
      <c r="AD220" s="443"/>
      <c r="AE220" s="443"/>
      <c r="AF220" s="443"/>
      <c r="AG220" s="443"/>
      <c r="AH220" s="443"/>
      <c r="AI220" s="443"/>
      <c r="AJ220" s="443"/>
      <c r="AK220" s="443"/>
      <c r="AL220" s="443"/>
      <c r="AM220" s="443"/>
      <c r="AN220" s="443"/>
      <c r="AO220" s="443"/>
      <c r="AP220" s="443"/>
      <c r="AQ220" s="443"/>
      <c r="AR220" s="443"/>
      <c r="AS220" s="443"/>
      <c r="AT220" s="443"/>
      <c r="AU220" s="443"/>
      <c r="AV220" s="443"/>
      <c r="AW220" s="443"/>
      <c r="AX220" s="443"/>
      <c r="AY220" s="443"/>
      <c r="AZ220" s="443"/>
      <c r="BA220" s="443"/>
      <c r="BB220" s="443"/>
      <c r="BC220" s="444"/>
      <c r="BD220" s="443"/>
      <c r="BE220" s="443"/>
      <c r="BF220" s="444"/>
      <c r="BG220" s="443"/>
      <c r="BH220" s="443"/>
      <c r="BI220" s="444"/>
      <c r="BJ220" s="443"/>
      <c r="BK220" s="443"/>
      <c r="BL220" s="444"/>
      <c r="BM220" s="443"/>
      <c r="BN220" s="443"/>
      <c r="BO220" s="444"/>
      <c r="BP220" s="443"/>
      <c r="BQ220" s="443"/>
      <c r="BR220" s="444"/>
      <c r="BS220" s="443"/>
      <c r="BT220" s="443"/>
      <c r="BU220" s="444"/>
      <c r="BV220" s="443"/>
      <c r="BW220" s="443"/>
      <c r="BX220" s="444"/>
      <c r="BY220" s="443"/>
      <c r="BZ220" s="443"/>
      <c r="CA220" s="444"/>
      <c r="CB220" s="443"/>
      <c r="CC220" s="395"/>
      <c r="CD220" s="395"/>
      <c r="CE220" s="395"/>
      <c r="CF220" s="395"/>
      <c r="CG220" s="395"/>
      <c r="CH220" s="395"/>
      <c r="CI220" s="395"/>
      <c r="CJ220" s="395"/>
      <c r="CK220" s="395"/>
      <c r="CL220" s="395"/>
      <c r="CM220" s="443"/>
      <c r="CN220" s="395"/>
      <c r="CO220" s="395"/>
      <c r="CP220" s="395"/>
      <c r="CQ220" s="395"/>
      <c r="CR220" s="395"/>
      <c r="CS220" s="445"/>
      <c r="CT220" s="277"/>
      <c r="CU220" s="445"/>
      <c r="CV220" s="446"/>
      <c r="CW220" s="395"/>
      <c r="CX220" s="395"/>
      <c r="CY220" s="395"/>
      <c r="CZ220" s="395"/>
      <c r="DA220" s="277"/>
      <c r="DB220" s="395"/>
      <c r="DC220" s="395"/>
      <c r="DD220" s="259"/>
      <c r="DE220" s="395"/>
      <c r="DF220" s="395"/>
      <c r="DG220" s="395"/>
      <c r="DH220" s="277"/>
      <c r="DI220" s="395"/>
      <c r="DJ220" s="395"/>
      <c r="DK220" s="259"/>
      <c r="DL220" s="447"/>
      <c r="DM220" s="395"/>
      <c r="DN220" s="395"/>
      <c r="DO220" s="395"/>
      <c r="DP220" s="395"/>
      <c r="DQ220" s="395"/>
      <c r="DR220" s="259"/>
      <c r="DS220" s="395"/>
      <c r="DT220" s="395"/>
      <c r="DU220" s="395"/>
      <c r="DV220" s="395"/>
      <c r="DW220" s="395"/>
      <c r="DX220" s="395"/>
      <c r="DY220" s="259"/>
      <c r="DZ220" s="395"/>
      <c r="EA220" s="395"/>
      <c r="EB220" s="395"/>
      <c r="EC220" s="395"/>
      <c r="ED220" s="395"/>
      <c r="EE220" s="395"/>
      <c r="EF220" s="259"/>
      <c r="EG220" s="395"/>
      <c r="EH220" s="395"/>
      <c r="EI220" s="395"/>
      <c r="EJ220" s="395"/>
      <c r="EK220" s="395"/>
      <c r="EL220" s="395"/>
      <c r="EM220" s="259"/>
      <c r="EN220" s="395"/>
      <c r="EO220" s="395"/>
      <c r="EP220" s="395"/>
      <c r="EQ220" s="447"/>
      <c r="ER220" s="395"/>
      <c r="ES220" s="395"/>
      <c r="ET220" s="259"/>
      <c r="EU220" s="395"/>
      <c r="EV220" s="395"/>
      <c r="EW220" s="395"/>
      <c r="EX220" s="395"/>
      <c r="EY220" s="395"/>
      <c r="EZ220" s="395"/>
      <c r="FA220" s="259"/>
      <c r="FB220" s="395"/>
      <c r="FC220" s="395"/>
      <c r="FD220" s="395"/>
      <c r="FE220" s="395"/>
      <c r="FF220" s="395"/>
      <c r="FG220" s="395"/>
      <c r="FH220" s="259"/>
      <c r="FI220" s="395"/>
      <c r="FJ220" s="395"/>
      <c r="FK220" s="395"/>
      <c r="FL220" s="395"/>
      <c r="FM220" s="395"/>
      <c r="FN220" s="395"/>
      <c r="FO220" s="259"/>
      <c r="FP220" s="395"/>
      <c r="FQ220" s="395"/>
      <c r="FR220" s="395"/>
      <c r="FS220" s="395"/>
      <c r="FT220" s="395"/>
      <c r="FU220" s="395"/>
      <c r="FV220" s="259"/>
      <c r="FW220" s="532"/>
      <c r="FX220" s="532"/>
      <c r="FY220" s="532"/>
      <c r="FZ220" s="532"/>
      <c r="GA220" s="532"/>
      <c r="GB220"/>
      <c r="GC220"/>
      <c r="GD220"/>
      <c r="GE220"/>
      <c r="GF220"/>
      <c r="GG220"/>
      <c r="GH220" s="532"/>
      <c r="GI220" s="532"/>
      <c r="GJ220" s="532"/>
      <c r="GK220" s="532"/>
      <c r="GL220" s="532"/>
      <c r="GM220" s="532"/>
      <c r="GN220" s="532"/>
      <c r="GO220" s="532"/>
      <c r="GP220" s="532"/>
      <c r="GQ220" s="532"/>
      <c r="GR220" s="532"/>
      <c r="GS220" s="532"/>
      <c r="GT220" s="532"/>
      <c r="GU220" s="532"/>
      <c r="GV220" s="532"/>
      <c r="GW220" s="532"/>
      <c r="GX220" s="532"/>
      <c r="GY220" s="532"/>
      <c r="GZ220" s="532"/>
      <c r="HA220" s="532"/>
      <c r="HB220" s="532"/>
      <c r="HC220" s="532"/>
      <c r="HD220" s="532"/>
      <c r="HE220" s="532"/>
      <c r="HF220" s="532"/>
      <c r="HG220" s="532"/>
      <c r="HH220" s="532"/>
      <c r="HI220" s="532"/>
      <c r="HJ220" s="532"/>
      <c r="HK220" s="532"/>
      <c r="HL220" s="532"/>
      <c r="HM220" s="532"/>
      <c r="HN220" s="532"/>
      <c r="HO220" s="532"/>
      <c r="HP220" s="532"/>
      <c r="HQ220" s="532"/>
      <c r="HR220" s="532"/>
      <c r="HS220" s="532"/>
      <c r="HT220" s="532"/>
      <c r="HU220" s="532"/>
      <c r="HV220" s="532"/>
      <c r="HW220" s="532"/>
      <c r="HX220" s="532"/>
      <c r="HY220" s="532"/>
      <c r="HZ220" s="532"/>
      <c r="IA220" s="532"/>
      <c r="IB220" s="532"/>
      <c r="IC220" s="532"/>
      <c r="ID220" s="532"/>
      <c r="IE220" s="532"/>
      <c r="IF220" s="532"/>
      <c r="IG220" s="532"/>
      <c r="IH220" s="532"/>
      <c r="II220" s="532"/>
      <c r="IJ220" s="532"/>
      <c r="IK220" s="532"/>
      <c r="IL220" s="532"/>
      <c r="IM220" s="532"/>
      <c r="IN220" s="532"/>
      <c r="IO220" s="532"/>
      <c r="IP220" s="532"/>
      <c r="IQ220" s="532"/>
      <c r="IR220" s="532"/>
      <c r="IS220" s="532"/>
      <c r="IT220" s="532"/>
      <c r="IU220" s="532"/>
      <c r="IV220" s="532"/>
      <c r="IW220" s="532"/>
      <c r="IX220" s="532"/>
      <c r="IY220" s="532"/>
      <c r="IZ220" s="532"/>
      <c r="JA220" s="532"/>
      <c r="JB220" s="532"/>
      <c r="JC220" s="532"/>
      <c r="JD220" s="532"/>
      <c r="JE220" s="532"/>
      <c r="JF220" s="532"/>
      <c r="JG220" s="532"/>
      <c r="JH220" s="532"/>
      <c r="JI220" s="532"/>
      <c r="JJ220" s="532"/>
      <c r="JK220" s="532"/>
      <c r="JL220" s="532"/>
      <c r="JM220" s="532"/>
      <c r="JN220" s="532"/>
      <c r="JO220" s="532"/>
      <c r="JP220" s="532"/>
      <c r="JQ220" s="532"/>
      <c r="JR220" s="532"/>
      <c r="JS220" s="532"/>
      <c r="JT220" s="532"/>
    </row>
    <row r="221" spans="1:280" outlineLevel="1" x14ac:dyDescent="0.3">
      <c r="B221" s="247" t="s">
        <v>555</v>
      </c>
      <c r="C221" s="280"/>
    </row>
    <row r="222" spans="1:280" outlineLevel="1" x14ac:dyDescent="0.3">
      <c r="B222" s="279" t="s">
        <v>556</v>
      </c>
      <c r="C222" s="280" t="s">
        <v>413</v>
      </c>
      <c r="D222" s="350">
        <f>D177/D17/4</f>
        <v>7.2412353923205344E-2</v>
      </c>
      <c r="E222" s="350">
        <f>E177/E17/4</f>
        <v>7.2706786850477198E-2</v>
      </c>
      <c r="F222" s="350">
        <f>F177/F17/2</f>
        <v>7.4463752375780609E-2</v>
      </c>
      <c r="G222" s="350">
        <f>G177/G17/4</f>
        <v>7.878411910669976E-2</v>
      </c>
      <c r="H222" s="350">
        <f>H177/H17/4</f>
        <v>7.9650565262076062E-2</v>
      </c>
      <c r="I222" s="350">
        <f>I177/I17/2</f>
        <v>8.2457773640111726E-2</v>
      </c>
      <c r="J222" s="350">
        <f>J177/J17</f>
        <v>8.3305340947262344E-2</v>
      </c>
      <c r="K222" s="350">
        <f>K177/K17/4</f>
        <v>8.2370637785800255E-2</v>
      </c>
      <c r="L222" s="350">
        <f>L177/L17/4</f>
        <v>8.6412250850753505E-2</v>
      </c>
      <c r="M222" s="350">
        <f>M177/M17/2</f>
        <v>8.5983794896601767E-2</v>
      </c>
      <c r="N222" s="350">
        <f>N177/N17/4</f>
        <v>0.10757533089270629</v>
      </c>
      <c r="O222" s="350">
        <f>O177/O17/4</f>
        <v>0.10224438902743142</v>
      </c>
      <c r="P222" s="350">
        <f>P177/P17/2</f>
        <v>0.10307262569832404</v>
      </c>
      <c r="Q222" s="350">
        <f>Q177/Q17</f>
        <v>9.5664009333074077E-2</v>
      </c>
      <c r="R222" s="350">
        <f>R177/R17/4</f>
        <v>7.8699340245051833E-2</v>
      </c>
      <c r="S222" s="350">
        <f>S177/S17/4</f>
        <v>8.7285311458600343E-2</v>
      </c>
      <c r="T222" s="350">
        <f>T177/T17/2</f>
        <v>8.3609576427255972E-2</v>
      </c>
      <c r="U222" s="350">
        <f>U177/U17/4</f>
        <v>0.11438195664909197</v>
      </c>
      <c r="V222" s="350">
        <f>V177/V17/4</f>
        <v>0.14357622243528284</v>
      </c>
      <c r="W222" s="350">
        <f>W177/W17/2</f>
        <v>0.13732232920678589</v>
      </c>
      <c r="X222" s="350">
        <f>X177/X17</f>
        <v>0.12234477124183006</v>
      </c>
      <c r="Y222" s="350">
        <f>Y177/Y17/4</f>
        <v>0.10890410958904109</v>
      </c>
      <c r="Z222" s="350">
        <f>Z177/Z17/4</f>
        <v>0.11143609242468559</v>
      </c>
      <c r="AA222" s="350">
        <f>AA177/AA17/2</f>
        <v>0.10779459612392134</v>
      </c>
      <c r="AB222" s="350">
        <f>AB177/AB17/4</f>
        <v>0.142688679245283</v>
      </c>
      <c r="AC222" s="350">
        <f>AC177/AC17/4</f>
        <v>0.14227373068432672</v>
      </c>
      <c r="AD222" s="350">
        <f>AD177/AD17/2</f>
        <v>0.13401954668330213</v>
      </c>
      <c r="AE222" s="350">
        <f>AE177/AE17</f>
        <v>0.10851995285401583</v>
      </c>
      <c r="AF222" s="350">
        <f>AF177/AF17/4</f>
        <v>0.111735222951953</v>
      </c>
      <c r="AG222" s="350">
        <f>AG177/AG17/4</f>
        <v>0.10587071240105542</v>
      </c>
      <c r="AH222" s="350">
        <f>AH177/AH17/2</f>
        <v>0.10835443037974685</v>
      </c>
      <c r="AI222" s="350">
        <f>AI177/AI17/4</f>
        <v>0.1266147416413374</v>
      </c>
      <c r="AJ222" s="350">
        <f>AJ177/AJ17/4</f>
        <v>0.13544694767441862</v>
      </c>
      <c r="AK222" s="350">
        <f>AK177/AK17/2</f>
        <v>0.13846582466567608</v>
      </c>
      <c r="AL222" s="350">
        <f>AL177/AL17</f>
        <v>0.13184189583517553</v>
      </c>
      <c r="AM222" s="350">
        <f>AM177/AM17/4</f>
        <v>0.12332802547770701</v>
      </c>
      <c r="AN222" s="350">
        <f>AN177/AN17/4</f>
        <v>0.12881981032665962</v>
      </c>
      <c r="AO222" s="350">
        <f>AO177/AO17/2</f>
        <v>0.12251545014197426</v>
      </c>
      <c r="AP222" s="350">
        <f>AP177/AP17/4</f>
        <v>0.13908951837898273</v>
      </c>
      <c r="AQ222" s="350">
        <f>AQ177/AQ17/4</f>
        <v>0.1481125256697203</v>
      </c>
      <c r="AR222" s="350">
        <f>AR177/AR17/2</f>
        <v>0.14645229245298672</v>
      </c>
      <c r="AS222" s="350">
        <f>AS177/AS17</f>
        <v>0.14042573509424142</v>
      </c>
      <c r="AT222" s="350">
        <f>AT177/AT17/4</f>
        <v>0.13649471323293816</v>
      </c>
      <c r="AU222" s="350">
        <f>AU177/AU17/4</f>
        <v>0.12677438840229538</v>
      </c>
      <c r="AV222" s="350">
        <f>AV177/AV17/2</f>
        <v>0.13051927860696516</v>
      </c>
      <c r="AW222" s="350">
        <f>AW177/AW17/4</f>
        <v>0.15738137082601053</v>
      </c>
      <c r="AX222" s="398">
        <f>AQ222</f>
        <v>0.1481125256697203</v>
      </c>
      <c r="AY222" s="350">
        <f>AY177/AY17/2</f>
        <v>0.15821195379206426</v>
      </c>
      <c r="AZ222" s="350">
        <f>AZ177/AZ$17</f>
        <v>0.15235792019347039</v>
      </c>
      <c r="BA222" s="350">
        <f>BA177/BA17/4</f>
        <v>0.13797412525727731</v>
      </c>
      <c r="BB222" s="350">
        <f>BB177/BB17/4</f>
        <v>0.14729608604720645</v>
      </c>
      <c r="BC222" s="350">
        <f>BC177/BC17/2</f>
        <v>0.14611736810906933</v>
      </c>
      <c r="BD222" s="350">
        <f>BD177/BD17/4</f>
        <v>0.14093175444063571</v>
      </c>
      <c r="BE222" s="398">
        <f>AX222</f>
        <v>0.1481125256697203</v>
      </c>
      <c r="BF222" s="350">
        <f>BF177/BF17/2</f>
        <v>0.13214066339066338</v>
      </c>
      <c r="BG222" s="350">
        <f>BG177/BG$17</f>
        <v>0.12978883861236801</v>
      </c>
      <c r="BH222" s="350">
        <f>BH177/BH17/4</f>
        <v>0.11402095084609189</v>
      </c>
      <c r="BI222" s="350">
        <f>BI177/BI17/4</f>
        <v>0.10781688344809996</v>
      </c>
      <c r="BJ222" s="350">
        <f>BJ177/BJ17/2</f>
        <v>0.11060962846677132</v>
      </c>
      <c r="BK222" s="350">
        <f>BK177/BK17/4</f>
        <v>0.13014954853273139</v>
      </c>
      <c r="BL222" s="350">
        <f>BL177/BL17/4</f>
        <v>0.12549355093445641</v>
      </c>
      <c r="BM222" s="350">
        <f>BM177/BM17/2</f>
        <v>0.12985155930818462</v>
      </c>
      <c r="BN222" s="350">
        <f>BN177/BN$17</f>
        <v>0.12724361112964569</v>
      </c>
      <c r="BO222" s="350">
        <f>BO177/BO17/4</f>
        <v>0.12381989832970224</v>
      </c>
      <c r="BP222" s="350">
        <f>BP177/BP17/4</f>
        <v>0.1133628519527702</v>
      </c>
      <c r="BQ222" s="350">
        <f>BQ177/BQ17/2</f>
        <v>0.11698886936145285</v>
      </c>
      <c r="BR222" s="350">
        <f>BR177/BR17/4</f>
        <v>0.1400695517774343</v>
      </c>
      <c r="BS222" s="398">
        <f>BL222</f>
        <v>0.12549355093445641</v>
      </c>
      <c r="BT222" s="350">
        <f>BT177/BT17/2</f>
        <v>0.1357409713574097</v>
      </c>
      <c r="BU222" s="350">
        <f>BU177/BU$17</f>
        <v>0.13160277693932992</v>
      </c>
      <c r="BV222" s="350">
        <f>BV177/BV17/4</f>
        <v>0.12041763341067287</v>
      </c>
      <c r="BW222" s="350">
        <f>BW177/BW17/4</f>
        <v>0.10440293529019348</v>
      </c>
      <c r="BX222" s="350">
        <f>BX177/BX17/2</f>
        <v>0.10661973430225957</v>
      </c>
      <c r="BY222" s="350">
        <f>BY177/BY17/4</f>
        <v>0.11658249158249159</v>
      </c>
      <c r="BZ222" s="350">
        <f>BZ177/BZ17/4</f>
        <v>0.11120073749711913</v>
      </c>
      <c r="CA222" s="350">
        <f>CA177/CA17/2</f>
        <v>0.11356949511592328</v>
      </c>
      <c r="CB222" s="350">
        <f>CB177/CB$17</f>
        <v>0.11153490522422563</v>
      </c>
      <c r="CC222" s="350">
        <f>CC177/CC17/4</f>
        <v>9.7484276729559741E-2</v>
      </c>
      <c r="CD222" s="350">
        <f>CD177/CD17/4</f>
        <v>8.9159782389683653E-2</v>
      </c>
      <c r="CE222" s="350">
        <f>CE177/CE17/2</f>
        <v>9.0927771499023938E-2</v>
      </c>
      <c r="CF222" s="350">
        <f>CF177/CF17/4</f>
        <v>0.10511862917398948</v>
      </c>
      <c r="CG222" s="398">
        <f>CF222+0.5%</f>
        <v>0.11011862917398949</v>
      </c>
      <c r="CH222" s="350">
        <f>CH177/CH17/2</f>
        <v>0.10683445661331088</v>
      </c>
      <c r="CI222" s="350">
        <f>CI177/CI$17</f>
        <v>0.10551770762910188</v>
      </c>
      <c r="CJ222" s="350">
        <f>CJ177/CJ17/4</f>
        <v>8.8150763672195764E-2</v>
      </c>
      <c r="CK222" s="350">
        <f>CK177/CK17/4</f>
        <v>9.0425531914893623E-2</v>
      </c>
      <c r="CL222" s="350">
        <f>CL177/CL17/2</f>
        <v>9.2620783591058409E-2</v>
      </c>
      <c r="CM222" s="350">
        <f>CM177/CM17/4</f>
        <v>0.10486688851913477</v>
      </c>
      <c r="CN222" s="350">
        <f>CN177/CN17/4</f>
        <v>0.10122723673792557</v>
      </c>
      <c r="CO222" s="350">
        <f>CO177/CO17/2</f>
        <v>0.10373225152129817</v>
      </c>
      <c r="CP222" s="350">
        <f>CP177/CP$17</f>
        <v>0.10307990002418771</v>
      </c>
      <c r="CQ222" s="350">
        <f>CQ177/CQ17/4</f>
        <v>0.11048832923832924</v>
      </c>
      <c r="CR222" s="350">
        <f>CR177/CR17/4</f>
        <v>0.1116022956413836</v>
      </c>
      <c r="CS222" s="350">
        <f>CS177/CS17/2</f>
        <v>0.11104251871286365</v>
      </c>
      <c r="CT222" s="350">
        <f>CT177/CT17/4</f>
        <v>0.13455631399317408</v>
      </c>
      <c r="CU222" s="350">
        <f>CU177/CU17/4</f>
        <v>0.12700064020486557</v>
      </c>
      <c r="CV222" s="350">
        <f>CV177/CV17/2</f>
        <v>0.13107036669970268</v>
      </c>
      <c r="CW222" s="350">
        <f>CW177/CW$17</f>
        <v>0.12662065664020425</v>
      </c>
      <c r="CX222" s="350">
        <f>CX177/CX17/4</f>
        <v>0.11867956137678953</v>
      </c>
      <c r="CY222" s="350">
        <f>CY177/CY17/4</f>
        <v>0.11754013935171159</v>
      </c>
      <c r="CZ222" s="350">
        <f>CZ177/CZ17/2</f>
        <v>0.11786148238153098</v>
      </c>
      <c r="DA222" s="350">
        <f>DA177/DA17/4</f>
        <v>0.13357386087238526</v>
      </c>
      <c r="DB222" s="350">
        <f>DB177/DB17/4</f>
        <v>0.11328531115401755</v>
      </c>
      <c r="DC222" s="350">
        <f>DC177/DC17/2</f>
        <v>0.1182558139534884</v>
      </c>
      <c r="DD222" s="573">
        <f>DD177/DD$17</f>
        <v>0.11704004910234771</v>
      </c>
      <c r="DE222" s="350">
        <f>DE177/DE17/4</f>
        <v>0.10315243415802075</v>
      </c>
      <c r="DF222" s="350">
        <f>DF177/DF17/4</f>
        <v>7.8086838534599717E-2</v>
      </c>
      <c r="DG222" s="350">
        <f>DG177/DG17/2</f>
        <v>8.4415108177484405E-2</v>
      </c>
      <c r="DH222" s="350">
        <f>DH177/DH17/4</f>
        <v>7.7883834281072289E-2</v>
      </c>
      <c r="DI222" s="350">
        <f>DI177/DI17/4</f>
        <v>6.7660550458715593E-2</v>
      </c>
      <c r="DJ222" s="350">
        <f>DJ177/DJ17/2</f>
        <v>7.0638105099663492E-2</v>
      </c>
      <c r="DK222" s="573">
        <f>DK177/DK$17</f>
        <v>7.5050709939148072E-2</v>
      </c>
      <c r="DL222" s="351">
        <f>DL177/DL17/4</f>
        <v>6.721991701244813E-2</v>
      </c>
      <c r="DM222" s="350">
        <f>DM177/DM17/4</f>
        <v>6.6209034543844109E-2</v>
      </c>
      <c r="DN222" s="350">
        <f>DN177/DN17/2</f>
        <v>6.8471975725654083E-2</v>
      </c>
      <c r="DO222" s="350">
        <f>DO177/DO17/4</f>
        <v>7.502777777777779E-2</v>
      </c>
      <c r="DP222" s="350">
        <f>DP177/DP17/4</f>
        <v>7.2236570247933882E-2</v>
      </c>
      <c r="DQ222" s="350">
        <f>DQ177/DQ17/2</f>
        <v>7.4866167023554614E-2</v>
      </c>
      <c r="DR222" s="573">
        <f>DR177/DR$17</f>
        <v>7.7378482308351995E-2</v>
      </c>
      <c r="DS222" s="350">
        <f>DS177/DS17/4</f>
        <v>7.4393167515732675E-2</v>
      </c>
      <c r="DT222" s="350">
        <f>DT177/DT17/4</f>
        <v>8.024258219727344E-2</v>
      </c>
      <c r="DU222" s="350">
        <f>DU177/DU17/2</f>
        <v>8.0102066343123016E-2</v>
      </c>
      <c r="DV222" s="350">
        <f>DV177/DV17/4</f>
        <v>0.10786477695167286</v>
      </c>
      <c r="DW222" s="350">
        <f>DW177/DW17/4</f>
        <v>9.3777244986922415E-2</v>
      </c>
      <c r="DX222" s="350">
        <f>DX177/DX17/2</f>
        <v>9.6772379667116507E-2</v>
      </c>
      <c r="DY222" s="573">
        <f>DY177/DY$17</f>
        <v>9.1128114161658405E-2</v>
      </c>
      <c r="DZ222" s="350">
        <f>DZ177/DZ17/4</f>
        <v>8.1761500576338686E-2</v>
      </c>
      <c r="EA222" s="350">
        <f>EA177/EA17/4</f>
        <v>7.426411694032839E-2</v>
      </c>
      <c r="EB222" s="350">
        <f>EB177/EB17/2</f>
        <v>7.5956172239004666E-2</v>
      </c>
      <c r="EC222" s="350">
        <f>EC177/EC17/4</f>
        <v>8.2140666530361894E-2</v>
      </c>
      <c r="ED222" s="350">
        <f>ED177/ED17/4</f>
        <v>8.4029850746268647E-2</v>
      </c>
      <c r="EE222" s="350">
        <f>EE177/EE17/2</f>
        <v>8.5165389269866873E-2</v>
      </c>
      <c r="EF222" s="573">
        <f>EF177/EF$17</f>
        <v>8.5816629830043456E-2</v>
      </c>
      <c r="EG222" s="350">
        <f>EG177/EG17/4</f>
        <v>9.300332694828109E-2</v>
      </c>
      <c r="EH222" s="350">
        <f>EH177/EH17/4</f>
        <v>9.6976477935054123E-2</v>
      </c>
      <c r="EI222" s="350">
        <f>EI177/EI17/2</f>
        <v>9.5431965995800686E-2</v>
      </c>
      <c r="EJ222" s="350">
        <f>EJ177/EJ17/4</f>
        <v>9.1865100178327927E-2</v>
      </c>
      <c r="EK222" s="350">
        <f>EK177/EK17/4</f>
        <v>8.9320638188368481E-2</v>
      </c>
      <c r="EL222" s="350">
        <f>EL177/EL17/2</f>
        <v>9.0165211970074807E-2</v>
      </c>
      <c r="EM222" s="573">
        <f>EM177/EM$17</f>
        <v>8.9516441005802708E-2</v>
      </c>
      <c r="EN222" s="350">
        <f>EN177/EN17/4</f>
        <v>0.10637293032559172</v>
      </c>
      <c r="EO222" s="350">
        <f>EO177/EO17/4</f>
        <v>0.12343290512304596</v>
      </c>
      <c r="EP222" s="350">
        <f>EP177/EP17/2</f>
        <v>0.16474719826473172</v>
      </c>
      <c r="EQ222" s="351">
        <f>EQ177/EQ17/4</f>
        <v>0.13425552508469107</v>
      </c>
      <c r="ER222" s="398">
        <f t="shared" ref="ER222:ER224" si="780">EK222</f>
        <v>8.9320638188368481E-2</v>
      </c>
      <c r="ES222" s="350">
        <f>ES177/ES17/2</f>
        <v>9.2757066210574141E-2</v>
      </c>
      <c r="ET222" s="573">
        <f>ET177/ET$17</f>
        <v>0.10432531937854279</v>
      </c>
      <c r="EU222" s="398">
        <f t="shared" ref="EU222:EV224" si="781">EN222</f>
        <v>0.10637293032559172</v>
      </c>
      <c r="EV222" s="398">
        <f t="shared" si="781"/>
        <v>0.12343290512304596</v>
      </c>
      <c r="EW222" s="350">
        <f>EW177/EW17/2</f>
        <v>0.12606958285122066</v>
      </c>
      <c r="EX222" s="398">
        <f t="shared" ref="EX222:EY224" si="782">EQ222</f>
        <v>0.13425552508469107</v>
      </c>
      <c r="EY222" s="398">
        <f t="shared" si="782"/>
        <v>8.9320638188368481E-2</v>
      </c>
      <c r="EZ222" s="350">
        <f>EZ177/EZ17/2</f>
        <v>9.3499810791812882E-2</v>
      </c>
      <c r="FA222" s="573">
        <f>FA177/FA$17</f>
        <v>9.4737773839118397E-2</v>
      </c>
      <c r="FB222" s="398">
        <f t="shared" ref="FB222:FC224" si="783">EU222</f>
        <v>0.10637293032559172</v>
      </c>
      <c r="FC222" s="398">
        <f t="shared" si="783"/>
        <v>0.12343290512304596</v>
      </c>
      <c r="FD222" s="350">
        <f>FD177/FD17/2</f>
        <v>0.12685510037229447</v>
      </c>
      <c r="FE222" s="398">
        <f t="shared" ref="FE222:FF224" si="784">EX222</f>
        <v>0.13425552508469107</v>
      </c>
      <c r="FF222" s="398">
        <f t="shared" si="784"/>
        <v>8.9320638188368481E-2</v>
      </c>
      <c r="FG222" s="350">
        <f>FG177/FG17/2</f>
        <v>9.3189607847289219E-2</v>
      </c>
      <c r="FH222" s="573">
        <f>FH177/FH$17</f>
        <v>9.4531933655498432E-2</v>
      </c>
      <c r="FI222" s="398">
        <f t="shared" ref="FI222:FJ224" si="785">FB222</f>
        <v>0.10637293032559172</v>
      </c>
      <c r="FJ222" s="398">
        <f t="shared" si="785"/>
        <v>0.12343290512304596</v>
      </c>
      <c r="FK222" s="350">
        <f>FK177/FK17/2</f>
        <v>0.12657570593338024</v>
      </c>
      <c r="FL222" s="398">
        <f t="shared" ref="FL222:FM224" si="786">FE222</f>
        <v>0.13425552508469107</v>
      </c>
      <c r="FM222" s="398">
        <f t="shared" si="786"/>
        <v>8.9320638188368481E-2</v>
      </c>
      <c r="FN222" s="350">
        <f>FN177/FN17/2</f>
        <v>9.2903106313790132E-2</v>
      </c>
      <c r="FO222" s="573">
        <f>FO177/FO$17</f>
        <v>9.3906808946027709E-2</v>
      </c>
      <c r="FP222" s="398">
        <f t="shared" ref="FP222:FQ224" si="787">FI222</f>
        <v>0.10637293032559172</v>
      </c>
      <c r="FQ222" s="398">
        <f t="shared" si="787"/>
        <v>0.12343290512304596</v>
      </c>
      <c r="FR222" s="350">
        <f>FR177/FR17/2</f>
        <v>0.12697874140091217</v>
      </c>
      <c r="FS222" s="398">
        <f t="shared" ref="FS222:FT224" si="788">FL222</f>
        <v>0.13425552508469107</v>
      </c>
      <c r="FT222" s="398">
        <f t="shared" si="788"/>
        <v>8.9320638188368481E-2</v>
      </c>
      <c r="FU222" s="350">
        <f>FU177/FU17/2</f>
        <v>9.2744658392625051E-2</v>
      </c>
      <c r="FV222" s="573">
        <f>FV177/FV$17</f>
        <v>9.395625770201263E-2</v>
      </c>
    </row>
    <row r="223" spans="1:280" outlineLevel="1" x14ac:dyDescent="0.3">
      <c r="B223" s="279" t="s">
        <v>557</v>
      </c>
      <c r="C223" s="280" t="s">
        <v>413</v>
      </c>
      <c r="D223" s="350">
        <f>D176/D17/4</f>
        <v>9.6688925987757385E-2</v>
      </c>
      <c r="E223" s="350">
        <f>E176/E17/4</f>
        <v>8.7420466595970317E-2</v>
      </c>
      <c r="F223" s="350">
        <f>F176/F17/2</f>
        <v>8.953298941080641E-2</v>
      </c>
      <c r="G223" s="350">
        <f>G176/G17/4</f>
        <v>8.6228287841191076E-2</v>
      </c>
      <c r="H223" s="350">
        <f>H176/H17/4</f>
        <v>9.8406988694758474E-2</v>
      </c>
      <c r="I223" s="350">
        <f>I176/I17/2</f>
        <v>0.10187524936826706</v>
      </c>
      <c r="J223" s="350">
        <f>J176/J17</f>
        <v>0.10292240510581122</v>
      </c>
      <c r="K223" s="350">
        <f>K176/K17/4</f>
        <v>9.506618531889291E-2</v>
      </c>
      <c r="L223" s="350">
        <f>L176/L17/4</f>
        <v>9.5770539620806991E-2</v>
      </c>
      <c r="M223" s="350">
        <f>M176/M17/2</f>
        <v>9.5295682670214057E-2</v>
      </c>
      <c r="N223" s="350">
        <f>N176/N17/4</f>
        <v>8.6806533370881442E-2</v>
      </c>
      <c r="O223" s="350">
        <f>O176/O17/4</f>
        <v>0.11318924909947355</v>
      </c>
      <c r="P223" s="350">
        <f>P176/P17/2</f>
        <v>0.11410614525139667</v>
      </c>
      <c r="Q223" s="350">
        <f>Q176/Q17</f>
        <v>0.10590446561669584</v>
      </c>
      <c r="R223" s="350">
        <f>R176/R17/4</f>
        <v>9.9081055607917051E-2</v>
      </c>
      <c r="S223" s="350">
        <f>S176/S17/4</f>
        <v>0.10965137144321968</v>
      </c>
      <c r="T223" s="350">
        <f>T176/T17/2</f>
        <v>0.10503376304481277</v>
      </c>
      <c r="U223" s="350">
        <f>U176/U17/4</f>
        <v>9.6514352665495032E-2</v>
      </c>
      <c r="V223" s="350">
        <f>V176/V17/4</f>
        <v>0.10498561840843722</v>
      </c>
      <c r="W223" s="350">
        <f>W176/W17/2</f>
        <v>0.10041265474552959</v>
      </c>
      <c r="X223" s="350">
        <f>X176/X17</f>
        <v>8.9460784313725492E-2</v>
      </c>
      <c r="Y223" s="350">
        <f>Y176/Y17/4</f>
        <v>9.63013698630137E-2</v>
      </c>
      <c r="Z223" s="350">
        <f>Z176/Z17/4</f>
        <v>9.1327873647265287E-2</v>
      </c>
      <c r="AA223" s="350">
        <f>AA176/AA17/2</f>
        <v>8.8343471495260992E-2</v>
      </c>
      <c r="AB223" s="350">
        <f>AB176/AB17/4</f>
        <v>8.7362421383647804E-2</v>
      </c>
      <c r="AC223" s="350">
        <f>AC176/AC17/4</f>
        <v>0.12295805739514351</v>
      </c>
      <c r="AD223" s="350">
        <f>AD176/AD17/2</f>
        <v>0.11582449573715949</v>
      </c>
      <c r="AE223" s="350">
        <f>AE176/AE17</f>
        <v>9.3786832800134709E-2</v>
      </c>
      <c r="AF223" s="350">
        <f>AF176/AF17/4</f>
        <v>0.10637746284134116</v>
      </c>
      <c r="AG223" s="350">
        <f>AG176/AG17/4</f>
        <v>0.10521108179419525</v>
      </c>
      <c r="AH223" s="350">
        <f>AH176/AH17/2</f>
        <v>0.10767932489451476</v>
      </c>
      <c r="AI223" s="350">
        <f>AI176/AI17/4</f>
        <v>0.10894756838905775</v>
      </c>
      <c r="AJ223" s="350">
        <f>AJ176/AJ17/4</f>
        <v>0.14080668604651164</v>
      </c>
      <c r="AK223" s="350">
        <f>AK176/AK17/2</f>
        <v>0.14394502228826153</v>
      </c>
      <c r="AL223" s="350">
        <f>AL176/AL17</f>
        <v>0.13705897957379079</v>
      </c>
      <c r="AM223" s="350">
        <f>AM176/AM17/4</f>
        <v>9.4824840764331203E-2</v>
      </c>
      <c r="AN223" s="350">
        <f>AN176/AN17/4</f>
        <v>0.12047769582016155</v>
      </c>
      <c r="AO223" s="350">
        <f>AO176/AO17/2</f>
        <v>0.11458159345248035</v>
      </c>
      <c r="AP223" s="350">
        <f>AP176/AP17/4</f>
        <v>9.0484412665630926E-2</v>
      </c>
      <c r="AQ223" s="350">
        <f>AQ176/AQ17/4</f>
        <v>0.12665225879249767</v>
      </c>
      <c r="AR223" s="350">
        <f>AR176/AR17/2</f>
        <v>0.12523257949075831</v>
      </c>
      <c r="AS223" s="350">
        <f>AS176/AS17</f>
        <v>0.12007921991649993</v>
      </c>
      <c r="AT223" s="350">
        <f>AT176/AT17/4</f>
        <v>0.10565523870554309</v>
      </c>
      <c r="AU223" s="350">
        <f>AU176/AU17/4</f>
        <v>0.10389610389610389</v>
      </c>
      <c r="AV223" s="350">
        <f>AV176/AV17/2</f>
        <v>0.10696517412935322</v>
      </c>
      <c r="AW223" s="350">
        <f>AW176/AW17/4</f>
        <v>9.7012302284710028E-2</v>
      </c>
      <c r="AX223" s="398">
        <f>AQ223</f>
        <v>0.12665225879249767</v>
      </c>
      <c r="AY223" s="350">
        <f>AY176/AY17/2</f>
        <v>0.1152687091913611</v>
      </c>
      <c r="AZ223" s="350">
        <f>AZ176/AZ$17</f>
        <v>0.1110036275695284</v>
      </c>
      <c r="BA223" s="350">
        <f>BA176/BA17/4</f>
        <v>0.10732137606586301</v>
      </c>
      <c r="BB223" s="350">
        <f>BB176/BB17/4</f>
        <v>0.10606513295488497</v>
      </c>
      <c r="BC223" s="350">
        <f>BC176/BC17/2</f>
        <v>0.10521636040308238</v>
      </c>
      <c r="BD223" s="350">
        <f>BD176/BD17/4</f>
        <v>8.624181988158304E-2</v>
      </c>
      <c r="BE223" s="398">
        <f>AX223</f>
        <v>0.12665225879249767</v>
      </c>
      <c r="BF223" s="350">
        <f>BF176/BF17/2</f>
        <v>0.1101044226044226</v>
      </c>
      <c r="BG223" s="350">
        <f>BG176/BG$17</f>
        <v>0.1081447963800905</v>
      </c>
      <c r="BH223" s="350">
        <f>BH176/BH17/4</f>
        <v>9.5151759333870545E-2</v>
      </c>
      <c r="BI223" s="350">
        <f>BI176/BI17/4</f>
        <v>8.5182351440958926E-2</v>
      </c>
      <c r="BJ223" s="350">
        <f>BJ176/BJ17/2</f>
        <v>8.7388801674515959E-2</v>
      </c>
      <c r="BK223" s="350">
        <f>BK176/BK17/4</f>
        <v>7.9782731376975169E-2</v>
      </c>
      <c r="BL223" s="350">
        <f>BL176/BL17/4</f>
        <v>9.160305343511449E-2</v>
      </c>
      <c r="BM223" s="350">
        <f>BM176/BM17/2</f>
        <v>9.4784148168323548E-2</v>
      </c>
      <c r="BN223" s="350">
        <f>BN176/BN$17</f>
        <v>9.2880496430239531E-2</v>
      </c>
      <c r="BO223" s="350">
        <f>BO176/BO17/4</f>
        <v>8.5572500605180346E-2</v>
      </c>
      <c r="BP223" s="350">
        <f>BP176/BP17/4</f>
        <v>8.0722070844686633E-2</v>
      </c>
      <c r="BQ223" s="350">
        <f>BQ176/BQ17/2</f>
        <v>8.3304042179261864E-2</v>
      </c>
      <c r="BR223" s="350">
        <f>BR176/BR17/4</f>
        <v>7.0710973724884066E-2</v>
      </c>
      <c r="BS223" s="398">
        <f>BL223</f>
        <v>9.160305343511449E-2</v>
      </c>
      <c r="BT223" s="350">
        <f>BT176/BT17/2</f>
        <v>8.3001245330012449E-2</v>
      </c>
      <c r="BU223" s="350">
        <f>BU176/BU$17</f>
        <v>8.047087232115907E-2</v>
      </c>
      <c r="BV223" s="350">
        <f>BV176/BV17/4</f>
        <v>8.9269141531322524E-2</v>
      </c>
      <c r="BW223" s="350">
        <f>BW176/BW17/4</f>
        <v>8.4278407827440532E-2</v>
      </c>
      <c r="BX223" s="350">
        <f>BX176/BX17/2</f>
        <v>8.6067900533666392E-2</v>
      </c>
      <c r="BY223" s="350">
        <f>BY176/BY17/4</f>
        <v>7.38936988936989E-2</v>
      </c>
      <c r="BZ223" s="350">
        <f>BZ176/BZ17/4</f>
        <v>9.9850195897672259E-2</v>
      </c>
      <c r="CA223" s="350">
        <f>CA176/CA17/2</f>
        <v>0.10197716841238086</v>
      </c>
      <c r="CB223" s="350">
        <f>CB176/CB$17</f>
        <v>0.10015025427646788</v>
      </c>
      <c r="CC223" s="350">
        <f>CC176/CC17/4</f>
        <v>9.0408805031446535E-2</v>
      </c>
      <c r="CD223" s="350">
        <f>CD176/CD17/4</f>
        <v>8.6691517227483375E-2</v>
      </c>
      <c r="CE223" s="350">
        <f>CE176/CE17/2</f>
        <v>8.8410562005548129E-2</v>
      </c>
      <c r="CF223" s="350">
        <f>CF176/CF17/4</f>
        <v>7.7218804920913889E-2</v>
      </c>
      <c r="CG223" s="398">
        <f>BZ223</f>
        <v>9.9850195897672259E-2</v>
      </c>
      <c r="CH223" s="350">
        <f>CH176/CH17/2</f>
        <v>0.10504422914911543</v>
      </c>
      <c r="CI223" s="350">
        <f>CI176/CI$17</f>
        <v>0.10374954495813615</v>
      </c>
      <c r="CJ223" s="350">
        <f>CJ176/CJ17/4</f>
        <v>7.7434718344555759E-2</v>
      </c>
      <c r="CK223" s="350">
        <f>CK176/CK17/4</f>
        <v>7.5054755944931176E-2</v>
      </c>
      <c r="CL223" s="350">
        <f>CL176/CL17/2</f>
        <v>7.6876852816280761E-2</v>
      </c>
      <c r="CM223" s="350">
        <f>CM176/CM17/4</f>
        <v>6.5432612312811986E-2</v>
      </c>
      <c r="CN223" s="350">
        <f>CN176/CN17/4</f>
        <v>8.0245447347585111E-2</v>
      </c>
      <c r="CO223" s="350">
        <f>CO176/CO17/2</f>
        <v>8.2231237322515208E-2</v>
      </c>
      <c r="CP223" s="350">
        <f>CP176/CP$17</f>
        <v>8.171410142707411E-2</v>
      </c>
      <c r="CQ223" s="350">
        <f>CQ176/CQ17/4</f>
        <v>8.6609336609336604E-2</v>
      </c>
      <c r="CR223" s="350">
        <f>CR176/CR17/4</f>
        <v>9.2290988056460382E-2</v>
      </c>
      <c r="CS223" s="350">
        <f>CS176/CS17/2</f>
        <v>9.1828073153792725E-2</v>
      </c>
      <c r="CT223" s="350">
        <f>CT176/CT17/4</f>
        <v>7.3208191126279881E-2</v>
      </c>
      <c r="CU223" s="350">
        <f>CU176/CU17/4</f>
        <v>0.10187259923175417</v>
      </c>
      <c r="CV223" s="350">
        <f>CV176/CV17/2</f>
        <v>0.10513709943838784</v>
      </c>
      <c r="CW223" s="350">
        <f>CW176/CW$17</f>
        <v>0.10156779830055451</v>
      </c>
      <c r="CX223" s="350">
        <f>CX176/CX17/4</f>
        <v>9.8347547974413668E-2</v>
      </c>
      <c r="CY223" s="350">
        <f>CY176/CY17/4</f>
        <v>9.1184489548621628E-2</v>
      </c>
      <c r="CZ223" s="350">
        <f>CZ176/CZ17/2</f>
        <v>9.1433778857837184E-2</v>
      </c>
      <c r="DA223" s="350">
        <f>DA176/DA17/4</f>
        <v>8.2333387384465689E-2</v>
      </c>
      <c r="DB223" s="350">
        <f>DB176/DB17/4</f>
        <v>0.134895291846131</v>
      </c>
      <c r="DC223" s="350">
        <f>DC176/DC17/2</f>
        <v>0.14081395348837211</v>
      </c>
      <c r="DD223" s="573">
        <f>DD176/DD$17</f>
        <v>0.13936627282491942</v>
      </c>
      <c r="DE223" s="350">
        <f>DE176/DE17/4</f>
        <v>0.13168395849960096</v>
      </c>
      <c r="DF223" s="350">
        <f>DF176/DF17/4</f>
        <v>0.10362957937584802</v>
      </c>
      <c r="DG223" s="350">
        <f>DG176/DG17/2</f>
        <v>0.11202786945361203</v>
      </c>
      <c r="DH223" s="350">
        <f>DH176/DH17/4</f>
        <v>9.2066070945031137E-2</v>
      </c>
      <c r="DI223" s="350">
        <f>DI176/DI17/4</f>
        <v>0.10327299776841059</v>
      </c>
      <c r="DJ223" s="350">
        <f>DJ176/DJ17/2</f>
        <v>0.10781775821900079</v>
      </c>
      <c r="DK223" s="573">
        <f>DK176/DK$17</f>
        <v>0.11455289304500291</v>
      </c>
      <c r="DL223" s="351">
        <f>DL176/DL17/4</f>
        <v>0.10017783046828689</v>
      </c>
      <c r="DM223" s="350">
        <f>DM176/DM17/4</f>
        <v>9.2421390611160323E-2</v>
      </c>
      <c r="DN223" s="350">
        <f>DN176/DN17/2</f>
        <v>9.5580237018377492E-2</v>
      </c>
      <c r="DO223" s="350">
        <f>DO176/DO17/4</f>
        <v>9.0444444444444452E-2</v>
      </c>
      <c r="DP223" s="350">
        <f>DP176/DP17/4</f>
        <v>0.10289256198347106</v>
      </c>
      <c r="DQ223" s="350">
        <f>DQ176/DQ17/2</f>
        <v>0.10663811563169165</v>
      </c>
      <c r="DR223" s="573">
        <f>DR176/DR$17</f>
        <v>0.11021661548676237</v>
      </c>
      <c r="DS223" s="350">
        <f>DS176/DS17/4</f>
        <v>9.2847867345919474E-2</v>
      </c>
      <c r="DT223" s="350">
        <f>DT176/DT17/4</f>
        <v>8.605653568564553E-2</v>
      </c>
      <c r="DU223" s="350">
        <f>DU176/DU17/2</f>
        <v>8.5905838795216877E-2</v>
      </c>
      <c r="DV223" s="350">
        <f>DV176/DV17/4</f>
        <v>8.3120353159851307E-2</v>
      </c>
      <c r="DW223" s="350">
        <f>DW176/DW17/4</f>
        <v>9.6665213600697478E-2</v>
      </c>
      <c r="DX223" s="350">
        <f>DX176/DX17/2</f>
        <v>9.9752586594691869E-2</v>
      </c>
      <c r="DY223" s="573">
        <f>DY176/DY$17</f>
        <v>9.3934500013237665E-2</v>
      </c>
      <c r="DZ223" s="350">
        <f>DZ176/DZ17/4</f>
        <v>9.4126584931363305E-2</v>
      </c>
      <c r="EA223" s="350">
        <f>EA176/EA17/4</f>
        <v>8.9582498998798554E-2</v>
      </c>
      <c r="EB223" s="350">
        <f>EB176/EB17/2</f>
        <v>9.162357278173161E-2</v>
      </c>
      <c r="EC223" s="350">
        <f>EC176/EC17/4</f>
        <v>7.9636066244121867E-2</v>
      </c>
      <c r="ED223" s="350">
        <f>ED176/ED17/4</f>
        <v>9.1069651741293514E-2</v>
      </c>
      <c r="EE223" s="350">
        <f>EE176/EE17/2</f>
        <v>9.230032271077046E-2</v>
      </c>
      <c r="EF223" s="573">
        <f>EF176/EF$17</f>
        <v>9.3006122500825655E-2</v>
      </c>
      <c r="EG223" s="350">
        <f>EG176/EG17/4</f>
        <v>9.2247202338945469E-2</v>
      </c>
      <c r="EH223" s="350">
        <f>EH176/EH17/4</f>
        <v>9.0237302248126566E-2</v>
      </c>
      <c r="EI223" s="350">
        <f>EI176/EI17/2</f>
        <v>8.8800122906744522E-2</v>
      </c>
      <c r="EJ223" s="350">
        <f>EJ176/EJ17/4</f>
        <v>7.0964019720969274E-2</v>
      </c>
      <c r="EK223" s="350">
        <f>EK176/EK17/4</f>
        <v>0.10082346886258362</v>
      </c>
      <c r="EL223" s="350">
        <f>EL176/EL17/2</f>
        <v>0.10177680798004987</v>
      </c>
      <c r="EM223" s="573">
        <f>EM176/EM$17</f>
        <v>0.10104448742746615</v>
      </c>
      <c r="EN223" s="350">
        <f>EN176/EN17/4</f>
        <v>8.9787754194910543E-2</v>
      </c>
      <c r="EO223" s="350">
        <f>EO176/EO17/4</f>
        <v>6.9590620646958673E-2</v>
      </c>
      <c r="EP223" s="350">
        <f>EP176/EP17/2</f>
        <v>9.2883334194081499E-2</v>
      </c>
      <c r="EQ223" s="351">
        <f>EQ176/EQ17/4</f>
        <v>6.2711727698015807E-2</v>
      </c>
      <c r="ER223" s="398">
        <f t="shared" si="780"/>
        <v>0.10082346886258362</v>
      </c>
      <c r="ES223" s="350">
        <f>ES176/ES17/2</f>
        <v>0.10470244465947263</v>
      </c>
      <c r="ET223" s="573">
        <f>ET176/ET$17</f>
        <v>0.11776047286808719</v>
      </c>
      <c r="EU223" s="398">
        <f t="shared" si="781"/>
        <v>8.9787754194910543E-2</v>
      </c>
      <c r="EV223" s="398">
        <f t="shared" si="781"/>
        <v>6.9590620646958673E-2</v>
      </c>
      <c r="EW223" s="350">
        <f>EW176/EW17/2</f>
        <v>7.1077161366119232E-2</v>
      </c>
      <c r="EX223" s="398">
        <f t="shared" si="782"/>
        <v>6.2711727698015807E-2</v>
      </c>
      <c r="EY223" s="398">
        <f t="shared" si="782"/>
        <v>0.10082346886258362</v>
      </c>
      <c r="EZ223" s="350">
        <f>EZ176/EZ17/2</f>
        <v>0.10554084087649751</v>
      </c>
      <c r="FA223" s="573">
        <f>FA176/FA$17</f>
        <v>0.10693823045279915</v>
      </c>
      <c r="FB223" s="398">
        <f t="shared" si="783"/>
        <v>8.9787754194910543E-2</v>
      </c>
      <c r="FC223" s="398">
        <f t="shared" si="783"/>
        <v>6.9590620646958673E-2</v>
      </c>
      <c r="FD223" s="350">
        <f>FD176/FD17/2</f>
        <v>7.1520030727138445E-2</v>
      </c>
      <c r="FE223" s="398">
        <f t="shared" si="784"/>
        <v>6.2711727698015807E-2</v>
      </c>
      <c r="FF223" s="398">
        <f t="shared" si="784"/>
        <v>0.10082346886258362</v>
      </c>
      <c r="FG223" s="350">
        <f>FG176/FG17/2</f>
        <v>0.10519068958388914</v>
      </c>
      <c r="FH223" s="573">
        <f>FH176/FH$17</f>
        <v>0.10670588189635347</v>
      </c>
      <c r="FI223" s="398">
        <f t="shared" si="785"/>
        <v>8.9787754194910543E-2</v>
      </c>
      <c r="FJ223" s="398">
        <f t="shared" si="785"/>
        <v>6.9590620646958673E-2</v>
      </c>
      <c r="FK223" s="350">
        <f>FK176/FK17/2</f>
        <v>7.1362510069336804E-2</v>
      </c>
      <c r="FL223" s="398">
        <f t="shared" si="786"/>
        <v>6.2711727698015807E-2</v>
      </c>
      <c r="FM223" s="398">
        <f t="shared" si="786"/>
        <v>0.10082346886258362</v>
      </c>
      <c r="FN223" s="350">
        <f>FN176/FN17/2</f>
        <v>0.10486729200156433</v>
      </c>
      <c r="FO223" s="573">
        <f>FO176/FO$17</f>
        <v>0.10600025279473829</v>
      </c>
      <c r="FP223" s="398">
        <f t="shared" si="787"/>
        <v>8.9787754194910543E-2</v>
      </c>
      <c r="FQ223" s="398">
        <f t="shared" si="787"/>
        <v>6.9590620646958673E-2</v>
      </c>
      <c r="FR223" s="350">
        <f>FR176/FR17/2</f>
        <v>7.1589738686376345E-2</v>
      </c>
      <c r="FS223" s="398">
        <f t="shared" si="788"/>
        <v>6.2711727698015807E-2</v>
      </c>
      <c r="FT223" s="398">
        <f t="shared" si="788"/>
        <v>0.10082346886258362</v>
      </c>
      <c r="FU223" s="350">
        <f>FU176/FU17/2</f>
        <v>0.10468843894621289</v>
      </c>
      <c r="FV223" s="573">
        <f>FV176/FV$17</f>
        <v>0.10605606962733666</v>
      </c>
    </row>
    <row r="224" spans="1:280" outlineLevel="1" x14ac:dyDescent="0.3">
      <c r="B224" s="279" t="s">
        <v>558</v>
      </c>
      <c r="C224" s="280" t="s">
        <v>413</v>
      </c>
      <c r="D224" s="350">
        <f>D191/D17/4</f>
        <v>7.2551474680022265E-2</v>
      </c>
      <c r="E224" s="350">
        <f>E191/E17/4</f>
        <v>7.9732237539766701E-2</v>
      </c>
      <c r="F224" s="350">
        <f>F191/F17/2</f>
        <v>8.1658973662774914E-2</v>
      </c>
      <c r="G224" s="350">
        <f>G191/G17/4</f>
        <v>7.4303832368348505E-2</v>
      </c>
      <c r="H224" s="350">
        <f>H191/H17/4</f>
        <v>7.5668036998972246E-2</v>
      </c>
      <c r="I224" s="350">
        <f>I191/I17/2</f>
        <v>7.833488495810613E-2</v>
      </c>
      <c r="J224" s="350">
        <f>J191/J17</f>
        <v>7.914007389989923E-2</v>
      </c>
      <c r="K224" s="350">
        <f>K191/K17/4</f>
        <v>6.8892900120336956E-2</v>
      </c>
      <c r="L224" s="350">
        <f>L191/L17/4</f>
        <v>7.0794846864365574E-2</v>
      </c>
      <c r="M224" s="350">
        <f>M191/M17/2</f>
        <v>7.044382633933971E-2</v>
      </c>
      <c r="N224" s="350">
        <f>N191/N17/4</f>
        <v>6.7727400732188123E-2</v>
      </c>
      <c r="O224" s="350">
        <f>O191/O17/4</f>
        <v>6.9825436408977565E-2</v>
      </c>
      <c r="P224" s="350">
        <f>P191/P17/2</f>
        <v>7.0391061452513976E-2</v>
      </c>
      <c r="Q224" s="350">
        <f>Q191/Q17</f>
        <v>6.5331518568928632E-2</v>
      </c>
      <c r="R224" s="350">
        <f>R191/R17/4</f>
        <v>7.410461828463713E-2</v>
      </c>
      <c r="S224" s="350">
        <f>S191/S17/4</f>
        <v>9.6705972827480127E-2</v>
      </c>
      <c r="T224" s="350">
        <f>T191/T17/2</f>
        <v>9.2633517495395945E-2</v>
      </c>
      <c r="U224" s="350">
        <f>U191/U17/4</f>
        <v>8.3626244874048045E-2</v>
      </c>
      <c r="V224" s="350">
        <f>V191/V17/4</f>
        <v>8.5969958453179937E-2</v>
      </c>
      <c r="W224" s="350">
        <f>W191/W17/2</f>
        <v>8.2225278924040968E-2</v>
      </c>
      <c r="X224" s="350">
        <f>X191/X17</f>
        <v>7.3257080610021785E-2</v>
      </c>
      <c r="Y224" s="350">
        <f>Y191/Y17/4</f>
        <v>6.3287671232876722E-2</v>
      </c>
      <c r="Z224" s="350">
        <f>Z191/Z17/4</f>
        <v>7.9701667154138636E-2</v>
      </c>
      <c r="AA224" s="350">
        <f>AA191/AA17/2</f>
        <v>7.7097184891781009E-2</v>
      </c>
      <c r="AB224" s="350">
        <f>AB191/AB17/4</f>
        <v>0.1040683962264151</v>
      </c>
      <c r="AC224" s="350">
        <f>AC191/AC17/4</f>
        <v>9.8344370860927163E-2</v>
      </c>
      <c r="AD224" s="350">
        <f>AD191/AD17/2</f>
        <v>9.2638802245789131E-2</v>
      </c>
      <c r="AE224" s="350">
        <f>AE191/AE17</f>
        <v>7.5012628388617608E-2</v>
      </c>
      <c r="AF224" s="350">
        <f>AF191/AF17/4</f>
        <v>7.6477704804700994E-2</v>
      </c>
      <c r="AG224" s="350">
        <f>AG191/AG17/4</f>
        <v>7.9485488126649087E-2</v>
      </c>
      <c r="AH224" s="350">
        <f>AH191/AH17/2</f>
        <v>8.1350210970464146E-2</v>
      </c>
      <c r="AI224" s="350">
        <f>AI191/AI17/4</f>
        <v>7.1048632218844984E-2</v>
      </c>
      <c r="AJ224" s="350">
        <f>AJ191/AJ17/4</f>
        <v>9.1660610465116282E-2</v>
      </c>
      <c r="AK224" s="350">
        <f>AK191/AK17/2</f>
        <v>9.370356612184251E-2</v>
      </c>
      <c r="AL224" s="350">
        <f>AL191/AL17</f>
        <v>8.9220974445132217E-2</v>
      </c>
      <c r="AM224" s="350">
        <f>AM191/AM17/4</f>
        <v>7.3964968152866253E-2</v>
      </c>
      <c r="AN224" s="350">
        <f>AN191/AN17/4</f>
        <v>8.2543027748507192E-2</v>
      </c>
      <c r="AO224" s="350">
        <f>AO191/AO17/2</f>
        <v>7.8503424085518622E-2</v>
      </c>
      <c r="AP224" s="350">
        <f>AP191/AP17/4</f>
        <v>8.9408284863859308E-2</v>
      </c>
      <c r="AQ224" s="350">
        <f>AQ191/AQ17/4</f>
        <v>9.758001691181574E-2</v>
      </c>
      <c r="AR224" s="350">
        <f>AR191/AR17/2</f>
        <v>9.6486216204320671E-2</v>
      </c>
      <c r="AS224" s="350">
        <f>AS191/AS17</f>
        <v>9.2515778415029643E-2</v>
      </c>
      <c r="AT224" s="350">
        <f>AT191/AT17/4</f>
        <v>7.9461710990067283E-2</v>
      </c>
      <c r="AU224" s="350">
        <f>AU191/AU17/4</f>
        <v>7.6336454243430982E-2</v>
      </c>
      <c r="AV224" s="350">
        <f>AV191/AV17/2</f>
        <v>7.8591417910447756E-2</v>
      </c>
      <c r="AW224" s="350">
        <f>AW191/AW17/4</f>
        <v>9.1036906854130045E-2</v>
      </c>
      <c r="AX224" s="398">
        <f>AQ224</f>
        <v>9.758001691181574E-2</v>
      </c>
      <c r="AY224" s="350">
        <f>AY191/AY17/2</f>
        <v>7.7515486355265353E-2</v>
      </c>
      <c r="AZ224" s="350">
        <f>AZ191/AZ$17</f>
        <v>7.464731962918178E-2</v>
      </c>
      <c r="BA224" s="350">
        <f>BA191/BA17/4</f>
        <v>6.9170832108203489E-2</v>
      </c>
      <c r="BB224" s="350">
        <f>BB191/BB17/4</f>
        <v>7.1631311622348384E-2</v>
      </c>
      <c r="BC224" s="350">
        <f>BC191/BC17/2</f>
        <v>7.1058091286307051E-2</v>
      </c>
      <c r="BD224" s="350">
        <f>BD191/BD17/4</f>
        <v>6.8635088812714226E-2</v>
      </c>
      <c r="BE224" s="398">
        <f>AX224</f>
        <v>9.758001691181574E-2</v>
      </c>
      <c r="BF224" s="350">
        <f>BF191/BF17/2</f>
        <v>7.5322481572481559E-2</v>
      </c>
      <c r="BG224" s="350">
        <f>BG191/BG$17</f>
        <v>7.3981900452488689E-2</v>
      </c>
      <c r="BH224" s="350">
        <f>BH191/BH17/4</f>
        <v>7.5141015310233691E-2</v>
      </c>
      <c r="BI224" s="350">
        <f>BI191/BI17/4</f>
        <v>8.1165519000255024E-2</v>
      </c>
      <c r="BJ224" s="350">
        <f>BJ191/BJ17/2</f>
        <v>8.3267922553636839E-2</v>
      </c>
      <c r="BK224" s="350">
        <f>BK191/BK17/4</f>
        <v>8.5355530474040639E-2</v>
      </c>
      <c r="BL224" s="350">
        <f>BL191/BL17/4</f>
        <v>9.3445643590418528E-2</v>
      </c>
      <c r="BM224" s="350">
        <f>BM191/BM17/2</f>
        <v>9.669072586136454E-2</v>
      </c>
      <c r="BN224" s="350">
        <f>BN191/BN$17</f>
        <v>9.4748782277974244E-2</v>
      </c>
      <c r="BO224" s="350">
        <f>BO191/BO17/4</f>
        <v>9.0777051561365285E-2</v>
      </c>
      <c r="BP224" s="350">
        <f>BP191/BP17/4</f>
        <v>8.8101725703905523E-2</v>
      </c>
      <c r="BQ224" s="350">
        <f>BQ191/BQ17/2</f>
        <v>9.0919742237844173E-2</v>
      </c>
      <c r="BR224" s="350">
        <f>BR191/BR17/4</f>
        <v>8.7583719732096846E-2</v>
      </c>
      <c r="BS224" s="350">
        <f>BS191/BS17/4</f>
        <v>9.0163934426229497E-2</v>
      </c>
      <c r="BT224" s="350">
        <f>BT191/BT17/2</f>
        <v>9.3150684931506827E-2</v>
      </c>
      <c r="BU224" s="350">
        <f>BU191/BU$17</f>
        <v>9.0310896468457594E-2</v>
      </c>
      <c r="BV224" s="350">
        <f>BV191/BV17/4</f>
        <v>8.7238979118329479E-2</v>
      </c>
      <c r="BW224" s="350">
        <f>BW191/BW17/4</f>
        <v>8.1054036024016035E-2</v>
      </c>
      <c r="BX224" s="350">
        <f>BX191/BX17/2</f>
        <v>8.2775065288974686E-2</v>
      </c>
      <c r="BY224" s="350">
        <f>BY191/BY17/4</f>
        <v>8.219095719095719E-2</v>
      </c>
      <c r="BZ224" s="350">
        <f>BZ191/BZ17/4</f>
        <v>7.3288776215717888E-2</v>
      </c>
      <c r="CA224" s="350">
        <f>CA191/CA17/2</f>
        <v>7.4849947040131815E-2</v>
      </c>
      <c r="CB224" s="350">
        <f>CB191/CB$17</f>
        <v>7.3509015256588081E-2</v>
      </c>
      <c r="CC224" s="350">
        <f>CC191/CC17/4</f>
        <v>7.9297693920335421E-2</v>
      </c>
      <c r="CD224" s="350">
        <f>CD191/CD17/4</f>
        <v>7.384646383235946E-2</v>
      </c>
      <c r="CE224" s="350">
        <f>CE191/CE17/2</f>
        <v>7.5310798315010793E-2</v>
      </c>
      <c r="CF224" s="350">
        <f>CF191/CF17/4</f>
        <v>9.3310632688927961E-2</v>
      </c>
      <c r="CG224" s="398">
        <f>BZ224</f>
        <v>7.3288776215717888E-2</v>
      </c>
      <c r="CH224" s="350">
        <f>CH191/CH17/2</f>
        <v>9.1354254422914921E-2</v>
      </c>
      <c r="CI224" s="350">
        <f>CI191/CI$17</f>
        <v>9.0228301003692349E-2</v>
      </c>
      <c r="CJ224" s="350">
        <f>CJ191/CJ17/4</f>
        <v>7.2918377401872222E-2</v>
      </c>
      <c r="CK224" s="350">
        <f>CK191/CK17/4</f>
        <v>7.161295369211515E-2</v>
      </c>
      <c r="CL224" s="350">
        <f>CL191/CL17/2</f>
        <v>7.3351494271292367E-2</v>
      </c>
      <c r="CM224" s="350">
        <f>CM191/CM17/4</f>
        <v>7.8785357737104822E-2</v>
      </c>
      <c r="CN224" s="350">
        <f>CN191/CN17/4</f>
        <v>7.6524148851939824E-2</v>
      </c>
      <c r="CO224" s="350">
        <f>CO191/CO17/2</f>
        <v>7.8417849898580125E-2</v>
      </c>
      <c r="CP224" s="350">
        <f>CP191/CP$17</f>
        <v>7.7924695638152075E-2</v>
      </c>
      <c r="CQ224" s="350">
        <f>CQ191/CQ17/4</f>
        <v>9.9163083538083535E-2</v>
      </c>
      <c r="CR224" s="350">
        <f>CR191/CR17/4</f>
        <v>0.10644485807352258</v>
      </c>
      <c r="CS224" s="350">
        <f>CS191/CS17/2</f>
        <v>0.10591094991897522</v>
      </c>
      <c r="CT224" s="350">
        <f>CT191/CT17/4</f>
        <v>0.11727815699658704</v>
      </c>
      <c r="CU224" s="350">
        <f>CU191/CU17/4</f>
        <v>0.10223271446862997</v>
      </c>
      <c r="CV224" s="350">
        <f>CV191/CV17/2</f>
        <v>0.10550875454245127</v>
      </c>
      <c r="CW224" s="350">
        <f>CW191/CW$17</f>
        <v>0.10192683607930747</v>
      </c>
      <c r="CX224" s="350">
        <f>CX191/CX17/4</f>
        <v>0.11140724946695098</v>
      </c>
      <c r="CY224" s="350">
        <f>CY191/CY17/4</f>
        <v>0.10004544077552256</v>
      </c>
      <c r="CZ224" s="350">
        <f>CZ191/CZ17/2</f>
        <v>0.10031895504252734</v>
      </c>
      <c r="DA224" s="350">
        <f>DA191/DA17/4</f>
        <v>0.10973731149667584</v>
      </c>
      <c r="DB224" s="350">
        <f>DB191/DB17/4</f>
        <v>0.10199762364473489</v>
      </c>
      <c r="DC224" s="350">
        <f>DC191/DC17/2</f>
        <v>0.10647286821705428</v>
      </c>
      <c r="DD224" s="573">
        <f>DD191/DD$17</f>
        <v>0.10537824152217276</v>
      </c>
      <c r="DE224" s="350">
        <f>DE191/DE17/4</f>
        <v>0.10937749401436553</v>
      </c>
      <c r="DF224" s="350">
        <f>DF191/DF17/4</f>
        <v>9.8744911804613283E-2</v>
      </c>
      <c r="DG224" s="350">
        <f>DG191/DG17/2</f>
        <v>0.10674734140080676</v>
      </c>
      <c r="DH224" s="350">
        <f>DH191/DH17/4</f>
        <v>0.11261169780666125</v>
      </c>
      <c r="DI224" s="350">
        <f>DI191/DI17/4</f>
        <v>9.5152491941482745E-2</v>
      </c>
      <c r="DJ224" s="350">
        <f>DJ191/DJ17/2</f>
        <v>9.9339891276210207E-2</v>
      </c>
      <c r="DK224" s="573">
        <f>DK191/DK$17</f>
        <v>0.10554543266751469</v>
      </c>
      <c r="DL224" s="351">
        <f>DL191/DL17/4</f>
        <v>0.10385299347954947</v>
      </c>
      <c r="DM224" s="350">
        <f>DM191/DM17/4</f>
        <v>9.8400132860938891E-2</v>
      </c>
      <c r="DN224" s="350">
        <f>DN191/DN17/2</f>
        <v>0.10176332512738305</v>
      </c>
      <c r="DO224" s="350">
        <f>DO191/DO17/4</f>
        <v>0.1081111111111111</v>
      </c>
      <c r="DP224" s="350">
        <f>DP191/DP17/4</f>
        <v>0.11828512396694214</v>
      </c>
      <c r="DQ224" s="350">
        <f>DQ191/DQ17/2</f>
        <v>0.12259100642398288</v>
      </c>
      <c r="DR224" s="573">
        <f>DR191/DR$17</f>
        <v>0.12670484410877803</v>
      </c>
      <c r="DS224" s="350">
        <f>DS191/DS17/4</f>
        <v>0.11919388672460292</v>
      </c>
      <c r="DT224" s="350">
        <f>DT191/DT17/4</f>
        <v>0.10520248596631915</v>
      </c>
      <c r="DU224" s="350">
        <f>DU191/DU17/2</f>
        <v>0.10501826187021562</v>
      </c>
      <c r="DV224" s="350">
        <f>DV191/DV17/4</f>
        <v>0.11515450743494425</v>
      </c>
      <c r="DW224" s="350">
        <f>DW191/DW17/4</f>
        <v>0.10562881429816914</v>
      </c>
      <c r="DX224" s="350">
        <f>DX191/DX17/2</f>
        <v>0.10900247413405309</v>
      </c>
      <c r="DY224" s="573">
        <f>DY191/DY$17</f>
        <v>0.10264488628842232</v>
      </c>
      <c r="DZ224" s="350">
        <f>DZ191/DZ17/4</f>
        <v>0.10421251178874569</v>
      </c>
      <c r="EA224" s="350">
        <f>EA191/EA17/4</f>
        <v>0.10379955947136564</v>
      </c>
      <c r="EB224" s="350">
        <f>EB191/EB17/2</f>
        <v>0.106164558906354</v>
      </c>
      <c r="EC224" s="350">
        <f>EC191/EC17/4</f>
        <v>0.11245144142302188</v>
      </c>
      <c r="ED224" s="350">
        <f>ED191/ED17/4</f>
        <v>0.11524875621890544</v>
      </c>
      <c r="EE224" s="350">
        <f>EE191/EE17/2</f>
        <v>0.11680617184348527</v>
      </c>
      <c r="EF224" s="573">
        <f>EF191/EF$17</f>
        <v>0.11769936234534971</v>
      </c>
      <c r="EG224" s="350">
        <f>EG191/EG17/4</f>
        <v>0.11223409617905032</v>
      </c>
      <c r="EH224" s="350">
        <f>EH191/EH17/4</f>
        <v>0.10720233139050792</v>
      </c>
      <c r="EI224" s="350">
        <f>EI191/EI17/2</f>
        <v>0.10549495570236084</v>
      </c>
      <c r="EJ224" s="350">
        <f>EJ191/EJ17/4</f>
        <v>0.10256477499213261</v>
      </c>
      <c r="EK224" s="350">
        <f>EK191/EK17/4</f>
        <v>0.11487390633041684</v>
      </c>
      <c r="EL224" s="350">
        <f>EL191/EL17/2</f>
        <v>0.11596009975062342</v>
      </c>
      <c r="EM224" s="573">
        <f>EM191/EM$17</f>
        <v>0.11512572533849127</v>
      </c>
      <c r="EN224" s="350">
        <f>EN191/EN17/4</f>
        <v>0.13959884431603511</v>
      </c>
      <c r="EO224" s="350">
        <f>EO191/EO17/4</f>
        <v>0.12958520352886549</v>
      </c>
      <c r="EP224" s="350">
        <f>EP191/EP17/2</f>
        <v>0.17295873573309919</v>
      </c>
      <c r="EQ224" s="351">
        <f>EQ191/EQ17/4</f>
        <v>0.1345378286820455</v>
      </c>
      <c r="ER224" s="398">
        <f t="shared" si="780"/>
        <v>0.11487390633041684</v>
      </c>
      <c r="ES224" s="350">
        <f>ES191/ES17/2</f>
        <v>0.11929344383866407</v>
      </c>
      <c r="ET224" s="573">
        <f>ET191/ET$17</f>
        <v>0.13417119726471191</v>
      </c>
      <c r="EU224" s="398">
        <f t="shared" si="781"/>
        <v>0.13959884431603511</v>
      </c>
      <c r="EV224" s="398">
        <f t="shared" si="781"/>
        <v>0.12958520352886549</v>
      </c>
      <c r="EW224" s="350">
        <f>EW191/EW17/2</f>
        <v>0.13235330187107774</v>
      </c>
      <c r="EX224" s="398">
        <f t="shared" si="782"/>
        <v>0.1345378286820455</v>
      </c>
      <c r="EY224" s="398">
        <f t="shared" si="782"/>
        <v>0.11487390633041684</v>
      </c>
      <c r="EZ224" s="350">
        <f>EZ191/EZ17/2</f>
        <v>0.12024867628195121</v>
      </c>
      <c r="FA224" s="573">
        <f>FA191/FA$17</f>
        <v>0.12184080161850316</v>
      </c>
      <c r="FB224" s="398">
        <f t="shared" si="783"/>
        <v>0.13959884431603511</v>
      </c>
      <c r="FC224" s="398">
        <f t="shared" si="783"/>
        <v>0.12958520352886549</v>
      </c>
      <c r="FD224" s="350">
        <f>FD191/FD17/2</f>
        <v>0.13317797214633673</v>
      </c>
      <c r="FE224" s="398">
        <f t="shared" si="784"/>
        <v>0.1345378286820455</v>
      </c>
      <c r="FF224" s="398">
        <f t="shared" si="784"/>
        <v>0.11487390633041684</v>
      </c>
      <c r="FG224" s="350">
        <f>FG191/FG17/2</f>
        <v>0.11984972902054136</v>
      </c>
      <c r="FH224" s="573">
        <f>FH191/FH$17</f>
        <v>0.12157607370733073</v>
      </c>
      <c r="FI224" s="398">
        <f t="shared" si="785"/>
        <v>0.13959884431603511</v>
      </c>
      <c r="FJ224" s="398">
        <f t="shared" si="785"/>
        <v>0.12958520352886549</v>
      </c>
      <c r="FK224" s="350">
        <f>FK191/FK17/2</f>
        <v>0.13288465177770861</v>
      </c>
      <c r="FL224" s="398">
        <f t="shared" si="786"/>
        <v>0.1345378286820455</v>
      </c>
      <c r="FM224" s="398">
        <f t="shared" si="786"/>
        <v>0.11487390633041684</v>
      </c>
      <c r="FN224" s="350">
        <f>FN191/FN17/2</f>
        <v>0.11948126378126163</v>
      </c>
      <c r="FO224" s="573">
        <f>FO191/FO$17</f>
        <v>0.12077211038175387</v>
      </c>
      <c r="FP224" s="398">
        <f t="shared" si="787"/>
        <v>0.13959884431603511</v>
      </c>
      <c r="FQ224" s="398">
        <f t="shared" si="787"/>
        <v>0.12958520352886549</v>
      </c>
      <c r="FR224" s="350">
        <f>FR191/FR17/2</f>
        <v>0.13330777584691375</v>
      </c>
      <c r="FS224" s="398">
        <f t="shared" si="788"/>
        <v>0.1345378286820455</v>
      </c>
      <c r="FT224" s="398">
        <f t="shared" si="788"/>
        <v>0.11487390633041684</v>
      </c>
      <c r="FU224" s="350">
        <f>FU191/FU17/2</f>
        <v>0.11927748633381682</v>
      </c>
      <c r="FV224" s="573">
        <f>FV191/FV$17</f>
        <v>0.12083570567034986</v>
      </c>
    </row>
    <row r="225" spans="2:178" outlineLevel="1" x14ac:dyDescent="0.3">
      <c r="B225" s="501" t="s">
        <v>559</v>
      </c>
      <c r="C225" s="280" t="s">
        <v>560</v>
      </c>
      <c r="D225" s="281">
        <f t="shared" ref="D225:E227" si="789">365/(D$17/D228)/4</f>
        <v>26.430509181969949</v>
      </c>
      <c r="E225" s="281">
        <f t="shared" si="789"/>
        <v>26.53797720042418</v>
      </c>
      <c r="F225" s="281">
        <f>365/(F$17/F228)/2</f>
        <v>27.179269617159925</v>
      </c>
      <c r="G225" s="281">
        <f t="shared" ref="G225:H227" si="790">365/(G$17/G228)/4</f>
        <v>28.756203473945412</v>
      </c>
      <c r="H225" s="281">
        <f t="shared" si="790"/>
        <v>29.072456320657761</v>
      </c>
      <c r="I225" s="281">
        <f>365/(I$17/I228)/2</f>
        <v>30.097087378640779</v>
      </c>
      <c r="J225" s="281">
        <f>365/(J$17/J228)</f>
        <v>30.406449445750756</v>
      </c>
      <c r="K225" s="281">
        <f t="shared" ref="K225:L227" si="791">365/(K$17/K228)/4</f>
        <v>30.06528279181709</v>
      </c>
      <c r="L225" s="281">
        <f t="shared" si="791"/>
        <v>31.540471560525031</v>
      </c>
      <c r="M225" s="281">
        <f>365/(M$17/M228)/2</f>
        <v>31.384085137259643</v>
      </c>
      <c r="N225" s="281">
        <f t="shared" ref="N225:O227" si="792">365/(N$17/N228)/4</f>
        <v>39.264995775837804</v>
      </c>
      <c r="O225" s="281">
        <f t="shared" si="792"/>
        <v>37.31920199501247</v>
      </c>
      <c r="P225" s="281">
        <f>365/(P$17/P228)/2</f>
        <v>37.621508379888276</v>
      </c>
      <c r="Q225" s="281">
        <f>365/(Q$17/Q228)</f>
        <v>34.917363406572036</v>
      </c>
      <c r="R225" s="281">
        <f t="shared" ref="R225:S227" si="793">365/(R$17/R228)/4</f>
        <v>28.725259189443921</v>
      </c>
      <c r="S225" s="281">
        <f t="shared" si="793"/>
        <v>31.859138682389123</v>
      </c>
      <c r="T225" s="281">
        <f>365/(T$17/T228)/2</f>
        <v>30.51749539594843</v>
      </c>
      <c r="U225" s="281">
        <f t="shared" ref="U225:V227" si="794">365/(U$17/U228)/4</f>
        <v>41.74941417691857</v>
      </c>
      <c r="V225" s="281">
        <f t="shared" si="794"/>
        <v>52.40532118887824</v>
      </c>
      <c r="W225" s="281">
        <f>365/(W$17/W228)/2</f>
        <v>50.122650160476844</v>
      </c>
      <c r="X225" s="281">
        <f>365/(X$17/X228)</f>
        <v>44.655841503267965</v>
      </c>
      <c r="Y225" s="281">
        <f t="shared" ref="Y225:Z227" si="795">365/(Y$17/Y228)/4</f>
        <v>39.75</v>
      </c>
      <c r="Z225" s="281">
        <f t="shared" si="795"/>
        <v>40.674173735010243</v>
      </c>
      <c r="AA225" s="281">
        <f>365/(AA$17/AA228)/2</f>
        <v>39.345027585231286</v>
      </c>
      <c r="AB225" s="281">
        <f t="shared" ref="AB225:AC227" si="796">365/(AB$17/AB228)/4</f>
        <v>52.081367924528294</v>
      </c>
      <c r="AC225" s="281">
        <f t="shared" si="796"/>
        <v>51.929911699779254</v>
      </c>
      <c r="AD225" s="281">
        <f>365/(AD$17/AD228)/2</f>
        <v>48.917134539405282</v>
      </c>
      <c r="AE225" s="281">
        <f>365/(AE$17/AE228)</f>
        <v>39.60978279171578</v>
      </c>
      <c r="AF225" s="281">
        <f t="shared" ref="AF225:AG227" si="797">365/(AF$17/AF228)/4</f>
        <v>40.783356377462844</v>
      </c>
      <c r="AG225" s="281">
        <f t="shared" si="797"/>
        <v>38.642810026385234</v>
      </c>
      <c r="AH225" s="281">
        <f>365/(AH$17/AH228)/2</f>
        <v>39.549367088607596</v>
      </c>
      <c r="AI225" s="281">
        <f t="shared" ref="AI225:AJ227" si="798">365/(AI$17/AI228)/4</f>
        <v>46.214380699088153</v>
      </c>
      <c r="AJ225" s="281">
        <f t="shared" si="798"/>
        <v>49.438135901162788</v>
      </c>
      <c r="AK225" s="281">
        <f>365/(AK$17/AK228)/2</f>
        <v>50.540026002971771</v>
      </c>
      <c r="AL225" s="281">
        <f>365/(AL$17/AL228)</f>
        <v>48.122291979839069</v>
      </c>
      <c r="AM225" s="281">
        <f t="shared" ref="AM225:AN227" si="799">365/(AM$17/AM228)/4</f>
        <v>45.014729299363054</v>
      </c>
      <c r="AN225" s="281">
        <f t="shared" si="799"/>
        <v>47.019230769230759</v>
      </c>
      <c r="AO225" s="281">
        <f>365/(AO$17/AO228)/2</f>
        <v>44.718139301820607</v>
      </c>
      <c r="AP225" s="281">
        <f t="shared" ref="AP225:AQ227" si="800">365/(AP$17/AP228)/4</f>
        <v>50.767674208328692</v>
      </c>
      <c r="AQ225" s="281">
        <f t="shared" si="800"/>
        <v>54.061071869447908</v>
      </c>
      <c r="AR225" s="281">
        <f>365/(AR$17/AR228)/2</f>
        <v>53.455086745340154</v>
      </c>
      <c r="AS225" s="281">
        <f>365/(AS$17/AS228)</f>
        <v>51.255393309398116</v>
      </c>
      <c r="AT225" s="281">
        <f t="shared" ref="AT225:AU227" si="801">365/(AT$17/AT228)/4</f>
        <v>49.820570330022427</v>
      </c>
      <c r="AU225" s="281">
        <f t="shared" si="801"/>
        <v>46.272651766837811</v>
      </c>
      <c r="AV225" s="281">
        <f>365/(AV$17/AV228)/2</f>
        <v>47.63953669154229</v>
      </c>
      <c r="AW225" s="281">
        <f t="shared" ref="AW225:AX227" si="802">365/(AW$17/AW228)/4</f>
        <v>57.444200351493848</v>
      </c>
      <c r="AX225" s="281">
        <f t="shared" si="802"/>
        <v>54.061071869447915</v>
      </c>
      <c r="AY225" s="281">
        <f>365/(AY$17/AY228)/2</f>
        <v>56.622478756950635</v>
      </c>
      <c r="AZ225" s="281">
        <f>365/(AZ$17/AZ228)</f>
        <v>54.527378575617284</v>
      </c>
      <c r="BA225" s="281">
        <f t="shared" ref="BA225:BB227" si="803">365/(BA$17/BA228)/4</f>
        <v>50.360555718906227</v>
      </c>
      <c r="BB225" s="281">
        <f t="shared" si="803"/>
        <v>53.763071407230356</v>
      </c>
      <c r="BC225" s="281">
        <f>365/(BC$17/BC228)/2</f>
        <v>53.332839359810301</v>
      </c>
      <c r="BD225" s="281">
        <f t="shared" ref="BD225:BE227" si="804">365/(BD$17/BD228)/4</f>
        <v>51.440090370832039</v>
      </c>
      <c r="BE225" s="281">
        <f t="shared" si="804"/>
        <v>54.061071869447908</v>
      </c>
      <c r="BF225" s="281">
        <f>365/(BF$17/BF228)/2</f>
        <v>54.841437464615005</v>
      </c>
      <c r="BG225" s="281">
        <f>365/(BG$17/BG228)</f>
        <v>53.865375681685201</v>
      </c>
      <c r="BH225" s="281">
        <f t="shared" ref="BH225:BI227" si="805">365/(BH$17/BH228)/4</f>
        <v>41.617647058823536</v>
      </c>
      <c r="BI225" s="281">
        <f t="shared" si="805"/>
        <v>39.35316245855649</v>
      </c>
      <c r="BJ225" s="281">
        <f>365/(BJ$17/BJ228)/2</f>
        <v>40.372514390371535</v>
      </c>
      <c r="BK225" s="281">
        <f t="shared" ref="BK225:BL227" si="806">365/(BK$17/BK228)/4</f>
        <v>47.504585214446955</v>
      </c>
      <c r="BL225" s="281">
        <f t="shared" si="806"/>
        <v>45.805146091076594</v>
      </c>
      <c r="BM225" s="281">
        <f>365/(BM$17/BM228)/2</f>
        <v>47.395819147487387</v>
      </c>
      <c r="BN225" s="281">
        <f>365/(BN$17/BN228)</f>
        <v>46.443918062320677</v>
      </c>
      <c r="BO225" s="281">
        <f t="shared" ref="BO225:BP227" si="807">365/(BO$17/BO228)/4</f>
        <v>45.194262890341321</v>
      </c>
      <c r="BP225" s="281">
        <f t="shared" si="807"/>
        <v>41.377440962761121</v>
      </c>
      <c r="BQ225" s="281">
        <f>365/(BQ$17/BQ228)/2</f>
        <v>42.700937316930286</v>
      </c>
      <c r="BR225" s="281">
        <f t="shared" ref="BR225:BS227" si="808">365/(BR$17/BR228)/4</f>
        <v>51.125386398763517</v>
      </c>
      <c r="BS225" s="281">
        <f t="shared" si="808"/>
        <v>47.95684667309547</v>
      </c>
      <c r="BT225" s="281">
        <f>365/(BT$17/BT228)/2</f>
        <v>49.54545454545454</v>
      </c>
      <c r="BU225" s="281">
        <f>365/(BU$17/BU228)</f>
        <v>48.03501358285542</v>
      </c>
      <c r="BV225" s="281">
        <f t="shared" ref="BV225:BW227" si="809">365/(BV$17/BV228)/4</f>
        <v>43.952436194895597</v>
      </c>
      <c r="BW225" s="281">
        <f t="shared" si="809"/>
        <v>38.107071380920623</v>
      </c>
      <c r="BX225" s="281">
        <f>365/(BX$17/BX228)/2</f>
        <v>38.916203020324744</v>
      </c>
      <c r="BY225" s="281">
        <f t="shared" ref="BY225:BZ227" si="810">365/(BY$17/BY228)/4</f>
        <v>42.552609427609433</v>
      </c>
      <c r="BZ225" s="281">
        <f t="shared" si="810"/>
        <v>40.588269186448478</v>
      </c>
      <c r="CA225" s="281">
        <f>365/(CA$17/CA228)/2</f>
        <v>41.452865717311994</v>
      </c>
      <c r="CB225" s="281">
        <f>365/(CB$17/CB228)</f>
        <v>40.710240406842352</v>
      </c>
      <c r="CC225" s="281">
        <f t="shared" ref="CC225:CD227" si="811">365/(CC$17/CC228)/4</f>
        <v>35.581761006289305</v>
      </c>
      <c r="CD225" s="281">
        <f t="shared" si="811"/>
        <v>32.543320572234535</v>
      </c>
      <c r="CE225" s="281">
        <f>365/(CE$17/CE228)/2</f>
        <v>33.188636597143741</v>
      </c>
      <c r="CF225" s="281">
        <f t="shared" ref="CF225:CG227" si="812">365/(CF$17/CF228)/4</f>
        <v>38.368299648506159</v>
      </c>
      <c r="CG225" s="281">
        <f t="shared" si="812"/>
        <v>40.193299648506162</v>
      </c>
      <c r="CH225" s="281">
        <f>365/(CH$17/CH228)/2</f>
        <v>41.852500729194297</v>
      </c>
      <c r="CI225" s="281">
        <f>365/(CI$17/CI228)</f>
        <v>41.336663053141507</v>
      </c>
      <c r="CJ225" s="281">
        <f t="shared" ref="CJ225:CK227" si="813">365/(CJ$17/CJ228)/4</f>
        <v>32.175028740351451</v>
      </c>
      <c r="CK225" s="281">
        <f t="shared" si="813"/>
        <v>33.005319148936174</v>
      </c>
      <c r="CL225" s="281">
        <f>365/(CL$17/CL228)/2</f>
        <v>33.806586010736318</v>
      </c>
      <c r="CM225" s="281">
        <f t="shared" ref="CM225:CN227" si="814">365/(CM$17/CM228)/4</f>
        <v>38.276414309484196</v>
      </c>
      <c r="CN225" s="281">
        <f t="shared" si="814"/>
        <v>36.947941409342839</v>
      </c>
      <c r="CO225" s="281">
        <f>365/(CO$17/CO228)/2</f>
        <v>37.862271805273835</v>
      </c>
      <c r="CP225" s="320">
        <f>365/(CP$17/CP228)</f>
        <v>37.624163508828516</v>
      </c>
      <c r="CQ225" s="320">
        <f t="shared" ref="CQ225:CR227" si="815">365/(CQ$17/CQ228)/4</f>
        <v>40.328240171990174</v>
      </c>
      <c r="CR225" s="320">
        <f t="shared" si="815"/>
        <v>40.734837909105018</v>
      </c>
      <c r="CS225" s="320">
        <f>365/(CS$17/CS228)/2</f>
        <v>40.530519330195233</v>
      </c>
      <c r="CT225" s="320">
        <f t="shared" ref="CT225:CU227" si="816">365/(CT$17/CT228)/4</f>
        <v>49.113054607508538</v>
      </c>
      <c r="CU225" s="320">
        <f t="shared" si="816"/>
        <v>46.355233674775931</v>
      </c>
      <c r="CV225" s="320">
        <f>365/(CV$17/CV228)/2</f>
        <v>47.840683845391474</v>
      </c>
      <c r="CW225" s="320">
        <f>365/(CW$17/CW228)</f>
        <v>46.216539673674554</v>
      </c>
      <c r="CX225" s="320">
        <f t="shared" ref="CX225:CY227" si="817">365/(CX$17/CX228)/4</f>
        <v>43.318039902528177</v>
      </c>
      <c r="CY225" s="320">
        <f t="shared" si="817"/>
        <v>42.902150863374729</v>
      </c>
      <c r="CZ225" s="320">
        <f>365/(CZ$17/CZ228)/2</f>
        <v>43.019441069258811</v>
      </c>
      <c r="DA225" s="320">
        <f t="shared" ref="DA225:DB227" si="818">365/(DA$17/DA228)/4</f>
        <v>48.754459218420621</v>
      </c>
      <c r="DB225" s="320">
        <f t="shared" si="818"/>
        <v>41.3491385712164</v>
      </c>
      <c r="DC225" s="320">
        <f>365/(DC$17/DC228)/2</f>
        <v>43.163372093023263</v>
      </c>
      <c r="DD225" s="583">
        <f>365/(DD$17/DD228)</f>
        <v>42.71961792235691</v>
      </c>
      <c r="DE225" s="320">
        <f t="shared" ref="DE225:DF227" si="819">365/(DE$17/DE228)/4</f>
        <v>37.650638467677574</v>
      </c>
      <c r="DF225" s="320">
        <f t="shared" si="819"/>
        <v>28.501696065128897</v>
      </c>
      <c r="DG225" s="320">
        <f>365/(DG$17/DG228)/2</f>
        <v>30.81151448478181</v>
      </c>
      <c r="DH225" s="320">
        <f t="shared" ref="DH225:DI227" si="820">365/(DH$17/DH228)/4</f>
        <v>28.427599512591389</v>
      </c>
      <c r="DI225" s="320">
        <f t="shared" si="820"/>
        <v>24.696100917431192</v>
      </c>
      <c r="DJ225" s="320">
        <f>365/(DJ$17/DJ228)/2</f>
        <v>25.782908361377171</v>
      </c>
      <c r="DK225" s="583">
        <f>365/(DK$17/DK228)</f>
        <v>27.393509127789045</v>
      </c>
      <c r="DL225" s="344">
        <f t="shared" ref="DL225:DM227" si="821">365/(DL$17/DL228)/4</f>
        <v>24.535269709543567</v>
      </c>
      <c r="DM225" s="320">
        <f t="shared" si="821"/>
        <v>24.1662976085031</v>
      </c>
      <c r="DN225" s="320">
        <f>365/(DN$17/DN228)/2</f>
        <v>24.992271139863735</v>
      </c>
      <c r="DO225" s="320">
        <f t="shared" ref="DO225:DP227" si="822">365/(DO$17/DO228)/4</f>
        <v>27.385138888888889</v>
      </c>
      <c r="DP225" s="320">
        <f t="shared" si="822"/>
        <v>26.366348140495866</v>
      </c>
      <c r="DQ225" s="320">
        <f>365/(DQ$17/DQ228)/2</f>
        <v>27.326150963597431</v>
      </c>
      <c r="DR225" s="583">
        <f>365/(DR$17/DR228)</f>
        <v>28.243146042548478</v>
      </c>
      <c r="DS225" s="320">
        <f t="shared" ref="DS225:DT227" si="823">365/(DS$17/DS228)/4</f>
        <v>27.153506143242424</v>
      </c>
      <c r="DT225" s="320">
        <f t="shared" si="823"/>
        <v>29.288542502004805</v>
      </c>
      <c r="DU225" s="320">
        <f>365/(DU$17/DU228)/2</f>
        <v>29.237254215239904</v>
      </c>
      <c r="DV225" s="320">
        <f t="shared" ref="DV225:DW227" si="824">365/(DV$17/DV228)/4</f>
        <v>39.370643587360597</v>
      </c>
      <c r="DW225" s="320">
        <f t="shared" si="824"/>
        <v>34.228694420226681</v>
      </c>
      <c r="DX225" s="320">
        <f>365/(DX$17/DX228)/2</f>
        <v>35.321918578497524</v>
      </c>
      <c r="DY225" s="583">
        <f>365/(DY$17/DY228)</f>
        <v>33.261761669005317</v>
      </c>
      <c r="DZ225" s="320">
        <f t="shared" ref="DZ225:EA227" si="825">365/(DZ$17/DZ228)/4</f>
        <v>29.842947710363624</v>
      </c>
      <c r="EA225" s="320">
        <f t="shared" si="825"/>
        <v>27.106402683219862</v>
      </c>
      <c r="EB225" s="320">
        <f>365/(EB$17/EB228)/2</f>
        <v>27.724002867236702</v>
      </c>
      <c r="EC225" s="320">
        <f t="shared" ref="EC225:ED227" si="826">365/(EC$17/EC228)/4</f>
        <v>29.981343283582092</v>
      </c>
      <c r="ED225" s="320">
        <f t="shared" si="826"/>
        <v>30.670895522388054</v>
      </c>
      <c r="EE225" s="320">
        <f>365/(EE$17/EE228)/2</f>
        <v>31.08536708350141</v>
      </c>
      <c r="EF225" s="583">
        <f>365/(EF$17/EF228)</f>
        <v>31.323069887965858</v>
      </c>
      <c r="EG225" s="320">
        <f t="shared" ref="EG225:EH227" si="827">365/(EG$17/EG228)/4</f>
        <v>33.946214336122601</v>
      </c>
      <c r="EH225" s="320">
        <f t="shared" si="827"/>
        <v>35.396414446294756</v>
      </c>
      <c r="EI225" s="320">
        <f>365/(EI$17/EI228)/2</f>
        <v>34.832667588467253</v>
      </c>
      <c r="EJ225" s="320">
        <f t="shared" ref="EJ225:EK227" si="828">365/(EJ$17/EJ228)/4</f>
        <v>33.530761565089691</v>
      </c>
      <c r="EK225" s="320">
        <f t="shared" si="828"/>
        <v>32.602032938754498</v>
      </c>
      <c r="EL225" s="320">
        <f>365/(EL$17/EL228)/2</f>
        <v>32.910302369077307</v>
      </c>
      <c r="EM225" s="583">
        <f>365/(EM$17/EM228)</f>
        <v>32.673500967117988</v>
      </c>
      <c r="EN225" s="320">
        <f t="shared" ref="EN225:EO225" si="829">365/(EN$17/EN228)/4</f>
        <v>38.82611956884098</v>
      </c>
      <c r="EO225" s="320">
        <f t="shared" si="829"/>
        <v>45.053010369911775</v>
      </c>
      <c r="EP225" s="320">
        <f>365/(EP$17/EP228)/2</f>
        <v>60.132727366627073</v>
      </c>
      <c r="EQ225" s="344">
        <f t="shared" ref="EQ225" si="830">365/(EQ$17/EQ228)/4</f>
        <v>49.003266655912242</v>
      </c>
      <c r="ER225" s="320">
        <f t="shared" ref="ER225:ER227" si="831">365/(ER$17/ER228)/4</f>
        <v>32.602032938754498</v>
      </c>
      <c r="ES225" s="320">
        <f>365/(ES$17/ES228)/2</f>
        <v>33.85632916685956</v>
      </c>
      <c r="ET225" s="583">
        <f>365/(ET$17/ET228)</f>
        <v>38.078741573168124</v>
      </c>
      <c r="EU225" s="320">
        <f t="shared" ref="EU225:EV227" si="832">365/(EU$17/EU228)/4</f>
        <v>38.826119568840973</v>
      </c>
      <c r="EV225" s="320">
        <f t="shared" si="832"/>
        <v>45.053010369911775</v>
      </c>
      <c r="EW225" s="320">
        <f>365/(EW$17/EW228)/2</f>
        <v>46.015397740695541</v>
      </c>
      <c r="EX225" s="320">
        <f t="shared" ref="EX225:EY227" si="833">365/(EX$17/EX228)/4</f>
        <v>49.003266655912242</v>
      </c>
      <c r="EY225" s="320">
        <f t="shared" si="833"/>
        <v>32.602032938754498</v>
      </c>
      <c r="EZ225" s="320">
        <f>365/(EZ$17/EZ228)/2</f>
        <v>34.127430939011703</v>
      </c>
      <c r="FA225" s="583">
        <f>365/(FA$17/FA228)</f>
        <v>34.579287451278212</v>
      </c>
      <c r="FB225" s="320">
        <f t="shared" ref="FB225:FC227" si="834">365/(FB$17/FB228)/4</f>
        <v>38.82611956884098</v>
      </c>
      <c r="FC225" s="320">
        <f t="shared" si="834"/>
        <v>45.053010369911775</v>
      </c>
      <c r="FD225" s="320">
        <f>365/(FD$17/FD228)/2</f>
        <v>46.302111635887485</v>
      </c>
      <c r="FE225" s="320">
        <f t="shared" ref="FE225:FF227" si="835">365/(FE$17/FE228)/4</f>
        <v>49.003266655912242</v>
      </c>
      <c r="FF225" s="320">
        <f t="shared" si="835"/>
        <v>32.602032938754498</v>
      </c>
      <c r="FG225" s="320">
        <f>365/(FG$17/FG228)/2</f>
        <v>34.014206864260565</v>
      </c>
      <c r="FH225" s="583">
        <f>365/(FH$17/FH228)</f>
        <v>34.50415578425693</v>
      </c>
      <c r="FI225" s="320">
        <f t="shared" ref="FI225:FJ227" si="836">365/(FI$17/FI228)/4</f>
        <v>38.826119568840973</v>
      </c>
      <c r="FJ225" s="320">
        <f t="shared" si="836"/>
        <v>45.053010369911775</v>
      </c>
      <c r="FK225" s="320">
        <f>365/(FK$17/FK228)/2</f>
        <v>46.200132665683796</v>
      </c>
      <c r="FL225" s="320">
        <f t="shared" ref="FL225:FM227" si="837">365/(FL$17/FL228)/4</f>
        <v>49.003266655912242</v>
      </c>
      <c r="FM225" s="320">
        <f t="shared" si="837"/>
        <v>32.602032938754498</v>
      </c>
      <c r="FN225" s="320">
        <f>365/(FN$17/FN228)/2</f>
        <v>33.909633804533399</v>
      </c>
      <c r="FO225" s="583">
        <f>365/(FO$17/FO228)</f>
        <v>34.275985265300115</v>
      </c>
      <c r="FP225" s="320">
        <f t="shared" ref="FP225:FQ227" si="838">365/(FP$17/FP228)/4</f>
        <v>38.82611956884098</v>
      </c>
      <c r="FQ225" s="320">
        <f t="shared" si="838"/>
        <v>45.053010369911775</v>
      </c>
      <c r="FR225" s="320">
        <f>365/(FR$17/FR228)/2</f>
        <v>46.347240611332943</v>
      </c>
      <c r="FS225" s="320">
        <f t="shared" ref="FS225:FT227" si="839">365/(FS$17/FS228)/4</f>
        <v>49.003266655912242</v>
      </c>
      <c r="FT225" s="320">
        <f t="shared" si="839"/>
        <v>32.602032938754498</v>
      </c>
      <c r="FU225" s="320">
        <f>365/(FU$17/FU228)/2</f>
        <v>33.851800313308146</v>
      </c>
      <c r="FV225" s="583">
        <f>365/(FV$17/FV228)</f>
        <v>34.294034061234605</v>
      </c>
    </row>
    <row r="226" spans="2:178" outlineLevel="1" x14ac:dyDescent="0.3">
      <c r="B226" s="501" t="s">
        <v>561</v>
      </c>
      <c r="C226" s="280" t="s">
        <v>560</v>
      </c>
      <c r="D226" s="281">
        <f t="shared" si="789"/>
        <v>35.291457985531444</v>
      </c>
      <c r="E226" s="281">
        <f t="shared" si="789"/>
        <v>31.908470307529164</v>
      </c>
      <c r="F226" s="281">
        <f>365/(F$17/F229)/2</f>
        <v>32.679541134944337</v>
      </c>
      <c r="G226" s="281">
        <f t="shared" si="790"/>
        <v>31.473325062034743</v>
      </c>
      <c r="H226" s="281">
        <f t="shared" si="790"/>
        <v>35.918550873586845</v>
      </c>
      <c r="I226" s="281">
        <f>365/(I$17/I229)/2</f>
        <v>37.184466019417478</v>
      </c>
      <c r="J226" s="281">
        <f>365/(J$17/J229)</f>
        <v>37.566677863621095</v>
      </c>
      <c r="K226" s="281">
        <f t="shared" si="791"/>
        <v>34.699157641395914</v>
      </c>
      <c r="L226" s="281">
        <f t="shared" si="791"/>
        <v>34.956246961594552</v>
      </c>
      <c r="M226" s="281">
        <f>365/(M$17/M229)/2</f>
        <v>34.782924174628128</v>
      </c>
      <c r="N226" s="281">
        <f t="shared" si="792"/>
        <v>31.684384680371725</v>
      </c>
      <c r="O226" s="281">
        <f t="shared" si="792"/>
        <v>41.314075921307847</v>
      </c>
      <c r="P226" s="281">
        <f>365/(P$17/P229)/2</f>
        <v>41.648743016759781</v>
      </c>
      <c r="Q226" s="281">
        <f>365/(Q$17/Q229)</f>
        <v>38.655129950093972</v>
      </c>
      <c r="R226" s="281">
        <f t="shared" si="793"/>
        <v>36.164585296889726</v>
      </c>
      <c r="S226" s="281">
        <f t="shared" si="793"/>
        <v>40.022750576775181</v>
      </c>
      <c r="T226" s="281">
        <f>365/(T$17/T229)/2</f>
        <v>38.337323511356658</v>
      </c>
      <c r="U226" s="281">
        <f t="shared" si="794"/>
        <v>35.227738722905691</v>
      </c>
      <c r="V226" s="281">
        <f t="shared" si="794"/>
        <v>38.319750719079586</v>
      </c>
      <c r="W226" s="281">
        <f>365/(W$17/W229)/2</f>
        <v>36.650618982118296</v>
      </c>
      <c r="X226" s="281">
        <f>365/(X$17/X229)</f>
        <v>32.653186274509807</v>
      </c>
      <c r="Y226" s="281">
        <f t="shared" si="795"/>
        <v>35.15</v>
      </c>
      <c r="Z226" s="281">
        <f t="shared" si="795"/>
        <v>33.334673881251831</v>
      </c>
      <c r="AA226" s="281">
        <f>365/(AA$17/AA229)/2</f>
        <v>32.245367095770263</v>
      </c>
      <c r="AB226" s="281">
        <f t="shared" si="796"/>
        <v>31.887283805031448</v>
      </c>
      <c r="AC226" s="281">
        <f t="shared" si="796"/>
        <v>44.879690949227381</v>
      </c>
      <c r="AD226" s="281">
        <f>365/(AD$17/AD229)/2</f>
        <v>42.275940944063215</v>
      </c>
      <c r="AE226" s="281">
        <f>365/(AE$17/AE229)</f>
        <v>34.232193972049174</v>
      </c>
      <c r="AF226" s="281">
        <f t="shared" si="797"/>
        <v>38.827773937089525</v>
      </c>
      <c r="AG226" s="281">
        <f t="shared" si="797"/>
        <v>38.402044854881261</v>
      </c>
      <c r="AH226" s="281">
        <f>365/(AH$17/AH229)/2</f>
        <v>39.302953586497885</v>
      </c>
      <c r="AI226" s="281">
        <f t="shared" si="798"/>
        <v>39.765862462006083</v>
      </c>
      <c r="AJ226" s="281">
        <f t="shared" si="798"/>
        <v>51.394440406976749</v>
      </c>
      <c r="AK226" s="281">
        <f>365/(AK$17/AK229)/2</f>
        <v>52.539933135215456</v>
      </c>
      <c r="AL226" s="281">
        <f>365/(AL$17/AL229)</f>
        <v>50.026527544433641</v>
      </c>
      <c r="AM226" s="281">
        <f t="shared" si="799"/>
        <v>34.611066878980886</v>
      </c>
      <c r="AN226" s="281">
        <f t="shared" si="799"/>
        <v>43.974358974358971</v>
      </c>
      <c r="AO226" s="281">
        <f>365/(AO$17/AO229)/2</f>
        <v>41.822281610155336</v>
      </c>
      <c r="AP226" s="281">
        <f t="shared" si="800"/>
        <v>33.026810622955288</v>
      </c>
      <c r="AQ226" s="281">
        <f t="shared" si="800"/>
        <v>46.228074459261649</v>
      </c>
      <c r="AR226" s="281">
        <f>365/(AR$17/AR229)/2</f>
        <v>45.709891514126774</v>
      </c>
      <c r="AS226" s="281">
        <f>365/(AS$17/AS229)</f>
        <v>43.828915269522476</v>
      </c>
      <c r="AT226" s="281">
        <f t="shared" si="801"/>
        <v>38.564162127523232</v>
      </c>
      <c r="AU226" s="281">
        <f t="shared" si="801"/>
        <v>37.922077922077918</v>
      </c>
      <c r="AV226" s="281">
        <f>365/(AV$17/AV229)/2</f>
        <v>39.042288557213929</v>
      </c>
      <c r="AW226" s="281">
        <f t="shared" si="802"/>
        <v>35.409490333919159</v>
      </c>
      <c r="AX226" s="281">
        <f t="shared" si="802"/>
        <v>46.228074459261649</v>
      </c>
      <c r="AY226" s="281">
        <f>365/(AY$17/AY229)/2</f>
        <v>48.41835489990639</v>
      </c>
      <c r="AZ226" s="281">
        <f>365/(AZ$17/AZ229)</f>
        <v>46.626817221626915</v>
      </c>
      <c r="BA226" s="281">
        <f t="shared" si="803"/>
        <v>39.172302264039999</v>
      </c>
      <c r="BB226" s="281">
        <f t="shared" si="803"/>
        <v>38.713773528533018</v>
      </c>
      <c r="BC226" s="281">
        <f>365/(BC$17/BC229)/2</f>
        <v>38.403971547125074</v>
      </c>
      <c r="BD226" s="281">
        <f t="shared" si="804"/>
        <v>31.478264256777809</v>
      </c>
      <c r="BE226" s="281">
        <f t="shared" si="804"/>
        <v>46.228074459261649</v>
      </c>
      <c r="BF226" s="281">
        <f>365/(BF$17/BF229)/2</f>
        <v>46.89537160286892</v>
      </c>
      <c r="BG226" s="281">
        <f>365/(BG$17/BG229)</f>
        <v>46.060733013255266</v>
      </c>
      <c r="BH226" s="281">
        <f t="shared" si="805"/>
        <v>34.730392156862749</v>
      </c>
      <c r="BI226" s="281">
        <f t="shared" si="805"/>
        <v>31.09155827595001</v>
      </c>
      <c r="BJ226" s="281">
        <f>365/(BJ$17/BJ229)/2</f>
        <v>31.896912611198324</v>
      </c>
      <c r="BK226" s="281">
        <f t="shared" si="806"/>
        <v>29.120696952595939</v>
      </c>
      <c r="BL226" s="281">
        <f t="shared" si="806"/>
        <v>33.435114503816791</v>
      </c>
      <c r="BM226" s="281">
        <f>365/(BM$17/BM229)/2</f>
        <v>34.596214081438092</v>
      </c>
      <c r="BN226" s="281">
        <f>365/(BN$17/BN229)</f>
        <v>33.901381197037431</v>
      </c>
      <c r="BO226" s="281">
        <f t="shared" si="807"/>
        <v>31.233962720890823</v>
      </c>
      <c r="BP226" s="281">
        <f t="shared" si="807"/>
        <v>29.463555858310624</v>
      </c>
      <c r="BQ226" s="281">
        <f>365/(BQ$17/BQ229)/2</f>
        <v>30.405975395430584</v>
      </c>
      <c r="BR226" s="281">
        <f t="shared" si="808"/>
        <v>25.809505409582684</v>
      </c>
      <c r="BS226" s="281">
        <f t="shared" si="808"/>
        <v>29.324071841851495</v>
      </c>
      <c r="BT226" s="281">
        <f>365/(BT$17/BT229)/2</f>
        <v>30.295454545454543</v>
      </c>
      <c r="BU226" s="281">
        <f>365/(BU$17/BU229)</f>
        <v>29.371868397223064</v>
      </c>
      <c r="BV226" s="281">
        <f t="shared" si="809"/>
        <v>32.583236658932719</v>
      </c>
      <c r="BW226" s="281">
        <f t="shared" si="809"/>
        <v>30.76161885701579</v>
      </c>
      <c r="BX226" s="281">
        <f>365/(BX$17/BX229)/2</f>
        <v>31.414783694788234</v>
      </c>
      <c r="BY226" s="281">
        <f t="shared" si="810"/>
        <v>26.9712000962001</v>
      </c>
      <c r="BZ226" s="281">
        <f t="shared" si="810"/>
        <v>36.44532150265038</v>
      </c>
      <c r="CA226" s="281">
        <f>365/(CA$17/CA229)/2</f>
        <v>37.221666470519011</v>
      </c>
      <c r="CB226" s="281">
        <f>365/(CB$17/CB229)</f>
        <v>36.554842810910777</v>
      </c>
      <c r="CC226" s="281">
        <f t="shared" si="811"/>
        <v>32.999213836477985</v>
      </c>
      <c r="CD226" s="281">
        <f t="shared" si="811"/>
        <v>31.64240378803143</v>
      </c>
      <c r="CE226" s="281">
        <f>365/(CE$17/CE229)/2</f>
        <v>32.269855132025071</v>
      </c>
      <c r="CF226" s="281">
        <f t="shared" si="812"/>
        <v>28.184863796133573</v>
      </c>
      <c r="CG226" s="281">
        <f t="shared" si="812"/>
        <v>36.445321502650373</v>
      </c>
      <c r="CH226" s="281">
        <f>365/(CH$17/CH229)/2</f>
        <v>37.949804024663749</v>
      </c>
      <c r="CI226" s="281">
        <f>365/(CI$17/CI229)</f>
        <v>37.482067608113468</v>
      </c>
      <c r="CJ226" s="281">
        <f t="shared" si="813"/>
        <v>28.263672195762851</v>
      </c>
      <c r="CK226" s="281">
        <f t="shared" si="813"/>
        <v>27.394985919899877</v>
      </c>
      <c r="CL226" s="281">
        <f>365/(CL$17/CL229)/2</f>
        <v>28.060051277942474</v>
      </c>
      <c r="CM226" s="281">
        <f t="shared" si="814"/>
        <v>23.882903494176372</v>
      </c>
      <c r="CN226" s="281">
        <f t="shared" si="814"/>
        <v>29.289588281868568</v>
      </c>
      <c r="CO226" s="281">
        <f>365/(CO$17/CO229)/2</f>
        <v>30.014401622718051</v>
      </c>
      <c r="CP226" s="320">
        <f>365/(CP$17/CP229)</f>
        <v>29.825647020882052</v>
      </c>
      <c r="CQ226" s="320">
        <f t="shared" si="815"/>
        <v>31.61240786240786</v>
      </c>
      <c r="CR226" s="320">
        <f t="shared" si="815"/>
        <v>33.686210640608039</v>
      </c>
      <c r="CS226" s="320">
        <f>365/(CS$17/CS229)/2</f>
        <v>33.517246701134347</v>
      </c>
      <c r="CT226" s="320">
        <f t="shared" si="816"/>
        <v>26.720989761092156</v>
      </c>
      <c r="CU226" s="320">
        <f t="shared" si="816"/>
        <v>37.183498719590276</v>
      </c>
      <c r="CV226" s="320">
        <f>365/(CV$17/CV229)/2</f>
        <v>38.375041295011563</v>
      </c>
      <c r="CW226" s="320">
        <f>365/(CW$17/CW229)</f>
        <v>37.072246379702399</v>
      </c>
      <c r="CX226" s="320">
        <f t="shared" si="817"/>
        <v>35.896855010660992</v>
      </c>
      <c r="CY226" s="320">
        <f t="shared" si="817"/>
        <v>33.282338685246891</v>
      </c>
      <c r="CZ226" s="320">
        <f>365/(CZ$17/CZ229)/2</f>
        <v>33.373329283110579</v>
      </c>
      <c r="DA226" s="320">
        <f t="shared" si="818"/>
        <v>30.051686395329977</v>
      </c>
      <c r="DB226" s="320">
        <f t="shared" si="818"/>
        <v>49.23678152383782</v>
      </c>
      <c r="DC226" s="320">
        <f>365/(DC$17/DC229)/2</f>
        <v>51.397093023255827</v>
      </c>
      <c r="DD226" s="583">
        <f>365/(DD$17/DD229)</f>
        <v>50.868689581095595</v>
      </c>
      <c r="DE226" s="320">
        <f t="shared" si="819"/>
        <v>48.064644852354348</v>
      </c>
      <c r="DF226" s="320">
        <f t="shared" si="819"/>
        <v>37.824796472184524</v>
      </c>
      <c r="DG226" s="320">
        <f>365/(DG$17/DG229)/2</f>
        <v>40.890172350568392</v>
      </c>
      <c r="DH226" s="320">
        <f>365/(DH$17/DH229)/4</f>
        <v>33.604115894936371</v>
      </c>
      <c r="DI226" s="320">
        <f t="shared" si="820"/>
        <v>37.694644185469869</v>
      </c>
      <c r="DJ226" s="320">
        <f>365/(DJ$17/DJ229)/2</f>
        <v>39.353481749935291</v>
      </c>
      <c r="DK226" s="583">
        <f>365/(DK$17/DK229)</f>
        <v>41.81180596142606</v>
      </c>
      <c r="DL226" s="344">
        <f t="shared" si="821"/>
        <v>36.564908120924713</v>
      </c>
      <c r="DM226" s="320">
        <f t="shared" si="821"/>
        <v>33.733807573073513</v>
      </c>
      <c r="DN226" s="320">
        <f>365/(DN$17/DN229)/2</f>
        <v>34.886786511707783</v>
      </c>
      <c r="DO226" s="320">
        <f t="shared" si="822"/>
        <v>33.012222222222228</v>
      </c>
      <c r="DP226" s="320">
        <f t="shared" si="822"/>
        <v>37.555785123966942</v>
      </c>
      <c r="DQ226" s="320">
        <f>365/(DQ$17/DQ229)/2</f>
        <v>38.922912205567457</v>
      </c>
      <c r="DR226" s="583">
        <f>365/(DR$17/DR229)</f>
        <v>40.229064652668264</v>
      </c>
      <c r="DS226" s="320">
        <f t="shared" si="823"/>
        <v>33.889471581260608</v>
      </c>
      <c r="DT226" s="320">
        <f t="shared" si="823"/>
        <v>31.41063552526062</v>
      </c>
      <c r="DU226" s="320">
        <f>365/(DU$17/DU229)/2</f>
        <v>31.355631160254159</v>
      </c>
      <c r="DV226" s="320">
        <f t="shared" si="824"/>
        <v>30.338928903345725</v>
      </c>
      <c r="DW226" s="320">
        <f t="shared" si="824"/>
        <v>35.282802964254579</v>
      </c>
      <c r="DX226" s="320">
        <f>365/(DX$17/DX229)/2</f>
        <v>36.409694107062528</v>
      </c>
      <c r="DY226" s="583">
        <f>365/(DY$17/DY229)</f>
        <v>34.286092504831743</v>
      </c>
      <c r="DZ226" s="320">
        <f t="shared" si="825"/>
        <v>34.356203499947604</v>
      </c>
      <c r="EA226" s="320">
        <f t="shared" si="825"/>
        <v>32.697612134561474</v>
      </c>
      <c r="EB226" s="320">
        <f>365/(EB$17/EB229)/2</f>
        <v>33.442604065332034</v>
      </c>
      <c r="EC226" s="320">
        <f t="shared" si="826"/>
        <v>29.067164179104481</v>
      </c>
      <c r="ED226" s="320">
        <f t="shared" si="826"/>
        <v>33.240422885572137</v>
      </c>
      <c r="EE226" s="320">
        <f>365/(EE$17/EE229)/2</f>
        <v>33.689617789431217</v>
      </c>
      <c r="EF226" s="583">
        <f>365/(EF$17/EF229)</f>
        <v>33.947234712801368</v>
      </c>
      <c r="EG226" s="320">
        <f t="shared" si="827"/>
        <v>33.670228853715095</v>
      </c>
      <c r="EH226" s="320">
        <f t="shared" si="827"/>
        <v>32.936615320566197</v>
      </c>
      <c r="EI226" s="320">
        <f>365/(EI$17/EI229)/2</f>
        <v>32.41204486096175</v>
      </c>
      <c r="EJ226" s="320">
        <f t="shared" si="828"/>
        <v>25.901867198153784</v>
      </c>
      <c r="EK226" s="320">
        <f t="shared" si="828"/>
        <v>36.800566134843017</v>
      </c>
      <c r="EL226" s="320">
        <f>365/(EL$17/EL229)/2</f>
        <v>37.148534912718198</v>
      </c>
      <c r="EM226" s="583">
        <f>365/(EM$17/EM229)</f>
        <v>36.881237911025138</v>
      </c>
      <c r="EN226" s="320">
        <f t="shared" ref="EN226:EO226" si="840">365/(EN$17/EN229)/4</f>
        <v>32.772530281142352</v>
      </c>
      <c r="EO226" s="320">
        <f t="shared" si="840"/>
        <v>25.400576536139916</v>
      </c>
      <c r="EP226" s="320">
        <f>365/(EP$17/EP229)/2</f>
        <v>33.902416980839746</v>
      </c>
      <c r="EQ226" s="344">
        <f t="shared" ref="EQ226" si="841">365/(EQ$17/EQ229)/4</f>
        <v>22.889780609775773</v>
      </c>
      <c r="ER226" s="320">
        <f t="shared" si="831"/>
        <v>36.800566134843017</v>
      </c>
      <c r="ES226" s="320">
        <f>365/(ES$17/ES229)/2</f>
        <v>38.216392300707504</v>
      </c>
      <c r="ET226" s="583">
        <f>365/(ET$17/ET229)</f>
        <v>42.982572596851824</v>
      </c>
      <c r="EU226" s="320">
        <f t="shared" si="832"/>
        <v>32.772530281142352</v>
      </c>
      <c r="EV226" s="320">
        <f t="shared" si="832"/>
        <v>25.400576536139916</v>
      </c>
      <c r="EW226" s="320">
        <f>365/(EW$17/EW229)/2</f>
        <v>25.943163898633518</v>
      </c>
      <c r="EX226" s="320">
        <f t="shared" si="833"/>
        <v>22.889780609775773</v>
      </c>
      <c r="EY226" s="320">
        <f t="shared" si="833"/>
        <v>36.800566134843017</v>
      </c>
      <c r="EZ226" s="320">
        <f>365/(EZ$17/EZ229)/2</f>
        <v>38.522406919921593</v>
      </c>
      <c r="FA226" s="583">
        <f>365/(FA$17/FA229)</f>
        <v>39.03245411527169</v>
      </c>
      <c r="FB226" s="320">
        <f t="shared" si="834"/>
        <v>32.772530281142352</v>
      </c>
      <c r="FC226" s="320">
        <f t="shared" si="834"/>
        <v>25.400576536139916</v>
      </c>
      <c r="FD226" s="320">
        <f>365/(FD$17/FD229)/2</f>
        <v>26.10481121540553</v>
      </c>
      <c r="FE226" s="320">
        <f t="shared" si="835"/>
        <v>22.889780609775769</v>
      </c>
      <c r="FF226" s="320">
        <f t="shared" si="835"/>
        <v>36.800566134843017</v>
      </c>
      <c r="FG226" s="320">
        <f>365/(FG$17/FG229)/2</f>
        <v>38.394601698119537</v>
      </c>
      <c r="FH226" s="583">
        <f>365/(FH$17/FH229)</f>
        <v>38.947646892169018</v>
      </c>
      <c r="FI226" s="320">
        <f t="shared" si="836"/>
        <v>32.772530281142352</v>
      </c>
      <c r="FJ226" s="320">
        <f t="shared" si="836"/>
        <v>25.400576536139916</v>
      </c>
      <c r="FK226" s="320">
        <f>365/(FK$17/FK229)/2</f>
        <v>26.047316175307934</v>
      </c>
      <c r="FL226" s="320">
        <f t="shared" si="837"/>
        <v>22.889780609775773</v>
      </c>
      <c r="FM226" s="320">
        <f t="shared" si="837"/>
        <v>36.800566134843017</v>
      </c>
      <c r="FN226" s="320">
        <f>365/(FN$17/FN229)/2</f>
        <v>38.276561580570977</v>
      </c>
      <c r="FO226" s="583">
        <f>365/(FO$17/FO229)</f>
        <v>38.690092270079475</v>
      </c>
      <c r="FP226" s="320">
        <f t="shared" si="838"/>
        <v>32.772530281142345</v>
      </c>
      <c r="FQ226" s="320">
        <f t="shared" si="838"/>
        <v>25.400576536139916</v>
      </c>
      <c r="FR226" s="320">
        <f>365/(FR$17/FR229)/2</f>
        <v>26.130254620527367</v>
      </c>
      <c r="FS226" s="320">
        <f t="shared" si="839"/>
        <v>22.889780609775769</v>
      </c>
      <c r="FT226" s="320">
        <f t="shared" si="839"/>
        <v>36.800566134843017</v>
      </c>
      <c r="FU226" s="320">
        <f>365/(FU$17/FU229)/2</f>
        <v>38.211280215367708</v>
      </c>
      <c r="FV226" s="583">
        <f>365/(FV$17/FV229)</f>
        <v>38.710465413977879</v>
      </c>
    </row>
    <row r="227" spans="2:178" outlineLevel="1" x14ac:dyDescent="0.3">
      <c r="B227" s="501" t="s">
        <v>562</v>
      </c>
      <c r="C227" s="280" t="s">
        <v>560</v>
      </c>
      <c r="D227" s="281">
        <f t="shared" si="789"/>
        <v>26.481288258208124</v>
      </c>
      <c r="E227" s="281">
        <f t="shared" si="789"/>
        <v>29.102266702014848</v>
      </c>
      <c r="F227" s="281">
        <f>365/(F$17/F230)/2</f>
        <v>29.805525386912841</v>
      </c>
      <c r="G227" s="281">
        <f t="shared" si="790"/>
        <v>27.120898814447209</v>
      </c>
      <c r="H227" s="281">
        <f t="shared" si="790"/>
        <v>27.618833504624874</v>
      </c>
      <c r="I227" s="281">
        <f>365/(I$17/I230)/2</f>
        <v>28.592233009708735</v>
      </c>
      <c r="J227" s="281">
        <f>365/(J$17/J230)</f>
        <v>28.88612697346322</v>
      </c>
      <c r="K227" s="281">
        <f t="shared" si="791"/>
        <v>25.145908543922985</v>
      </c>
      <c r="L227" s="281">
        <f t="shared" si="791"/>
        <v>25.840119105493432</v>
      </c>
      <c r="M227" s="281">
        <f>365/(M$17/M230)/2</f>
        <v>25.711996613858993</v>
      </c>
      <c r="N227" s="281">
        <f t="shared" si="792"/>
        <v>24.720501267248668</v>
      </c>
      <c r="O227" s="281">
        <f t="shared" si="792"/>
        <v>25.48628428927681</v>
      </c>
      <c r="P227" s="281">
        <f>365/(P$17/P230)/2</f>
        <v>25.692737430167604</v>
      </c>
      <c r="Q227" s="281">
        <f>365/(Q$17/Q230)</f>
        <v>23.846004277658952</v>
      </c>
      <c r="R227" s="281">
        <f t="shared" si="793"/>
        <v>27.048185673892554</v>
      </c>
      <c r="S227" s="281">
        <f t="shared" si="793"/>
        <v>35.297680082030247</v>
      </c>
      <c r="T227" s="281">
        <f>365/(T$17/T230)/2</f>
        <v>33.811233885819526</v>
      </c>
      <c r="U227" s="281">
        <f t="shared" si="794"/>
        <v>30.523579379027534</v>
      </c>
      <c r="V227" s="281">
        <f t="shared" si="794"/>
        <v>31.379034835410678</v>
      </c>
      <c r="W227" s="281">
        <f>365/(W$17/W230)/2</f>
        <v>30.012226807274949</v>
      </c>
      <c r="X227" s="281">
        <f>365/(X$17/X230)</f>
        <v>26.738834422657952</v>
      </c>
      <c r="Y227" s="281">
        <f t="shared" si="795"/>
        <v>23.1</v>
      </c>
      <c r="Z227" s="281">
        <f t="shared" si="795"/>
        <v>29.091108511260604</v>
      </c>
      <c r="AA227" s="281">
        <f>365/(AA$17/AA230)/2</f>
        <v>28.140472485500069</v>
      </c>
      <c r="AB227" s="281">
        <f t="shared" si="796"/>
        <v>37.984964622641513</v>
      </c>
      <c r="AC227" s="281">
        <f t="shared" si="796"/>
        <v>35.895695364238414</v>
      </c>
      <c r="AD227" s="281">
        <f>365/(AD$17/AD230)/2</f>
        <v>33.813162819713035</v>
      </c>
      <c r="AE227" s="281">
        <f>365/(AE$17/AE230)</f>
        <v>27.379609361845429</v>
      </c>
      <c r="AF227" s="281">
        <f t="shared" si="797"/>
        <v>27.914362253715865</v>
      </c>
      <c r="AG227" s="281">
        <f t="shared" si="797"/>
        <v>29.012203166226918</v>
      </c>
      <c r="AH227" s="281">
        <f>365/(AH$17/AH230)/2</f>
        <v>29.692827004219414</v>
      </c>
      <c r="AI227" s="281">
        <f t="shared" si="798"/>
        <v>25.93275075987842</v>
      </c>
      <c r="AJ227" s="281">
        <f t="shared" si="798"/>
        <v>33.456122819767444</v>
      </c>
      <c r="AK227" s="281">
        <f>365/(AK$17/AK230)/2</f>
        <v>34.201801634472517</v>
      </c>
      <c r="AL227" s="281">
        <f>365/(AL$17/AL230)</f>
        <v>32.565655672473255</v>
      </c>
      <c r="AM227" s="281">
        <f t="shared" si="799"/>
        <v>26.997213375796182</v>
      </c>
      <c r="AN227" s="281">
        <f t="shared" si="799"/>
        <v>30.128205128205124</v>
      </c>
      <c r="AO227" s="281">
        <f>365/(AO$17/AO230)/2</f>
        <v>28.653749791214295</v>
      </c>
      <c r="AP227" s="281">
        <f t="shared" si="800"/>
        <v>32.634023975308644</v>
      </c>
      <c r="AQ227" s="281">
        <f t="shared" si="800"/>
        <v>35.616706172812741</v>
      </c>
      <c r="AR227" s="281">
        <f>365/(AR$17/AR230)/2</f>
        <v>35.21746891457704</v>
      </c>
      <c r="AS227" s="281">
        <f>365/(AS$17/AS230)</f>
        <v>33.768259121485826</v>
      </c>
      <c r="AT227" s="281">
        <f t="shared" si="801"/>
        <v>29.003524511374557</v>
      </c>
      <c r="AU227" s="281">
        <f t="shared" si="801"/>
        <v>27.862805798852307</v>
      </c>
      <c r="AV227" s="281">
        <f>365/(AV$17/AV230)/2</f>
        <v>28.685867537313428</v>
      </c>
      <c r="AW227" s="281">
        <f t="shared" si="802"/>
        <v>33.22847100175747</v>
      </c>
      <c r="AX227" s="281">
        <f t="shared" si="802"/>
        <v>35.616706172812748</v>
      </c>
      <c r="AY227" s="281">
        <f>365/(AY$17/AY230)/2</f>
        <v>37.304221298696895</v>
      </c>
      <c r="AZ227" s="281">
        <f>365/(AZ$17/AZ230)</f>
        <v>35.923920002759623</v>
      </c>
      <c r="BA227" s="281">
        <f t="shared" si="803"/>
        <v>25.247353719494274</v>
      </c>
      <c r="BB227" s="281">
        <f t="shared" si="803"/>
        <v>26.145428742157161</v>
      </c>
      <c r="BC227" s="281">
        <f>365/(BC$17/BC230)/2</f>
        <v>25.936203319502077</v>
      </c>
      <c r="BD227" s="281">
        <f t="shared" si="804"/>
        <v>25.051807416640695</v>
      </c>
      <c r="BE227" s="281">
        <f t="shared" si="804"/>
        <v>35.616706172812741</v>
      </c>
      <c r="BF227" s="281">
        <f>365/(BF$17/BF230)/2</f>
        <v>36.130829388452234</v>
      </c>
      <c r="BG227" s="281">
        <f>365/(BG$17/BG230)</f>
        <v>35.48777691969849</v>
      </c>
      <c r="BH227" s="281">
        <f t="shared" si="805"/>
        <v>27.426470588235301</v>
      </c>
      <c r="BI227" s="281">
        <f t="shared" si="805"/>
        <v>29.625414435093084</v>
      </c>
      <c r="BJ227" s="281">
        <f>365/(BJ$17/BJ230)/2</f>
        <v>30.392791732077445</v>
      </c>
      <c r="BK227" s="281">
        <f t="shared" si="806"/>
        <v>31.154768623024832</v>
      </c>
      <c r="BL227" s="281">
        <f t="shared" si="806"/>
        <v>34.107659910502761</v>
      </c>
      <c r="BM227" s="281">
        <f>365/(BM$17/BM230)/2</f>
        <v>35.292114939398061</v>
      </c>
      <c r="BN227" s="281">
        <f>365/(BN$17/BN230)</f>
        <v>34.583305531460603</v>
      </c>
      <c r="BO227" s="281">
        <f t="shared" si="807"/>
        <v>33.133623819898332</v>
      </c>
      <c r="BP227" s="281">
        <f t="shared" si="807"/>
        <v>32.157129881925513</v>
      </c>
      <c r="BQ227" s="281">
        <f>365/(BQ$17/BQ230)/2</f>
        <v>33.185705916813127</v>
      </c>
      <c r="BR227" s="281">
        <f t="shared" si="808"/>
        <v>31.968057702215347</v>
      </c>
      <c r="BS227" s="281">
        <f t="shared" si="808"/>
        <v>32.909836065573771</v>
      </c>
      <c r="BT227" s="281">
        <f>365/(BT$17/BT230)/2</f>
        <v>33.999999999999993</v>
      </c>
      <c r="BU227" s="281">
        <f>365/(BU$17/BU230)</f>
        <v>32.963477210987016</v>
      </c>
      <c r="BV227" s="281">
        <f t="shared" si="809"/>
        <v>31.842227378190259</v>
      </c>
      <c r="BW227" s="281">
        <f t="shared" si="809"/>
        <v>29.58472314876585</v>
      </c>
      <c r="BX227" s="281">
        <f>365/(BX$17/BX230)/2</f>
        <v>30.212898830475758</v>
      </c>
      <c r="BY227" s="281">
        <f t="shared" si="810"/>
        <v>29.999699374699375</v>
      </c>
      <c r="BZ227" s="281">
        <f t="shared" si="810"/>
        <v>26.750403318737032</v>
      </c>
      <c r="CA227" s="281">
        <f>365/(CA$17/CA230)/2</f>
        <v>27.320230669648115</v>
      </c>
      <c r="CB227" s="281">
        <f>365/(CB$17/CB230)</f>
        <v>26.830790568654649</v>
      </c>
      <c r="CC227" s="281">
        <f t="shared" si="811"/>
        <v>28.943658280922431</v>
      </c>
      <c r="CD227" s="281">
        <f t="shared" si="811"/>
        <v>26.953959298811203</v>
      </c>
      <c r="CE227" s="281">
        <f>365/(CE$17/CE230)/2</f>
        <v>27.488441384978938</v>
      </c>
      <c r="CF227" s="281">
        <f t="shared" si="812"/>
        <v>34.058380931458707</v>
      </c>
      <c r="CG227" s="281">
        <f t="shared" si="812"/>
        <v>26.750403318737032</v>
      </c>
      <c r="CH227" s="281">
        <f>365/(CH$17/CH230)/2</f>
        <v>27.854674390866872</v>
      </c>
      <c r="CI227" s="281">
        <f>365/(CI$17/CI230)</f>
        <v>27.511361798915367</v>
      </c>
      <c r="CJ227" s="281">
        <f t="shared" si="813"/>
        <v>26.615207751683364</v>
      </c>
      <c r="CK227" s="281">
        <f t="shared" si="813"/>
        <v>26.138728097622028</v>
      </c>
      <c r="CL227" s="281">
        <f>365/(CL$17/CL230)/2</f>
        <v>26.773295409021713</v>
      </c>
      <c r="CM227" s="281">
        <f t="shared" si="814"/>
        <v>28.756655574043265</v>
      </c>
      <c r="CN227" s="281">
        <f t="shared" si="814"/>
        <v>27.931314330958038</v>
      </c>
      <c r="CO227" s="281">
        <f>365/(CO$17/CO230)/2</f>
        <v>28.622515212981746</v>
      </c>
      <c r="CP227" s="320">
        <f>365/(CP$17/CP230)</f>
        <v>28.442513907925512</v>
      </c>
      <c r="CQ227" s="320">
        <f t="shared" si="815"/>
        <v>36.194525491400491</v>
      </c>
      <c r="CR227" s="320">
        <f t="shared" si="815"/>
        <v>38.852373196835742</v>
      </c>
      <c r="CS227" s="320">
        <f>365/(CS$17/CS230)/2</f>
        <v>38.657496720425961</v>
      </c>
      <c r="CT227" s="320">
        <f t="shared" si="816"/>
        <v>42.806527303754272</v>
      </c>
      <c r="CU227" s="320">
        <f t="shared" si="816"/>
        <v>37.314940781049934</v>
      </c>
      <c r="CV227" s="320">
        <f>365/(CV$17/CV230)/2</f>
        <v>38.51069540799471</v>
      </c>
      <c r="CW227" s="320">
        <f>365/(CW$17/CW230)</f>
        <v>37.203295168947221</v>
      </c>
      <c r="CX227" s="320">
        <f t="shared" si="817"/>
        <v>40.663646055437113</v>
      </c>
      <c r="CY227" s="320">
        <f t="shared" si="817"/>
        <v>36.51658588306573</v>
      </c>
      <c r="CZ227" s="320">
        <f>365/(CZ$17/CZ230)/2</f>
        <v>36.616418590522478</v>
      </c>
      <c r="DA227" s="320">
        <f t="shared" si="818"/>
        <v>40.054118696286679</v>
      </c>
      <c r="DB227" s="320">
        <f t="shared" si="818"/>
        <v>37.229132630328237</v>
      </c>
      <c r="DC227" s="320">
        <f>365/(DC$17/DC230)/2</f>
        <v>38.862596899224812</v>
      </c>
      <c r="DD227" s="583">
        <f>365/(DD$17/DD230)</f>
        <v>38.46305815559306</v>
      </c>
      <c r="DE227" s="320">
        <f t="shared" si="819"/>
        <v>39.922785315243416</v>
      </c>
      <c r="DF227" s="320">
        <f t="shared" si="819"/>
        <v>36.041892808683848</v>
      </c>
      <c r="DG227" s="320">
        <f>365/(DG$17/DG230)/2</f>
        <v>38.962779611294465</v>
      </c>
      <c r="DH227" s="320">
        <f>365/(DH$17/DH230)/4</f>
        <v>41.103269699431358</v>
      </c>
      <c r="DI227" s="320">
        <f t="shared" si="820"/>
        <v>34.7306595586412</v>
      </c>
      <c r="DJ227" s="320">
        <f>365/(DJ$17/DJ230)/2</f>
        <v>36.259060315816726</v>
      </c>
      <c r="DK227" s="583">
        <f>365/(DK$17/DK230)</f>
        <v>38.524082923642858</v>
      </c>
      <c r="DL227" s="344">
        <f t="shared" si="821"/>
        <v>37.906342620035559</v>
      </c>
      <c r="DM227" s="320">
        <f t="shared" si="821"/>
        <v>35.916048494242695</v>
      </c>
      <c r="DN227" s="320">
        <f>365/(DN$17/DN230)/2</f>
        <v>37.143613671494812</v>
      </c>
      <c r="DO227" s="320">
        <f t="shared" si="822"/>
        <v>39.460555555555558</v>
      </c>
      <c r="DP227" s="320">
        <f t="shared" si="822"/>
        <v>43.174070247933884</v>
      </c>
      <c r="DQ227" s="320">
        <f>365/(DQ$17/DQ230)/2</f>
        <v>44.745717344753757</v>
      </c>
      <c r="DR227" s="583">
        <f>365/(DR$17/DR230)</f>
        <v>46.24726809970398</v>
      </c>
      <c r="DS227" s="320">
        <f t="shared" si="823"/>
        <v>43.505768654480072</v>
      </c>
      <c r="DT227" s="320">
        <f t="shared" si="823"/>
        <v>38.398907377706493</v>
      </c>
      <c r="DU227" s="320">
        <f>365/(DU$17/DU230)/2</f>
        <v>38.331665582628709</v>
      </c>
      <c r="DV227" s="320">
        <f t="shared" si="824"/>
        <v>42.031395213754649</v>
      </c>
      <c r="DW227" s="320">
        <f t="shared" si="824"/>
        <v>38.554517218831741</v>
      </c>
      <c r="DX227" s="320">
        <f>365/(DX$17/DX230)/2</f>
        <v>39.785903058929378</v>
      </c>
      <c r="DY227" s="583">
        <f>365/(DY$17/DY230)</f>
        <v>37.465383495274146</v>
      </c>
      <c r="DZ227" s="320">
        <f t="shared" si="825"/>
        <v>38.037566802892172</v>
      </c>
      <c r="EA227" s="320">
        <f t="shared" si="825"/>
        <v>37.88683920704846</v>
      </c>
      <c r="EB227" s="320">
        <f>365/(EB$17/EB230)/2</f>
        <v>38.750064000819208</v>
      </c>
      <c r="EC227" s="320">
        <f t="shared" si="826"/>
        <v>41.044776119402982</v>
      </c>
      <c r="ED227" s="320">
        <f t="shared" si="826"/>
        <v>42.065796019900489</v>
      </c>
      <c r="EE227" s="320">
        <f>365/(EE$17/EE230)/2</f>
        <v>42.63425272287212</v>
      </c>
      <c r="EF227" s="583">
        <f>365/(EF$17/EF230)</f>
        <v>42.960267256052646</v>
      </c>
      <c r="EG227" s="320">
        <f t="shared" si="827"/>
        <v>40.965445105353368</v>
      </c>
      <c r="EH227" s="320">
        <f t="shared" si="827"/>
        <v>39.128850957535391</v>
      </c>
      <c r="EI227" s="320">
        <f>365/(EI$17/EI230)/2</f>
        <v>38.505658831361707</v>
      </c>
      <c r="EJ227" s="320">
        <f t="shared" si="828"/>
        <v>37.4361428721284</v>
      </c>
      <c r="EK227" s="320">
        <f t="shared" si="828"/>
        <v>41.928975810602147</v>
      </c>
      <c r="EL227" s="320">
        <f>365/(EL$17/EL230)/2</f>
        <v>42.325436408977552</v>
      </c>
      <c r="EM227" s="583">
        <f>365/(EM$17/EM230)</f>
        <v>42.020889748549315</v>
      </c>
      <c r="EN227" s="320">
        <f t="shared" ref="EN227:EO227" si="842">365/(EN$17/EN230)/4</f>
        <v>50.953578175352824</v>
      </c>
      <c r="EO227" s="320">
        <f t="shared" si="842"/>
        <v>47.298599288035902</v>
      </c>
      <c r="EP227" s="320">
        <f>365/(EP$17/EP230)/2</f>
        <v>63.129938542581215</v>
      </c>
      <c r="EQ227" s="344">
        <f t="shared" ref="EQ227" si="843">365/(EQ$17/EQ230)/4</f>
        <v>49.106307468946611</v>
      </c>
      <c r="ER227" s="320">
        <f t="shared" si="831"/>
        <v>41.928975810602147</v>
      </c>
      <c r="ES227" s="320">
        <f>365/(ES$17/ES230)/2</f>
        <v>43.542107001112385</v>
      </c>
      <c r="ET227" s="583">
        <f>365/(ET$17/ET230)</f>
        <v>48.972487001619847</v>
      </c>
      <c r="EU227" s="320">
        <f t="shared" si="832"/>
        <v>50.953578175352817</v>
      </c>
      <c r="EV227" s="320">
        <f t="shared" si="832"/>
        <v>47.298599288035902</v>
      </c>
      <c r="EW227" s="320">
        <f>365/(EW$17/EW230)/2</f>
        <v>48.308955182943372</v>
      </c>
      <c r="EX227" s="320">
        <f t="shared" si="833"/>
        <v>49.106307468946611</v>
      </c>
      <c r="EY227" s="320">
        <f t="shared" si="833"/>
        <v>41.928975810602147</v>
      </c>
      <c r="EZ227" s="320">
        <f>365/(EZ$17/EZ230)/2</f>
        <v>43.890766842912186</v>
      </c>
      <c r="FA227" s="583">
        <f>365/(FA$17/FA230)</f>
        <v>44.471892590753654</v>
      </c>
      <c r="FB227" s="320">
        <f t="shared" si="834"/>
        <v>50.953578175352817</v>
      </c>
      <c r="FC227" s="320">
        <f t="shared" si="834"/>
        <v>47.298599288035902</v>
      </c>
      <c r="FD227" s="320">
        <f>365/(FD$17/FD230)/2</f>
        <v>48.609959833412908</v>
      </c>
      <c r="FE227" s="320">
        <f t="shared" si="835"/>
        <v>49.106307468946611</v>
      </c>
      <c r="FF227" s="320">
        <f t="shared" si="835"/>
        <v>41.928975810602147</v>
      </c>
      <c r="FG227" s="320">
        <f>365/(FG$17/FG230)/2</f>
        <v>43.745151092497593</v>
      </c>
      <c r="FH227" s="583">
        <f>365/(FH$17/FH230)</f>
        <v>44.375266903175714</v>
      </c>
      <c r="FI227" s="320">
        <f t="shared" si="836"/>
        <v>50.953578175352824</v>
      </c>
      <c r="FJ227" s="320">
        <f t="shared" si="836"/>
        <v>47.298599288035902</v>
      </c>
      <c r="FK227" s="320">
        <f>365/(FK$17/FK230)/2</f>
        <v>48.502897898863644</v>
      </c>
      <c r="FL227" s="320">
        <f t="shared" si="837"/>
        <v>49.106307468946611</v>
      </c>
      <c r="FM227" s="320">
        <f t="shared" si="837"/>
        <v>41.928975810602147</v>
      </c>
      <c r="FN227" s="320">
        <f>365/(FN$17/FN230)/2</f>
        <v>43.610661280160492</v>
      </c>
      <c r="FO227" s="583">
        <f>365/(FO$17/FO230)</f>
        <v>44.081820289340165</v>
      </c>
      <c r="FP227" s="320">
        <f t="shared" si="838"/>
        <v>50.953578175352817</v>
      </c>
      <c r="FQ227" s="320">
        <f t="shared" si="838"/>
        <v>47.298599288035902</v>
      </c>
      <c r="FR227" s="320">
        <f>365/(FR$17/FR230)/2</f>
        <v>48.657338184123518</v>
      </c>
      <c r="FS227" s="320">
        <f t="shared" si="839"/>
        <v>49.106307468946611</v>
      </c>
      <c r="FT227" s="320">
        <f t="shared" si="839"/>
        <v>41.928975810602147</v>
      </c>
      <c r="FU227" s="320">
        <f>365/(FU$17/FU230)/2</f>
        <v>43.536282511843147</v>
      </c>
      <c r="FV227" s="583">
        <f>365/(FV$17/FV230)</f>
        <v>44.105032569677697</v>
      </c>
    </row>
    <row r="228" spans="2:178" outlineLevel="1" x14ac:dyDescent="0.3">
      <c r="B228" s="502" t="s">
        <v>228</v>
      </c>
      <c r="C228" s="280" t="s">
        <v>226</v>
      </c>
      <c r="D228" s="281">
        <f t="shared" ref="D228:AN228" si="844">D177</f>
        <v>104.1</v>
      </c>
      <c r="E228" s="281">
        <f t="shared" si="844"/>
        <v>109.7</v>
      </c>
      <c r="F228" s="281">
        <f t="shared" si="844"/>
        <v>109.7</v>
      </c>
      <c r="G228" s="281">
        <f t="shared" si="844"/>
        <v>114.3</v>
      </c>
      <c r="H228" s="281">
        <f t="shared" si="844"/>
        <v>124</v>
      </c>
      <c r="I228" s="281">
        <f t="shared" si="844"/>
        <v>124</v>
      </c>
      <c r="J228" s="281">
        <f t="shared" si="844"/>
        <v>124</v>
      </c>
      <c r="K228" s="281">
        <f t="shared" si="844"/>
        <v>136.9</v>
      </c>
      <c r="L228" s="281">
        <f t="shared" si="844"/>
        <v>142.19999999999999</v>
      </c>
      <c r="M228" s="281">
        <f t="shared" si="844"/>
        <v>142.19999999999999</v>
      </c>
      <c r="N228" s="281">
        <f t="shared" si="844"/>
        <v>152.80000000000001</v>
      </c>
      <c r="O228" s="281">
        <f t="shared" si="844"/>
        <v>147.6</v>
      </c>
      <c r="P228" s="281">
        <f t="shared" si="844"/>
        <v>147.6</v>
      </c>
      <c r="Q228" s="281">
        <f t="shared" si="844"/>
        <v>147.6</v>
      </c>
      <c r="R228" s="281">
        <f t="shared" si="844"/>
        <v>133.6</v>
      </c>
      <c r="S228" s="281">
        <f t="shared" si="844"/>
        <v>136.19999999999999</v>
      </c>
      <c r="T228" s="281">
        <f t="shared" si="844"/>
        <v>136.19999999999999</v>
      </c>
      <c r="U228" s="281">
        <f t="shared" si="844"/>
        <v>156.19999999999999</v>
      </c>
      <c r="V228" s="281">
        <f t="shared" si="844"/>
        <v>179.7</v>
      </c>
      <c r="W228" s="281">
        <f t="shared" si="844"/>
        <v>179.7</v>
      </c>
      <c r="X228" s="281">
        <f t="shared" si="844"/>
        <v>179.7</v>
      </c>
      <c r="Y228" s="281">
        <f t="shared" si="844"/>
        <v>159</v>
      </c>
      <c r="Z228" s="281">
        <f t="shared" si="844"/>
        <v>152.4</v>
      </c>
      <c r="AA228" s="281">
        <f t="shared" si="844"/>
        <v>152.4</v>
      </c>
      <c r="AB228" s="281">
        <f t="shared" si="844"/>
        <v>145.19999999999999</v>
      </c>
      <c r="AC228" s="281">
        <f t="shared" si="844"/>
        <v>128.9</v>
      </c>
      <c r="AD228" s="281">
        <f t="shared" si="844"/>
        <v>128.9</v>
      </c>
      <c r="AE228" s="281">
        <f t="shared" si="844"/>
        <v>128.9</v>
      </c>
      <c r="AF228" s="281">
        <f t="shared" si="844"/>
        <v>129.30000000000001</v>
      </c>
      <c r="AG228" s="281">
        <f t="shared" si="844"/>
        <v>128.4</v>
      </c>
      <c r="AH228" s="281">
        <f t="shared" si="844"/>
        <v>128.4</v>
      </c>
      <c r="AI228" s="281">
        <f t="shared" si="844"/>
        <v>133.30000000000001</v>
      </c>
      <c r="AJ228" s="281">
        <f t="shared" si="844"/>
        <v>149.1</v>
      </c>
      <c r="AK228" s="281">
        <f t="shared" si="844"/>
        <v>149.1</v>
      </c>
      <c r="AL228" s="281">
        <f t="shared" si="844"/>
        <v>149.1</v>
      </c>
      <c r="AM228" s="281">
        <f t="shared" si="844"/>
        <v>154.9</v>
      </c>
      <c r="AN228" s="281">
        <f t="shared" si="844"/>
        <v>146.69999999999999</v>
      </c>
      <c r="AO228" s="281">
        <f>AN228</f>
        <v>146.69999999999999</v>
      </c>
      <c r="AP228" s="281">
        <f>AP177</f>
        <v>155.1</v>
      </c>
      <c r="AQ228" s="281">
        <f>AQ177</f>
        <v>161.5</v>
      </c>
      <c r="AR228" s="281">
        <f>AR177</f>
        <v>161.5</v>
      </c>
      <c r="AS228" s="281">
        <f>AS177</f>
        <v>161.5</v>
      </c>
      <c r="AT228" s="281">
        <f t="shared" ref="AT228:AU230" si="845">AT222*AT$17*4</f>
        <v>170.4</v>
      </c>
      <c r="AU228" s="281">
        <f t="shared" si="845"/>
        <v>167.9</v>
      </c>
      <c r="AV228" s="281">
        <f>AU228</f>
        <v>167.9</v>
      </c>
      <c r="AW228" s="289">
        <v>179.1</v>
      </c>
      <c r="AX228" s="281">
        <f>AX222*AX$17*4</f>
        <v>185.31839211795406</v>
      </c>
      <c r="AY228" s="281">
        <f t="shared" ref="AY228:AZ230" si="846">AX228</f>
        <v>185.31839211795406</v>
      </c>
      <c r="AZ228" s="281">
        <f t="shared" si="846"/>
        <v>185.31839211795406</v>
      </c>
      <c r="BA228" s="281">
        <f t="shared" ref="BA228:BB230" si="847">BA222*BA$17*4</f>
        <v>187.70000000000002</v>
      </c>
      <c r="BB228" s="281">
        <f t="shared" si="847"/>
        <v>197.2</v>
      </c>
      <c r="BC228" s="281">
        <f>BB228</f>
        <v>197.2</v>
      </c>
      <c r="BD228" s="281">
        <f t="shared" ref="BD228:BE230" si="848">BD222*BD$17*4</f>
        <v>180.90000000000003</v>
      </c>
      <c r="BE228" s="281">
        <f t="shared" si="848"/>
        <v>195.68626891483447</v>
      </c>
      <c r="BF228" s="281">
        <f t="shared" ref="BF228:BG230" si="849">BE228</f>
        <v>195.68626891483447</v>
      </c>
      <c r="BG228" s="281">
        <f t="shared" si="849"/>
        <v>195.68626891483447</v>
      </c>
      <c r="BH228" s="281">
        <f>BH177</f>
        <v>169.8</v>
      </c>
      <c r="BI228" s="281">
        <f>BI222*BI$17*4</f>
        <v>169.1</v>
      </c>
      <c r="BJ228" s="281">
        <f>BI228</f>
        <v>169.1</v>
      </c>
      <c r="BK228" s="281">
        <f t="shared" ref="BK228:BL230" si="850">BK222*BK$17*4</f>
        <v>184.5</v>
      </c>
      <c r="BL228" s="281">
        <f t="shared" si="850"/>
        <v>190.7</v>
      </c>
      <c r="BM228" s="281">
        <f t="shared" ref="BM228:BN230" si="851">BL228</f>
        <v>190.7</v>
      </c>
      <c r="BN228" s="281">
        <f t="shared" si="851"/>
        <v>190.7</v>
      </c>
      <c r="BO228" s="281">
        <f t="shared" ref="BO228:BW228" si="852">BO177</f>
        <v>204.6</v>
      </c>
      <c r="BP228" s="281">
        <f t="shared" si="852"/>
        <v>199.7</v>
      </c>
      <c r="BQ228" s="281">
        <f t="shared" si="852"/>
        <v>199.7</v>
      </c>
      <c r="BR228" s="281">
        <f t="shared" si="852"/>
        <v>217.5</v>
      </c>
      <c r="BS228" s="281">
        <f t="shared" si="852"/>
        <v>218</v>
      </c>
      <c r="BT228" s="281">
        <f t="shared" si="852"/>
        <v>218</v>
      </c>
      <c r="BU228" s="281">
        <f t="shared" si="852"/>
        <v>218</v>
      </c>
      <c r="BV228" s="281">
        <f t="shared" si="852"/>
        <v>207.6</v>
      </c>
      <c r="BW228" s="281">
        <f t="shared" si="852"/>
        <v>187.8</v>
      </c>
      <c r="BX228" s="281">
        <f>BW228</f>
        <v>187.8</v>
      </c>
      <c r="BY228" s="281">
        <f>BY177</f>
        <v>193.9</v>
      </c>
      <c r="BZ228" s="281">
        <f>BZ177</f>
        <v>193</v>
      </c>
      <c r="CA228" s="281">
        <f t="shared" ref="CA228:CB230" si="853">BZ228</f>
        <v>193</v>
      </c>
      <c r="CB228" s="281">
        <f t="shared" si="853"/>
        <v>193</v>
      </c>
      <c r="CC228" s="281">
        <f>CC177</f>
        <v>186</v>
      </c>
      <c r="CD228" s="281">
        <f>CD177</f>
        <v>177</v>
      </c>
      <c r="CE228" s="281">
        <f>CD228</f>
        <v>177</v>
      </c>
      <c r="CF228" s="281">
        <f>CF177</f>
        <v>191.4</v>
      </c>
      <c r="CG228" s="281">
        <f>CG222*CG$17*4</f>
        <v>217.77060105448163</v>
      </c>
      <c r="CH228" s="281">
        <f t="shared" ref="CH228:CI230" si="854">CG228</f>
        <v>217.77060105448163</v>
      </c>
      <c r="CI228" s="281">
        <f t="shared" si="854"/>
        <v>217.77060105448163</v>
      </c>
      <c r="CJ228" s="281">
        <f>CJ177</f>
        <v>214.7</v>
      </c>
      <c r="CK228" s="281">
        <f>CK177</f>
        <v>231.2</v>
      </c>
      <c r="CL228" s="281">
        <f>CK228</f>
        <v>231.2</v>
      </c>
      <c r="CM228" s="281">
        <f>CM177</f>
        <v>252.1</v>
      </c>
      <c r="CN228" s="281">
        <f>CN177</f>
        <v>255.7</v>
      </c>
      <c r="CO228" s="281">
        <f t="shared" ref="CO228:CP230" si="855">CN228</f>
        <v>255.7</v>
      </c>
      <c r="CP228" s="320">
        <f t="shared" si="855"/>
        <v>255.7</v>
      </c>
      <c r="CQ228" s="320">
        <f>CQ177</f>
        <v>287.8</v>
      </c>
      <c r="CR228" s="320">
        <f>CR177</f>
        <v>287.8</v>
      </c>
      <c r="CS228" s="320">
        <f>CR228</f>
        <v>287.8</v>
      </c>
      <c r="CT228" s="320">
        <f>CT177</f>
        <v>315.39999999999998</v>
      </c>
      <c r="CU228" s="320">
        <f>CU177</f>
        <v>317.39999999999998</v>
      </c>
      <c r="CV228" s="320">
        <f t="shared" ref="CV228:CW230" si="856">CU228</f>
        <v>317.39999999999998</v>
      </c>
      <c r="CW228" s="320">
        <f t="shared" si="856"/>
        <v>317.39999999999998</v>
      </c>
      <c r="CX228" s="320">
        <f>CX177</f>
        <v>311.7</v>
      </c>
      <c r="CY228" s="320">
        <f>CY177</f>
        <v>310.39999999999998</v>
      </c>
      <c r="CZ228" s="320">
        <f>CY228</f>
        <v>310.39999999999998</v>
      </c>
      <c r="DA228" s="320">
        <f>DA177</f>
        <v>329.5</v>
      </c>
      <c r="DB228" s="320">
        <f>DB177</f>
        <v>305.10000000000002</v>
      </c>
      <c r="DC228" s="320">
        <f t="shared" ref="DC228:DD230" si="857">DB228</f>
        <v>305.10000000000002</v>
      </c>
      <c r="DD228" s="583">
        <f t="shared" si="857"/>
        <v>305.10000000000002</v>
      </c>
      <c r="DE228" s="320">
        <f>DE177</f>
        <v>258.5</v>
      </c>
      <c r="DF228" s="320">
        <f>DF177</f>
        <v>230.2</v>
      </c>
      <c r="DG228" s="320">
        <f>DF228</f>
        <v>230.2</v>
      </c>
      <c r="DH228" s="320">
        <f>DH177</f>
        <v>230.1</v>
      </c>
      <c r="DI228" s="320">
        <f>DI177</f>
        <v>218.3</v>
      </c>
      <c r="DJ228" s="320">
        <f t="shared" ref="DJ228:DK230" si="858">DI228</f>
        <v>218.3</v>
      </c>
      <c r="DK228" s="583">
        <f t="shared" si="858"/>
        <v>218.3</v>
      </c>
      <c r="DL228" s="344">
        <f>DL177</f>
        <v>226.8</v>
      </c>
      <c r="DM228" s="320">
        <f>DM177</f>
        <v>239.2</v>
      </c>
      <c r="DN228" s="320">
        <f>DM228</f>
        <v>239.2</v>
      </c>
      <c r="DO228" s="320">
        <f>DO177</f>
        <v>270.10000000000002</v>
      </c>
      <c r="DP228" s="320">
        <f>DP177</f>
        <v>279.7</v>
      </c>
      <c r="DQ228" s="320">
        <f t="shared" ref="DQ228:DR230" si="859">DP228</f>
        <v>279.7</v>
      </c>
      <c r="DR228" s="583">
        <f t="shared" si="859"/>
        <v>279.7</v>
      </c>
      <c r="DS228" s="320">
        <f>DS177</f>
        <v>297.89999999999998</v>
      </c>
      <c r="DT228" s="320">
        <f>DT177</f>
        <v>320.2</v>
      </c>
      <c r="DU228" s="320">
        <f>DT228</f>
        <v>320.2</v>
      </c>
      <c r="DV228" s="320">
        <f>DV177</f>
        <v>371.4</v>
      </c>
      <c r="DW228" s="320">
        <f>DW177</f>
        <v>344.2</v>
      </c>
      <c r="DX228" s="320">
        <f t="shared" ref="DX228:DY230" si="860">DW228</f>
        <v>344.2</v>
      </c>
      <c r="DY228" s="583">
        <f t="shared" si="860"/>
        <v>344.2</v>
      </c>
      <c r="DZ228" s="320">
        <f>DZ177</f>
        <v>312.10000000000002</v>
      </c>
      <c r="EA228" s="320">
        <f>EA177</f>
        <v>296.7</v>
      </c>
      <c r="EB228" s="320">
        <f>EA228</f>
        <v>296.7</v>
      </c>
      <c r="EC228" s="320">
        <f>EC177</f>
        <v>321.39999999999998</v>
      </c>
      <c r="ED228" s="320">
        <f>ED177</f>
        <v>337.8</v>
      </c>
      <c r="EE228" s="320">
        <f t="shared" ref="EE228:EF230" si="861">ED228</f>
        <v>337.8</v>
      </c>
      <c r="EF228" s="583">
        <f t="shared" si="861"/>
        <v>337.8</v>
      </c>
      <c r="EG228" s="320">
        <f>EG177</f>
        <v>369</v>
      </c>
      <c r="EH228" s="320">
        <f>EH177</f>
        <v>372.7</v>
      </c>
      <c r="EI228" s="320">
        <f>EH228</f>
        <v>372.7</v>
      </c>
      <c r="EJ228" s="320">
        <f>EJ177</f>
        <v>350.3</v>
      </c>
      <c r="EK228" s="320">
        <f>EK177</f>
        <v>347.1</v>
      </c>
      <c r="EL228" s="320">
        <f t="shared" ref="EL228:EM230" si="862">EK228</f>
        <v>347.1</v>
      </c>
      <c r="EM228" s="583">
        <f t="shared" si="862"/>
        <v>347.1</v>
      </c>
      <c r="EN228" s="320">
        <f>EN177</f>
        <v>382.9</v>
      </c>
      <c r="EO228" s="320">
        <f>EO177</f>
        <v>638</v>
      </c>
      <c r="EP228" s="320">
        <f>EO228</f>
        <v>638</v>
      </c>
      <c r="EQ228" s="344">
        <f>EQ177</f>
        <v>665.8</v>
      </c>
      <c r="ER228" s="320">
        <f t="shared" ref="ER228:ER230" si="863">ER222*ER$17*4</f>
        <v>505.69545887329326</v>
      </c>
      <c r="ES228" s="320">
        <f t="shared" ref="ES228:ET230" si="864">ER228</f>
        <v>505.69545887329326</v>
      </c>
      <c r="ET228" s="583">
        <f t="shared" si="864"/>
        <v>505.69545887329326</v>
      </c>
      <c r="EU228" s="320">
        <f t="shared" ref="EU228:EV230" si="865">EU222*EU$17*4</f>
        <v>594.76653589624061</v>
      </c>
      <c r="EV228" s="320">
        <f t="shared" si="865"/>
        <v>720.28322031432629</v>
      </c>
      <c r="EW228" s="320">
        <f>EV228</f>
        <v>720.28322031432629</v>
      </c>
      <c r="EX228" s="320">
        <f t="shared" ref="EX228:EY230" si="866">EX222*EX$17*4</f>
        <v>750.78481609059929</v>
      </c>
      <c r="EY228" s="320">
        <f t="shared" si="866"/>
        <v>548.53550222420097</v>
      </c>
      <c r="EZ228" s="320">
        <f t="shared" ref="EZ228:FA230" si="867">EY228</f>
        <v>548.53550222420097</v>
      </c>
      <c r="FA228" s="583">
        <f t="shared" si="867"/>
        <v>548.53550222420097</v>
      </c>
      <c r="FB228" s="320">
        <f t="shared" ref="FB228:FC230" si="868">FB222*FB$17*4</f>
        <v>649.73242316510016</v>
      </c>
      <c r="FC228" s="320">
        <f t="shared" si="868"/>
        <v>796.93388987400135</v>
      </c>
      <c r="FD228" s="320">
        <f>FC228</f>
        <v>796.93388987400135</v>
      </c>
      <c r="FE228" s="320">
        <f t="shared" ref="FE228:FF230" si="869">FE222*FE$17*4</f>
        <v>830.47677605164745</v>
      </c>
      <c r="FF228" s="320">
        <f t="shared" si="869"/>
        <v>602.55137109624241</v>
      </c>
      <c r="FG228" s="320">
        <f t="shared" ref="FG228:FH230" si="870">FF228</f>
        <v>602.55137109624241</v>
      </c>
      <c r="FH228" s="583">
        <f t="shared" si="870"/>
        <v>602.55137109624241</v>
      </c>
      <c r="FI228" s="320">
        <f t="shared" ref="FI228:FJ230" si="871">FI222*FI$17*4</f>
        <v>701.33975199331826</v>
      </c>
      <c r="FJ228" s="320">
        <f t="shared" si="871"/>
        <v>856.34494736204636</v>
      </c>
      <c r="FK228" s="320">
        <f>FJ228</f>
        <v>856.34494736204636</v>
      </c>
      <c r="FL228" s="320">
        <f t="shared" ref="FL228:FM230" si="872">FL222*FL$17*4</f>
        <v>890.91717471924585</v>
      </c>
      <c r="FM228" s="320">
        <f t="shared" si="872"/>
        <v>642.26315214924819</v>
      </c>
      <c r="FN228" s="320">
        <f t="shared" ref="FN228:FO230" si="873">FM228</f>
        <v>642.26315214924819</v>
      </c>
      <c r="FO228" s="583">
        <f t="shared" si="873"/>
        <v>642.26315214924819</v>
      </c>
      <c r="FP228" s="320">
        <f t="shared" ref="FP228:FQ230" si="874">FP222*FP$17*4</f>
        <v>750.3766347004904</v>
      </c>
      <c r="FQ228" s="320">
        <f t="shared" si="874"/>
        <v>922.2269427154032</v>
      </c>
      <c r="FR228" s="320">
        <f>FQ228</f>
        <v>922.2269427154032</v>
      </c>
      <c r="FS228" s="320">
        <f t="shared" ref="FS228:FT230" si="875">FS222*FS$17*4</f>
        <v>962.52260106735969</v>
      </c>
      <c r="FT228" s="320">
        <f t="shared" si="875"/>
        <v>691.42237123884399</v>
      </c>
      <c r="FU228" s="320">
        <f t="shared" ref="FU228:FV230" si="876">FT228</f>
        <v>691.42237123884399</v>
      </c>
      <c r="FV228" s="583">
        <f t="shared" si="876"/>
        <v>691.42237123884399</v>
      </c>
    </row>
    <row r="229" spans="2:178" outlineLevel="1" x14ac:dyDescent="0.3">
      <c r="B229" s="502" t="s">
        <v>229</v>
      </c>
      <c r="C229" s="280" t="s">
        <v>226</v>
      </c>
      <c r="D229" s="281">
        <f t="shared" ref="D229:AN229" si="877">D176</f>
        <v>139</v>
      </c>
      <c r="E229" s="281">
        <f t="shared" si="877"/>
        <v>131.9</v>
      </c>
      <c r="F229" s="281">
        <f t="shared" si="877"/>
        <v>131.9</v>
      </c>
      <c r="G229" s="281">
        <f t="shared" si="877"/>
        <v>125.1</v>
      </c>
      <c r="H229" s="281">
        <f t="shared" si="877"/>
        <v>153.19999999999999</v>
      </c>
      <c r="I229" s="281">
        <f t="shared" si="877"/>
        <v>153.19999999999999</v>
      </c>
      <c r="J229" s="281">
        <f t="shared" si="877"/>
        <v>153.19999999999999</v>
      </c>
      <c r="K229" s="281">
        <f t="shared" si="877"/>
        <v>158</v>
      </c>
      <c r="L229" s="281">
        <f t="shared" si="877"/>
        <v>157.6</v>
      </c>
      <c r="M229" s="281">
        <f t="shared" si="877"/>
        <v>157.6</v>
      </c>
      <c r="N229" s="281">
        <f t="shared" si="877"/>
        <v>123.3</v>
      </c>
      <c r="O229" s="281">
        <f t="shared" si="877"/>
        <v>163.4</v>
      </c>
      <c r="P229" s="281">
        <f t="shared" si="877"/>
        <v>163.4</v>
      </c>
      <c r="Q229" s="281">
        <f t="shared" si="877"/>
        <v>163.4</v>
      </c>
      <c r="R229" s="281">
        <f t="shared" si="877"/>
        <v>168.2</v>
      </c>
      <c r="S229" s="281">
        <f t="shared" si="877"/>
        <v>171.1</v>
      </c>
      <c r="T229" s="281">
        <f t="shared" si="877"/>
        <v>171.1</v>
      </c>
      <c r="U229" s="281">
        <f t="shared" si="877"/>
        <v>131.80000000000001</v>
      </c>
      <c r="V229" s="281">
        <f t="shared" si="877"/>
        <v>131.4</v>
      </c>
      <c r="W229" s="281">
        <f t="shared" si="877"/>
        <v>131.4</v>
      </c>
      <c r="X229" s="281">
        <f t="shared" si="877"/>
        <v>131.4</v>
      </c>
      <c r="Y229" s="281">
        <f t="shared" si="877"/>
        <v>140.6</v>
      </c>
      <c r="Z229" s="281">
        <f t="shared" si="877"/>
        <v>124.9</v>
      </c>
      <c r="AA229" s="281">
        <f t="shared" si="877"/>
        <v>124.9</v>
      </c>
      <c r="AB229" s="281">
        <f t="shared" si="877"/>
        <v>88.9</v>
      </c>
      <c r="AC229" s="281">
        <f t="shared" si="877"/>
        <v>111.4</v>
      </c>
      <c r="AD229" s="281">
        <f t="shared" si="877"/>
        <v>111.4</v>
      </c>
      <c r="AE229" s="281">
        <f t="shared" si="877"/>
        <v>111.4</v>
      </c>
      <c r="AF229" s="281">
        <f t="shared" si="877"/>
        <v>123.1</v>
      </c>
      <c r="AG229" s="281">
        <f t="shared" si="877"/>
        <v>127.6</v>
      </c>
      <c r="AH229" s="281">
        <f t="shared" si="877"/>
        <v>127.6</v>
      </c>
      <c r="AI229" s="281">
        <f t="shared" si="877"/>
        <v>114.7</v>
      </c>
      <c r="AJ229" s="281">
        <f t="shared" si="877"/>
        <v>155</v>
      </c>
      <c r="AK229" s="281">
        <f t="shared" si="877"/>
        <v>155</v>
      </c>
      <c r="AL229" s="281">
        <f t="shared" si="877"/>
        <v>155</v>
      </c>
      <c r="AM229" s="281">
        <f t="shared" si="877"/>
        <v>119.1</v>
      </c>
      <c r="AN229" s="281">
        <f t="shared" si="877"/>
        <v>137.19999999999999</v>
      </c>
      <c r="AO229" s="281">
        <f>AN229</f>
        <v>137.19999999999999</v>
      </c>
      <c r="AP229" s="281">
        <f>AP176</f>
        <v>100.9</v>
      </c>
      <c r="AQ229" s="281">
        <f>AQ176</f>
        <v>138.1</v>
      </c>
      <c r="AR229" s="281">
        <f>AR176</f>
        <v>138.1</v>
      </c>
      <c r="AS229" s="281">
        <f>AS176</f>
        <v>138.1</v>
      </c>
      <c r="AT229" s="281">
        <f t="shared" si="845"/>
        <v>131.9</v>
      </c>
      <c r="AU229" s="281">
        <f t="shared" si="845"/>
        <v>137.6</v>
      </c>
      <c r="AV229" s="281">
        <f>AU229</f>
        <v>137.6</v>
      </c>
      <c r="AW229" s="289">
        <v>110.4</v>
      </c>
      <c r="AX229" s="281">
        <f>AX223*AX$17*4</f>
        <v>158.4673062011731</v>
      </c>
      <c r="AY229" s="281">
        <f t="shared" si="846"/>
        <v>158.4673062011731</v>
      </c>
      <c r="AZ229" s="281">
        <f t="shared" si="846"/>
        <v>158.4673062011731</v>
      </c>
      <c r="BA229" s="281">
        <f t="shared" si="847"/>
        <v>146</v>
      </c>
      <c r="BB229" s="281">
        <f t="shared" si="847"/>
        <v>142</v>
      </c>
      <c r="BC229" s="281">
        <f>BB229</f>
        <v>142</v>
      </c>
      <c r="BD229" s="281">
        <f t="shared" si="848"/>
        <v>110.7</v>
      </c>
      <c r="BE229" s="281">
        <f t="shared" si="848"/>
        <v>167.33296431664792</v>
      </c>
      <c r="BF229" s="281">
        <f t="shared" si="849"/>
        <v>167.33296431664792</v>
      </c>
      <c r="BG229" s="281">
        <f t="shared" si="849"/>
        <v>167.33296431664792</v>
      </c>
      <c r="BH229" s="281">
        <f>BH176</f>
        <v>141.69999999999999</v>
      </c>
      <c r="BI229" s="281">
        <f>BI223*BI$17*4</f>
        <v>133.6</v>
      </c>
      <c r="BJ229" s="281">
        <f>BI229</f>
        <v>133.6</v>
      </c>
      <c r="BK229" s="281">
        <f t="shared" si="850"/>
        <v>113.1</v>
      </c>
      <c r="BL229" s="281">
        <f t="shared" si="850"/>
        <v>139.19999999999999</v>
      </c>
      <c r="BM229" s="281">
        <f t="shared" si="851"/>
        <v>139.19999999999999</v>
      </c>
      <c r="BN229" s="281">
        <f t="shared" si="851"/>
        <v>139.19999999999999</v>
      </c>
      <c r="BO229" s="281">
        <f t="shared" ref="BO229:BW229" si="878">BO176</f>
        <v>141.4</v>
      </c>
      <c r="BP229" s="281">
        <f t="shared" si="878"/>
        <v>142.19999999999999</v>
      </c>
      <c r="BQ229" s="281">
        <f t="shared" si="878"/>
        <v>142.19999999999999</v>
      </c>
      <c r="BR229" s="281">
        <f t="shared" si="878"/>
        <v>109.8</v>
      </c>
      <c r="BS229" s="281">
        <f t="shared" si="878"/>
        <v>133.30000000000001</v>
      </c>
      <c r="BT229" s="281">
        <f t="shared" si="878"/>
        <v>133.30000000000001</v>
      </c>
      <c r="BU229" s="281">
        <f t="shared" si="878"/>
        <v>133.30000000000001</v>
      </c>
      <c r="BV229" s="281">
        <f t="shared" si="878"/>
        <v>153.9</v>
      </c>
      <c r="BW229" s="281">
        <f t="shared" si="878"/>
        <v>151.6</v>
      </c>
      <c r="BX229" s="281">
        <f>BW229</f>
        <v>151.6</v>
      </c>
      <c r="BY229" s="281">
        <f>BY176</f>
        <v>122.9</v>
      </c>
      <c r="BZ229" s="281">
        <f>BZ176</f>
        <v>173.3</v>
      </c>
      <c r="CA229" s="281">
        <f t="shared" si="853"/>
        <v>173.3</v>
      </c>
      <c r="CB229" s="281">
        <f t="shared" si="853"/>
        <v>173.3</v>
      </c>
      <c r="CC229" s="281">
        <f>CC176</f>
        <v>172.5</v>
      </c>
      <c r="CD229" s="281">
        <f>CD176</f>
        <v>172.1</v>
      </c>
      <c r="CE229" s="281">
        <f>CD229</f>
        <v>172.1</v>
      </c>
      <c r="CF229" s="281">
        <f>CF176</f>
        <v>140.6</v>
      </c>
      <c r="CG229" s="281">
        <f>CG223*CG$17*4</f>
        <v>197.46374740723667</v>
      </c>
      <c r="CH229" s="281">
        <f t="shared" si="854"/>
        <v>197.46374740723667</v>
      </c>
      <c r="CI229" s="281">
        <f t="shared" si="854"/>
        <v>197.46374740723667</v>
      </c>
      <c r="CJ229" s="281">
        <f>CJ176</f>
        <v>188.6</v>
      </c>
      <c r="CK229" s="281">
        <f>CK176</f>
        <v>191.9</v>
      </c>
      <c r="CL229" s="281">
        <f>CK229</f>
        <v>191.9</v>
      </c>
      <c r="CM229" s="281">
        <f>CM176</f>
        <v>157.30000000000001</v>
      </c>
      <c r="CN229" s="281">
        <f>CN176</f>
        <v>202.7</v>
      </c>
      <c r="CO229" s="281">
        <f t="shared" si="855"/>
        <v>202.7</v>
      </c>
      <c r="CP229" s="320">
        <f t="shared" si="855"/>
        <v>202.7</v>
      </c>
      <c r="CQ229" s="320">
        <f>CQ176</f>
        <v>225.6</v>
      </c>
      <c r="CR229" s="320">
        <f>CR176</f>
        <v>238</v>
      </c>
      <c r="CS229" s="320">
        <f>CR229</f>
        <v>238</v>
      </c>
      <c r="CT229" s="320">
        <f>CT176</f>
        <v>171.6</v>
      </c>
      <c r="CU229" s="320">
        <f>CU176</f>
        <v>254.6</v>
      </c>
      <c r="CV229" s="320">
        <f t="shared" si="856"/>
        <v>254.6</v>
      </c>
      <c r="CW229" s="320">
        <f t="shared" si="856"/>
        <v>254.6</v>
      </c>
      <c r="CX229" s="320">
        <f>CX176</f>
        <v>258.3</v>
      </c>
      <c r="CY229" s="320">
        <f>CY176</f>
        <v>240.8</v>
      </c>
      <c r="CZ229" s="320">
        <f>CY229</f>
        <v>240.8</v>
      </c>
      <c r="DA229" s="320">
        <f>DA176</f>
        <v>203.1</v>
      </c>
      <c r="DB229" s="320">
        <f>DB176</f>
        <v>363.3</v>
      </c>
      <c r="DC229" s="320">
        <f t="shared" si="857"/>
        <v>363.3</v>
      </c>
      <c r="DD229" s="583">
        <f t="shared" si="857"/>
        <v>363.3</v>
      </c>
      <c r="DE229" s="320">
        <f>DE176</f>
        <v>330</v>
      </c>
      <c r="DF229" s="320">
        <f>DF176</f>
        <v>305.5</v>
      </c>
      <c r="DG229" s="320">
        <f>DF229</f>
        <v>305.5</v>
      </c>
      <c r="DH229" s="320">
        <f>DH176</f>
        <v>272</v>
      </c>
      <c r="DI229" s="320">
        <f>DI176</f>
        <v>333.2</v>
      </c>
      <c r="DJ229" s="320">
        <f t="shared" si="858"/>
        <v>333.2</v>
      </c>
      <c r="DK229" s="583">
        <f t="shared" si="858"/>
        <v>333.2</v>
      </c>
      <c r="DL229" s="344">
        <f>DL176</f>
        <v>338</v>
      </c>
      <c r="DM229" s="320">
        <f>DM176</f>
        <v>333.9</v>
      </c>
      <c r="DN229" s="320">
        <f>DM229</f>
        <v>333.9</v>
      </c>
      <c r="DO229" s="320">
        <f>DO176</f>
        <v>325.60000000000002</v>
      </c>
      <c r="DP229" s="320">
        <f>DP176</f>
        <v>398.4</v>
      </c>
      <c r="DQ229" s="320">
        <f t="shared" si="859"/>
        <v>398.4</v>
      </c>
      <c r="DR229" s="583">
        <f t="shared" si="859"/>
        <v>398.4</v>
      </c>
      <c r="DS229" s="320">
        <f>DS176</f>
        <v>371.8</v>
      </c>
      <c r="DT229" s="320">
        <f>DT176</f>
        <v>343.4</v>
      </c>
      <c r="DU229" s="320">
        <f>DT229</f>
        <v>343.4</v>
      </c>
      <c r="DV229" s="320">
        <f>DV176</f>
        <v>286.2</v>
      </c>
      <c r="DW229" s="320">
        <f>DW176</f>
        <v>354.8</v>
      </c>
      <c r="DX229" s="320">
        <f t="shared" si="860"/>
        <v>354.8</v>
      </c>
      <c r="DY229" s="583">
        <f t="shared" si="860"/>
        <v>354.8</v>
      </c>
      <c r="DZ229" s="320">
        <f>DZ176</f>
        <v>359.3</v>
      </c>
      <c r="EA229" s="320">
        <f>EA176</f>
        <v>357.9</v>
      </c>
      <c r="EB229" s="320">
        <f>EA229</f>
        <v>357.9</v>
      </c>
      <c r="EC229" s="320">
        <f>EC176</f>
        <v>311.60000000000002</v>
      </c>
      <c r="ED229" s="320">
        <f>ED176</f>
        <v>366.1</v>
      </c>
      <c r="EE229" s="320">
        <f t="shared" si="861"/>
        <v>366.1</v>
      </c>
      <c r="EF229" s="583">
        <f t="shared" si="861"/>
        <v>366.1</v>
      </c>
      <c r="EG229" s="320">
        <f>EG176</f>
        <v>366</v>
      </c>
      <c r="EH229" s="320">
        <f>EH176</f>
        <v>346.8</v>
      </c>
      <c r="EI229" s="320">
        <f>EH229</f>
        <v>346.8</v>
      </c>
      <c r="EJ229" s="320">
        <f>EJ176</f>
        <v>270.60000000000002</v>
      </c>
      <c r="EK229" s="320">
        <f>EK176</f>
        <v>391.8</v>
      </c>
      <c r="EL229" s="320">
        <f t="shared" si="862"/>
        <v>391.8</v>
      </c>
      <c r="EM229" s="583">
        <f t="shared" si="862"/>
        <v>391.8</v>
      </c>
      <c r="EN229" s="320">
        <f>EN176</f>
        <v>323.2</v>
      </c>
      <c r="EO229" s="320">
        <f>EO176</f>
        <v>359.7</v>
      </c>
      <c r="EP229" s="320">
        <f>EO229</f>
        <v>359.7</v>
      </c>
      <c r="EQ229" s="344">
        <f>EQ176</f>
        <v>311</v>
      </c>
      <c r="ER229" s="320">
        <f t="shared" si="863"/>
        <v>570.81959316207519</v>
      </c>
      <c r="ES229" s="320">
        <f t="shared" si="864"/>
        <v>570.81959316207519</v>
      </c>
      <c r="ET229" s="583">
        <f t="shared" si="864"/>
        <v>570.81959316207519</v>
      </c>
      <c r="EU229" s="320">
        <f t="shared" si="865"/>
        <v>502.0332838904805</v>
      </c>
      <c r="EV229" s="320">
        <f t="shared" si="865"/>
        <v>406.09071214273223</v>
      </c>
      <c r="EW229" s="320">
        <f>EV229</f>
        <v>406.09071214273223</v>
      </c>
      <c r="EX229" s="320">
        <f t="shared" si="866"/>
        <v>350.69702283595132</v>
      </c>
      <c r="EY229" s="320">
        <f t="shared" si="866"/>
        <v>619.17663431703238</v>
      </c>
      <c r="EZ229" s="320">
        <f t="shared" si="867"/>
        <v>619.17663431703238</v>
      </c>
      <c r="FA229" s="583">
        <f t="shared" si="867"/>
        <v>619.17663431703238</v>
      </c>
      <c r="FB229" s="320">
        <f t="shared" si="868"/>
        <v>548.42914381551418</v>
      </c>
      <c r="FC229" s="320">
        <f t="shared" si="868"/>
        <v>449.30583101516976</v>
      </c>
      <c r="FD229" s="320">
        <f>FC229</f>
        <v>449.30583101516976</v>
      </c>
      <c r="FE229" s="320">
        <f t="shared" si="869"/>
        <v>387.92171425662718</v>
      </c>
      <c r="FF229" s="320">
        <f t="shared" si="869"/>
        <v>680.1487386790775</v>
      </c>
      <c r="FG229" s="320">
        <f t="shared" si="870"/>
        <v>680.1487386790775</v>
      </c>
      <c r="FH229" s="583">
        <f t="shared" si="870"/>
        <v>680.1487386790775</v>
      </c>
      <c r="FI229" s="320">
        <f t="shared" si="871"/>
        <v>591.99009622418509</v>
      </c>
      <c r="FJ229" s="320">
        <f t="shared" si="871"/>
        <v>482.80137549549858</v>
      </c>
      <c r="FK229" s="320">
        <f>FJ229</f>
        <v>482.80137549549858</v>
      </c>
      <c r="FL229" s="320">
        <f t="shared" si="872"/>
        <v>416.15386202716354</v>
      </c>
      <c r="FM229" s="320">
        <f t="shared" si="872"/>
        <v>724.97465575360263</v>
      </c>
      <c r="FN229" s="320">
        <f t="shared" si="873"/>
        <v>724.97465575360263</v>
      </c>
      <c r="FO229" s="583">
        <f t="shared" si="873"/>
        <v>724.97465575360263</v>
      </c>
      <c r="FP229" s="320">
        <f t="shared" si="874"/>
        <v>633.38137460224209</v>
      </c>
      <c r="FQ229" s="320">
        <f t="shared" si="874"/>
        <v>519.94519011713248</v>
      </c>
      <c r="FR229" s="320">
        <f>FQ229</f>
        <v>519.94519011713248</v>
      </c>
      <c r="FS229" s="320">
        <f t="shared" si="875"/>
        <v>449.60127505549548</v>
      </c>
      <c r="FT229" s="320">
        <f t="shared" si="875"/>
        <v>780.4646645098793</v>
      </c>
      <c r="FU229" s="320">
        <f t="shared" si="876"/>
        <v>780.4646645098793</v>
      </c>
      <c r="FV229" s="583">
        <f t="shared" si="876"/>
        <v>780.4646645098793</v>
      </c>
    </row>
    <row r="230" spans="2:178" outlineLevel="1" x14ac:dyDescent="0.3">
      <c r="B230" s="502" t="s">
        <v>563</v>
      </c>
      <c r="C230" s="280" t="s">
        <v>226</v>
      </c>
      <c r="D230" s="281">
        <f t="shared" ref="D230:AN230" si="879">D191</f>
        <v>104.3</v>
      </c>
      <c r="E230" s="281">
        <f t="shared" si="879"/>
        <v>120.3</v>
      </c>
      <c r="F230" s="281">
        <f t="shared" si="879"/>
        <v>120.3</v>
      </c>
      <c r="G230" s="281">
        <f t="shared" si="879"/>
        <v>107.8</v>
      </c>
      <c r="H230" s="281">
        <f t="shared" si="879"/>
        <v>117.8</v>
      </c>
      <c r="I230" s="281">
        <f t="shared" si="879"/>
        <v>117.8</v>
      </c>
      <c r="J230" s="281">
        <f t="shared" si="879"/>
        <v>117.8</v>
      </c>
      <c r="K230" s="281">
        <f t="shared" si="879"/>
        <v>114.5</v>
      </c>
      <c r="L230" s="281">
        <f t="shared" si="879"/>
        <v>116.5</v>
      </c>
      <c r="M230" s="281">
        <f t="shared" si="879"/>
        <v>116.5</v>
      </c>
      <c r="N230" s="281">
        <f t="shared" si="879"/>
        <v>96.2</v>
      </c>
      <c r="O230" s="281">
        <f t="shared" si="879"/>
        <v>100.8</v>
      </c>
      <c r="P230" s="281">
        <f t="shared" si="879"/>
        <v>100.8</v>
      </c>
      <c r="Q230" s="281">
        <f t="shared" si="879"/>
        <v>100.8</v>
      </c>
      <c r="R230" s="281">
        <f t="shared" si="879"/>
        <v>125.8</v>
      </c>
      <c r="S230" s="281">
        <f t="shared" si="879"/>
        <v>150.9</v>
      </c>
      <c r="T230" s="281">
        <f t="shared" si="879"/>
        <v>150.9</v>
      </c>
      <c r="U230" s="281">
        <f t="shared" si="879"/>
        <v>114.2</v>
      </c>
      <c r="V230" s="281">
        <f t="shared" si="879"/>
        <v>107.6</v>
      </c>
      <c r="W230" s="281">
        <f t="shared" si="879"/>
        <v>107.6</v>
      </c>
      <c r="X230" s="281">
        <f t="shared" si="879"/>
        <v>107.6</v>
      </c>
      <c r="Y230" s="281">
        <f t="shared" si="879"/>
        <v>92.4</v>
      </c>
      <c r="Z230" s="281">
        <f t="shared" si="879"/>
        <v>109</v>
      </c>
      <c r="AA230" s="281">
        <f t="shared" si="879"/>
        <v>109</v>
      </c>
      <c r="AB230" s="281">
        <f t="shared" si="879"/>
        <v>105.9</v>
      </c>
      <c r="AC230" s="281">
        <f t="shared" si="879"/>
        <v>89.1</v>
      </c>
      <c r="AD230" s="281">
        <f t="shared" si="879"/>
        <v>89.1</v>
      </c>
      <c r="AE230" s="281">
        <f t="shared" si="879"/>
        <v>89.1</v>
      </c>
      <c r="AF230" s="281">
        <f t="shared" si="879"/>
        <v>88.5</v>
      </c>
      <c r="AG230" s="281">
        <f t="shared" si="879"/>
        <v>96.4</v>
      </c>
      <c r="AH230" s="281">
        <f t="shared" si="879"/>
        <v>96.4</v>
      </c>
      <c r="AI230" s="281">
        <f t="shared" si="879"/>
        <v>74.8</v>
      </c>
      <c r="AJ230" s="281">
        <f t="shared" si="879"/>
        <v>100.9</v>
      </c>
      <c r="AK230" s="281">
        <f t="shared" si="879"/>
        <v>100.9</v>
      </c>
      <c r="AL230" s="281">
        <f t="shared" si="879"/>
        <v>100.9</v>
      </c>
      <c r="AM230" s="281">
        <f t="shared" si="879"/>
        <v>92.9</v>
      </c>
      <c r="AN230" s="281">
        <f t="shared" si="879"/>
        <v>94</v>
      </c>
      <c r="AO230" s="281">
        <f>AN230</f>
        <v>94</v>
      </c>
      <c r="AP230" s="281">
        <f>AP224*AP$17*4</f>
        <v>99.7</v>
      </c>
      <c r="AQ230" s="281">
        <f>AQ191</f>
        <v>106.4</v>
      </c>
      <c r="AR230" s="281">
        <f>AR191</f>
        <v>106.4</v>
      </c>
      <c r="AS230" s="281">
        <f>AS191</f>
        <v>106.4</v>
      </c>
      <c r="AT230" s="281">
        <f t="shared" si="845"/>
        <v>99.2</v>
      </c>
      <c r="AU230" s="281">
        <f t="shared" si="845"/>
        <v>101.1</v>
      </c>
      <c r="AV230" s="281">
        <f>AU230</f>
        <v>101.1</v>
      </c>
      <c r="AW230" s="289">
        <v>103.6</v>
      </c>
      <c r="AX230" s="281">
        <f>AX224*AX$17*4</f>
        <v>122.09211716006386</v>
      </c>
      <c r="AY230" s="281">
        <f t="shared" si="846"/>
        <v>122.09211716006386</v>
      </c>
      <c r="AZ230" s="281">
        <f t="shared" si="846"/>
        <v>122.09211716006386</v>
      </c>
      <c r="BA230" s="281">
        <f t="shared" si="847"/>
        <v>94.100000000000009</v>
      </c>
      <c r="BB230" s="281">
        <f t="shared" si="847"/>
        <v>95.90000000000002</v>
      </c>
      <c r="BC230" s="281">
        <f>BB230</f>
        <v>95.90000000000002</v>
      </c>
      <c r="BD230" s="281">
        <f t="shared" si="848"/>
        <v>88.1</v>
      </c>
      <c r="BE230" s="281">
        <f t="shared" si="848"/>
        <v>128.92271834389095</v>
      </c>
      <c r="BF230" s="281">
        <f t="shared" si="849"/>
        <v>128.92271834389095</v>
      </c>
      <c r="BG230" s="281">
        <f t="shared" si="849"/>
        <v>128.92271834389095</v>
      </c>
      <c r="BH230" s="281">
        <f>BH191</f>
        <v>111.9</v>
      </c>
      <c r="BI230" s="281">
        <f>BI224*BI$17*4</f>
        <v>127.29999999999998</v>
      </c>
      <c r="BJ230" s="281">
        <f>BI230</f>
        <v>127.29999999999998</v>
      </c>
      <c r="BK230" s="281">
        <f t="shared" si="850"/>
        <v>121</v>
      </c>
      <c r="BL230" s="281">
        <f t="shared" si="850"/>
        <v>142</v>
      </c>
      <c r="BM230" s="281">
        <f t="shared" si="851"/>
        <v>142</v>
      </c>
      <c r="BN230" s="281">
        <f t="shared" si="851"/>
        <v>142</v>
      </c>
      <c r="BO230" s="281">
        <f t="shared" ref="BO230:BW230" si="880">BO191</f>
        <v>150</v>
      </c>
      <c r="BP230" s="281">
        <f t="shared" si="880"/>
        <v>155.19999999999999</v>
      </c>
      <c r="BQ230" s="281">
        <f t="shared" si="880"/>
        <v>155.19999999999999</v>
      </c>
      <c r="BR230" s="281">
        <f t="shared" si="880"/>
        <v>136</v>
      </c>
      <c r="BS230" s="281">
        <f t="shared" si="880"/>
        <v>149.6</v>
      </c>
      <c r="BT230" s="281">
        <f t="shared" si="880"/>
        <v>149.6</v>
      </c>
      <c r="BU230" s="281">
        <f t="shared" si="880"/>
        <v>149.6</v>
      </c>
      <c r="BV230" s="281">
        <f t="shared" si="880"/>
        <v>150.4</v>
      </c>
      <c r="BW230" s="281">
        <f t="shared" si="880"/>
        <v>145.80000000000001</v>
      </c>
      <c r="BX230" s="281">
        <f>BW230</f>
        <v>145.80000000000001</v>
      </c>
      <c r="BY230" s="281">
        <f>BY191</f>
        <v>136.69999999999999</v>
      </c>
      <c r="BZ230" s="281">
        <f>BZ191</f>
        <v>127.2</v>
      </c>
      <c r="CA230" s="281">
        <f t="shared" si="853"/>
        <v>127.2</v>
      </c>
      <c r="CB230" s="281">
        <f t="shared" si="853"/>
        <v>127.2</v>
      </c>
      <c r="CC230" s="281">
        <f>CC191</f>
        <v>151.30000000000001</v>
      </c>
      <c r="CD230" s="281">
        <f>CD191</f>
        <v>146.6</v>
      </c>
      <c r="CE230" s="281">
        <f>CD230</f>
        <v>146.6</v>
      </c>
      <c r="CF230" s="281">
        <f>CF191</f>
        <v>169.9</v>
      </c>
      <c r="CG230" s="281">
        <f>CG224*CG$17*4</f>
        <v>144.93588384420372</v>
      </c>
      <c r="CH230" s="281">
        <f t="shared" si="854"/>
        <v>144.93588384420372</v>
      </c>
      <c r="CI230" s="281">
        <f t="shared" si="854"/>
        <v>144.93588384420372</v>
      </c>
      <c r="CJ230" s="281">
        <f>CJ191</f>
        <v>177.6</v>
      </c>
      <c r="CK230" s="281">
        <f>CK191</f>
        <v>183.1</v>
      </c>
      <c r="CL230" s="281">
        <f>CK230</f>
        <v>183.1</v>
      </c>
      <c r="CM230" s="281">
        <f>CM191</f>
        <v>189.4</v>
      </c>
      <c r="CN230" s="281">
        <f>CN191</f>
        <v>193.3</v>
      </c>
      <c r="CO230" s="281">
        <f t="shared" si="855"/>
        <v>193.3</v>
      </c>
      <c r="CP230" s="320">
        <f t="shared" si="855"/>
        <v>193.3</v>
      </c>
      <c r="CQ230" s="320">
        <f>CQ191</f>
        <v>258.3</v>
      </c>
      <c r="CR230" s="320">
        <f>CR191</f>
        <v>274.5</v>
      </c>
      <c r="CS230" s="320">
        <f>CR230</f>
        <v>274.5</v>
      </c>
      <c r="CT230" s="320">
        <f>CT191</f>
        <v>274.89999999999998</v>
      </c>
      <c r="CU230" s="320">
        <f>CU191</f>
        <v>255.5</v>
      </c>
      <c r="CV230" s="320">
        <f t="shared" si="856"/>
        <v>255.5</v>
      </c>
      <c r="CW230" s="320">
        <f t="shared" si="856"/>
        <v>255.5</v>
      </c>
      <c r="CX230" s="320">
        <f>CX191</f>
        <v>292.60000000000002</v>
      </c>
      <c r="CY230" s="320">
        <f>CY191</f>
        <v>264.2</v>
      </c>
      <c r="CZ230" s="320">
        <f>CY230</f>
        <v>264.2</v>
      </c>
      <c r="DA230" s="320">
        <f>DA191</f>
        <v>270.7</v>
      </c>
      <c r="DB230" s="320">
        <f>DB191</f>
        <v>274.7</v>
      </c>
      <c r="DC230" s="320">
        <f t="shared" si="857"/>
        <v>274.7</v>
      </c>
      <c r="DD230" s="583">
        <f t="shared" si="857"/>
        <v>274.7</v>
      </c>
      <c r="DE230" s="320">
        <f>DE191</f>
        <v>274.10000000000002</v>
      </c>
      <c r="DF230" s="320">
        <f>DF191</f>
        <v>291.10000000000002</v>
      </c>
      <c r="DG230" s="320">
        <f>DF230</f>
        <v>291.10000000000002</v>
      </c>
      <c r="DH230" s="320">
        <f>DH191</f>
        <v>332.7</v>
      </c>
      <c r="DI230" s="320">
        <f>DI191</f>
        <v>307</v>
      </c>
      <c r="DJ230" s="320">
        <f t="shared" si="858"/>
        <v>307</v>
      </c>
      <c r="DK230" s="583">
        <f t="shared" si="858"/>
        <v>307</v>
      </c>
      <c r="DL230" s="344">
        <f>DL191</f>
        <v>350.4</v>
      </c>
      <c r="DM230" s="320">
        <f>DM191</f>
        <v>355.5</v>
      </c>
      <c r="DN230" s="320">
        <f>DM230</f>
        <v>355.5</v>
      </c>
      <c r="DO230" s="320">
        <f>DO191</f>
        <v>389.2</v>
      </c>
      <c r="DP230" s="320">
        <f>DP191</f>
        <v>458</v>
      </c>
      <c r="DQ230" s="320">
        <f t="shared" si="859"/>
        <v>458</v>
      </c>
      <c r="DR230" s="583">
        <f t="shared" si="859"/>
        <v>458</v>
      </c>
      <c r="DS230" s="320">
        <f>DS191</f>
        <v>477.3</v>
      </c>
      <c r="DT230" s="320">
        <f>DT191</f>
        <v>419.8</v>
      </c>
      <c r="DU230" s="320">
        <f>DT230</f>
        <v>419.8</v>
      </c>
      <c r="DV230" s="320">
        <f>DV191</f>
        <v>396.5</v>
      </c>
      <c r="DW230" s="320">
        <f>DW191</f>
        <v>387.7</v>
      </c>
      <c r="DX230" s="320">
        <f t="shared" si="860"/>
        <v>387.7</v>
      </c>
      <c r="DY230" s="583">
        <f t="shared" si="860"/>
        <v>387.7</v>
      </c>
      <c r="DZ230" s="320">
        <f>DZ191</f>
        <v>397.8</v>
      </c>
      <c r="EA230" s="320">
        <f>EA191</f>
        <v>414.7</v>
      </c>
      <c r="EB230" s="320">
        <f>EA230</f>
        <v>414.7</v>
      </c>
      <c r="EC230" s="320">
        <f>EC191</f>
        <v>440</v>
      </c>
      <c r="ED230" s="320">
        <f>ED191</f>
        <v>463.3</v>
      </c>
      <c r="EE230" s="320">
        <f t="shared" si="861"/>
        <v>463.3</v>
      </c>
      <c r="EF230" s="583">
        <f t="shared" si="861"/>
        <v>463.3</v>
      </c>
      <c r="EG230" s="320">
        <f>EG191</f>
        <v>445.3</v>
      </c>
      <c r="EH230" s="320">
        <f>EH191</f>
        <v>412</v>
      </c>
      <c r="EI230" s="320">
        <f>EH230</f>
        <v>412</v>
      </c>
      <c r="EJ230" s="320">
        <f>EJ191</f>
        <v>391.1</v>
      </c>
      <c r="EK230" s="320">
        <f>EK191</f>
        <v>446.4</v>
      </c>
      <c r="EL230" s="320">
        <f t="shared" si="862"/>
        <v>446.4</v>
      </c>
      <c r="EM230" s="583">
        <f t="shared" si="862"/>
        <v>446.4</v>
      </c>
      <c r="EN230" s="320">
        <f>EN191</f>
        <v>502.5</v>
      </c>
      <c r="EO230" s="320">
        <f>EO191</f>
        <v>669.8</v>
      </c>
      <c r="EP230" s="320">
        <f>EO230</f>
        <v>669.8</v>
      </c>
      <c r="EQ230" s="344">
        <f>EQ191</f>
        <v>667.2</v>
      </c>
      <c r="ER230" s="320">
        <f t="shared" si="863"/>
        <v>650.36719343427865</v>
      </c>
      <c r="ES230" s="320">
        <f t="shared" si="864"/>
        <v>650.36719343427865</v>
      </c>
      <c r="ET230" s="583">
        <f t="shared" si="864"/>
        <v>650.36719343427865</v>
      </c>
      <c r="EU230" s="320">
        <f t="shared" si="865"/>
        <v>780.54370406858436</v>
      </c>
      <c r="EV230" s="320">
        <f t="shared" si="865"/>
        <v>756.18448427356702</v>
      </c>
      <c r="EW230" s="320">
        <f>EV230</f>
        <v>756.18448427356702</v>
      </c>
      <c r="EX230" s="320">
        <f t="shared" si="866"/>
        <v>752.36351651494124</v>
      </c>
      <c r="EY230" s="320">
        <f t="shared" si="866"/>
        <v>705.46311781297402</v>
      </c>
      <c r="EZ230" s="320">
        <f t="shared" si="867"/>
        <v>705.46311781297402</v>
      </c>
      <c r="FA230" s="583">
        <f t="shared" si="867"/>
        <v>705.46311781297402</v>
      </c>
      <c r="FB230" s="320">
        <f t="shared" si="868"/>
        <v>852.67835633445509</v>
      </c>
      <c r="FC230" s="320">
        <f t="shared" si="868"/>
        <v>836.65567309969606</v>
      </c>
      <c r="FD230" s="320">
        <f>FC230</f>
        <v>836.65567309969606</v>
      </c>
      <c r="FE230" s="320">
        <f t="shared" si="869"/>
        <v>832.22304743415327</v>
      </c>
      <c r="FF230" s="320">
        <f t="shared" si="869"/>
        <v>774.93210042455371</v>
      </c>
      <c r="FG230" s="320">
        <f t="shared" si="870"/>
        <v>774.93210042455371</v>
      </c>
      <c r="FH230" s="583">
        <f t="shared" si="870"/>
        <v>774.93210042455371</v>
      </c>
      <c r="FI230" s="320">
        <f t="shared" si="871"/>
        <v>920.40539403667401</v>
      </c>
      <c r="FJ230" s="320">
        <f t="shared" si="871"/>
        <v>899.02797138416713</v>
      </c>
      <c r="FK230" s="320">
        <f>FJ230</f>
        <v>899.02797138416713</v>
      </c>
      <c r="FL230" s="320">
        <f t="shared" si="872"/>
        <v>892.79053615602425</v>
      </c>
      <c r="FM230" s="320">
        <f t="shared" si="872"/>
        <v>826.00481451865278</v>
      </c>
      <c r="FN230" s="320">
        <f t="shared" si="873"/>
        <v>826.00481451865278</v>
      </c>
      <c r="FO230" s="583">
        <f t="shared" si="873"/>
        <v>826.00481451865278</v>
      </c>
      <c r="FP230" s="320">
        <f t="shared" si="874"/>
        <v>984.75909881691416</v>
      </c>
      <c r="FQ230" s="320">
        <f t="shared" si="874"/>
        <v>968.1937401736318</v>
      </c>
      <c r="FR230" s="320">
        <f>FQ230</f>
        <v>968.1937401736318</v>
      </c>
      <c r="FS230" s="320">
        <f t="shared" si="875"/>
        <v>964.54652963674152</v>
      </c>
      <c r="FT230" s="320">
        <f t="shared" si="875"/>
        <v>889.2277341429558</v>
      </c>
      <c r="FU230" s="320">
        <f t="shared" si="876"/>
        <v>889.2277341429558</v>
      </c>
      <c r="FV230" s="583">
        <f t="shared" si="876"/>
        <v>889.2277341429558</v>
      </c>
    </row>
    <row r="231" spans="2:178" outlineLevel="1" x14ac:dyDescent="0.3">
      <c r="B231" s="247" t="s">
        <v>564</v>
      </c>
      <c r="C231" s="304" t="s">
        <v>226</v>
      </c>
      <c r="D231" s="305">
        <f>D228+D229-D230</f>
        <v>138.80000000000001</v>
      </c>
      <c r="E231" s="305">
        <f t="shared" ref="E231:BN231" si="881">E228+E229-E230</f>
        <v>121.30000000000003</v>
      </c>
      <c r="F231" s="305">
        <f t="shared" si="881"/>
        <v>121.30000000000003</v>
      </c>
      <c r="G231" s="305">
        <f t="shared" si="881"/>
        <v>131.59999999999997</v>
      </c>
      <c r="H231" s="305">
        <f t="shared" si="881"/>
        <v>159.39999999999998</v>
      </c>
      <c r="I231" s="305">
        <f t="shared" si="881"/>
        <v>159.39999999999998</v>
      </c>
      <c r="J231" s="305">
        <f t="shared" si="881"/>
        <v>159.39999999999998</v>
      </c>
      <c r="K231" s="305">
        <f t="shared" si="881"/>
        <v>180.39999999999998</v>
      </c>
      <c r="L231" s="305">
        <f t="shared" si="881"/>
        <v>183.29999999999995</v>
      </c>
      <c r="M231" s="305">
        <f t="shared" si="881"/>
        <v>183.29999999999995</v>
      </c>
      <c r="N231" s="305">
        <f t="shared" si="881"/>
        <v>179.90000000000003</v>
      </c>
      <c r="O231" s="305">
        <f t="shared" si="881"/>
        <v>210.2</v>
      </c>
      <c r="P231" s="305">
        <f t="shared" si="881"/>
        <v>210.2</v>
      </c>
      <c r="Q231" s="305">
        <f t="shared" si="881"/>
        <v>210.2</v>
      </c>
      <c r="R231" s="305">
        <f t="shared" si="881"/>
        <v>175.99999999999994</v>
      </c>
      <c r="S231" s="305">
        <f t="shared" si="881"/>
        <v>156.39999999999995</v>
      </c>
      <c r="T231" s="305">
        <f t="shared" si="881"/>
        <v>156.39999999999995</v>
      </c>
      <c r="U231" s="305">
        <f t="shared" si="881"/>
        <v>173.8</v>
      </c>
      <c r="V231" s="305">
        <f t="shared" si="881"/>
        <v>203.50000000000003</v>
      </c>
      <c r="W231" s="305">
        <f t="shared" si="881"/>
        <v>203.50000000000003</v>
      </c>
      <c r="X231" s="305">
        <f t="shared" si="881"/>
        <v>203.50000000000003</v>
      </c>
      <c r="Y231" s="305">
        <f t="shared" si="881"/>
        <v>207.20000000000002</v>
      </c>
      <c r="Z231" s="305">
        <f t="shared" si="881"/>
        <v>168.3</v>
      </c>
      <c r="AA231" s="305">
        <f t="shared" si="881"/>
        <v>168.3</v>
      </c>
      <c r="AB231" s="305">
        <f t="shared" si="881"/>
        <v>128.19999999999999</v>
      </c>
      <c r="AC231" s="305">
        <f t="shared" si="881"/>
        <v>151.20000000000002</v>
      </c>
      <c r="AD231" s="305">
        <f t="shared" si="881"/>
        <v>151.20000000000002</v>
      </c>
      <c r="AE231" s="305">
        <f t="shared" si="881"/>
        <v>151.20000000000002</v>
      </c>
      <c r="AF231" s="305">
        <f t="shared" si="881"/>
        <v>163.9</v>
      </c>
      <c r="AG231" s="305">
        <f t="shared" si="881"/>
        <v>159.6</v>
      </c>
      <c r="AH231" s="305">
        <f t="shared" si="881"/>
        <v>159.6</v>
      </c>
      <c r="AI231" s="305">
        <f t="shared" si="881"/>
        <v>173.2</v>
      </c>
      <c r="AJ231" s="305">
        <f t="shared" si="881"/>
        <v>203.20000000000002</v>
      </c>
      <c r="AK231" s="305">
        <f t="shared" si="881"/>
        <v>203.20000000000002</v>
      </c>
      <c r="AL231" s="305">
        <f t="shared" si="881"/>
        <v>203.20000000000002</v>
      </c>
      <c r="AM231" s="305">
        <f t="shared" si="881"/>
        <v>181.1</v>
      </c>
      <c r="AN231" s="305">
        <f t="shared" si="881"/>
        <v>189.89999999999998</v>
      </c>
      <c r="AO231" s="305">
        <f t="shared" si="881"/>
        <v>189.89999999999998</v>
      </c>
      <c r="AP231" s="305">
        <f t="shared" si="881"/>
        <v>156.30000000000001</v>
      </c>
      <c r="AQ231" s="305">
        <f t="shared" si="881"/>
        <v>193.20000000000002</v>
      </c>
      <c r="AR231" s="305">
        <f t="shared" si="881"/>
        <v>193.20000000000002</v>
      </c>
      <c r="AS231" s="305">
        <f t="shared" si="881"/>
        <v>193.20000000000002</v>
      </c>
      <c r="AT231" s="305">
        <f t="shared" si="881"/>
        <v>203.10000000000002</v>
      </c>
      <c r="AU231" s="305">
        <f t="shared" si="881"/>
        <v>204.4</v>
      </c>
      <c r="AV231" s="305">
        <f t="shared" si="881"/>
        <v>204.4</v>
      </c>
      <c r="AW231" s="305">
        <f t="shared" si="881"/>
        <v>185.9</v>
      </c>
      <c r="AX231" s="305">
        <f t="shared" si="881"/>
        <v>221.69358115906329</v>
      </c>
      <c r="AY231" s="305">
        <f t="shared" si="881"/>
        <v>221.69358115906329</v>
      </c>
      <c r="AZ231" s="305">
        <f t="shared" si="881"/>
        <v>221.69358115906329</v>
      </c>
      <c r="BA231" s="305">
        <f t="shared" si="881"/>
        <v>239.60000000000002</v>
      </c>
      <c r="BB231" s="305">
        <f>BB228+BB229-BB230</f>
        <v>243.29999999999995</v>
      </c>
      <c r="BC231" s="305">
        <f>BC228+BC229-BC230</f>
        <v>243.29999999999995</v>
      </c>
      <c r="BD231" s="305">
        <f t="shared" si="881"/>
        <v>203.50000000000003</v>
      </c>
      <c r="BE231" s="305">
        <f t="shared" si="881"/>
        <v>234.09651488759147</v>
      </c>
      <c r="BF231" s="305">
        <f t="shared" si="881"/>
        <v>234.09651488759147</v>
      </c>
      <c r="BG231" s="305">
        <f t="shared" si="881"/>
        <v>234.09651488759147</v>
      </c>
      <c r="BH231" s="305">
        <f t="shared" si="881"/>
        <v>199.6</v>
      </c>
      <c r="BI231" s="305">
        <f>BI228+BI229-BI230</f>
        <v>175.4</v>
      </c>
      <c r="BJ231" s="305">
        <f>BJ228+BJ229-BJ230</f>
        <v>175.4</v>
      </c>
      <c r="BK231" s="305">
        <f>BK228+BK229-BK230</f>
        <v>176.60000000000002</v>
      </c>
      <c r="BL231" s="305">
        <f t="shared" si="881"/>
        <v>187.89999999999998</v>
      </c>
      <c r="BM231" s="305">
        <f t="shared" si="881"/>
        <v>187.89999999999998</v>
      </c>
      <c r="BN231" s="305">
        <f t="shared" si="881"/>
        <v>187.89999999999998</v>
      </c>
      <c r="BO231" s="305">
        <f>BO228+BO229-BO230</f>
        <v>196</v>
      </c>
      <c r="BP231" s="305">
        <f t="shared" ref="BP231:BU231" si="882">BP228+BP229-BP230</f>
        <v>186.7</v>
      </c>
      <c r="BQ231" s="305">
        <f t="shared" si="882"/>
        <v>186.7</v>
      </c>
      <c r="BR231" s="305">
        <f t="shared" si="882"/>
        <v>191.3</v>
      </c>
      <c r="BS231" s="305">
        <f t="shared" si="882"/>
        <v>201.70000000000002</v>
      </c>
      <c r="BT231" s="305">
        <f t="shared" si="882"/>
        <v>201.70000000000002</v>
      </c>
      <c r="BU231" s="305">
        <f t="shared" si="882"/>
        <v>201.70000000000002</v>
      </c>
      <c r="BV231" s="305">
        <f>BV228+BV229-BV230</f>
        <v>211.1</v>
      </c>
      <c r="BW231" s="305">
        <f t="shared" ref="BW231:DU231" si="883">BW228+BW229-BW230</f>
        <v>193.59999999999997</v>
      </c>
      <c r="BX231" s="305">
        <f t="shared" si="883"/>
        <v>193.59999999999997</v>
      </c>
      <c r="BY231" s="305">
        <f>BY228+BY229-BY230</f>
        <v>180.10000000000002</v>
      </c>
      <c r="BZ231" s="305">
        <f>BZ228+BZ229-BZ230</f>
        <v>239.10000000000002</v>
      </c>
      <c r="CA231" s="305">
        <f t="shared" si="883"/>
        <v>239.10000000000002</v>
      </c>
      <c r="CB231" s="305">
        <f t="shared" si="883"/>
        <v>239.10000000000002</v>
      </c>
      <c r="CC231" s="305">
        <f>CC228+CC229-CC230</f>
        <v>207.2</v>
      </c>
      <c r="CD231" s="305">
        <f>CD228+CD229-CD230</f>
        <v>202.50000000000003</v>
      </c>
      <c r="CE231" s="305">
        <f t="shared" si="883"/>
        <v>202.50000000000003</v>
      </c>
      <c r="CF231" s="305">
        <f>CF228+CF229-CF230</f>
        <v>162.1</v>
      </c>
      <c r="CG231" s="305">
        <f t="shared" si="883"/>
        <v>270.29846461751458</v>
      </c>
      <c r="CH231" s="305">
        <f t="shared" si="883"/>
        <v>270.29846461751458</v>
      </c>
      <c r="CI231" s="305">
        <f t="shared" si="883"/>
        <v>270.29846461751458</v>
      </c>
      <c r="CJ231" s="305">
        <f t="shared" si="883"/>
        <v>225.69999999999996</v>
      </c>
      <c r="CK231" s="305">
        <f t="shared" si="883"/>
        <v>240.00000000000003</v>
      </c>
      <c r="CL231" s="305">
        <f t="shared" si="883"/>
        <v>240.00000000000003</v>
      </c>
      <c r="CM231" s="305">
        <f t="shared" si="883"/>
        <v>219.99999999999997</v>
      </c>
      <c r="CN231" s="305">
        <f t="shared" si="883"/>
        <v>265.09999999999997</v>
      </c>
      <c r="CO231" s="305">
        <f t="shared" si="883"/>
        <v>265.09999999999997</v>
      </c>
      <c r="CP231" s="367">
        <f t="shared" si="883"/>
        <v>265.09999999999997</v>
      </c>
      <c r="CQ231" s="367">
        <f>CQ228+CQ229-CQ230</f>
        <v>255.09999999999997</v>
      </c>
      <c r="CR231" s="367">
        <f>CR228+CR229-CR230</f>
        <v>251.29999999999995</v>
      </c>
      <c r="CS231" s="367">
        <f t="shared" si="883"/>
        <v>251.29999999999995</v>
      </c>
      <c r="CT231" s="367">
        <f t="shared" si="883"/>
        <v>212.10000000000002</v>
      </c>
      <c r="CU231" s="367">
        <f t="shared" si="883"/>
        <v>316.5</v>
      </c>
      <c r="CV231" s="367">
        <f t="shared" si="883"/>
        <v>316.5</v>
      </c>
      <c r="CW231" s="367">
        <f t="shared" si="883"/>
        <v>316.5</v>
      </c>
      <c r="CX231" s="367">
        <f t="shared" si="883"/>
        <v>277.39999999999998</v>
      </c>
      <c r="CY231" s="367">
        <f t="shared" si="883"/>
        <v>287.00000000000006</v>
      </c>
      <c r="CZ231" s="367">
        <f t="shared" si="883"/>
        <v>287.00000000000006</v>
      </c>
      <c r="DA231" s="367">
        <f t="shared" si="883"/>
        <v>261.90000000000003</v>
      </c>
      <c r="DB231" s="367">
        <f t="shared" si="883"/>
        <v>393.7000000000001</v>
      </c>
      <c r="DC231" s="367">
        <f t="shared" si="883"/>
        <v>393.7000000000001</v>
      </c>
      <c r="DD231" s="584">
        <f t="shared" si="883"/>
        <v>393.7000000000001</v>
      </c>
      <c r="DE231" s="367">
        <f t="shared" si="883"/>
        <v>314.39999999999998</v>
      </c>
      <c r="DF231" s="367">
        <f t="shared" si="883"/>
        <v>244.60000000000002</v>
      </c>
      <c r="DG231" s="367">
        <f t="shared" si="883"/>
        <v>244.60000000000002</v>
      </c>
      <c r="DH231" s="367">
        <f t="shared" si="883"/>
        <v>169.40000000000003</v>
      </c>
      <c r="DI231" s="367">
        <f t="shared" si="883"/>
        <v>244.5</v>
      </c>
      <c r="DJ231" s="367">
        <f t="shared" si="883"/>
        <v>244.5</v>
      </c>
      <c r="DK231" s="584">
        <f t="shared" si="883"/>
        <v>244.5</v>
      </c>
      <c r="DL231" s="388">
        <f t="shared" si="883"/>
        <v>214.39999999999998</v>
      </c>
      <c r="DM231" s="367">
        <f t="shared" si="883"/>
        <v>217.59999999999991</v>
      </c>
      <c r="DN231" s="367">
        <f t="shared" si="883"/>
        <v>217.59999999999991</v>
      </c>
      <c r="DO231" s="367">
        <f t="shared" si="883"/>
        <v>206.50000000000006</v>
      </c>
      <c r="DP231" s="367">
        <f t="shared" si="883"/>
        <v>220.09999999999991</v>
      </c>
      <c r="DQ231" s="367">
        <f t="shared" si="883"/>
        <v>220.09999999999991</v>
      </c>
      <c r="DR231" s="584">
        <f t="shared" si="883"/>
        <v>220.09999999999991</v>
      </c>
      <c r="DS231" s="367">
        <f t="shared" si="883"/>
        <v>192.40000000000003</v>
      </c>
      <c r="DT231" s="367">
        <f t="shared" si="883"/>
        <v>243.7999999999999</v>
      </c>
      <c r="DU231" s="367">
        <f t="shared" si="883"/>
        <v>243.7999999999999</v>
      </c>
      <c r="DV231" s="367">
        <f t="shared" ref="DV231:EB231" si="884">DV228+DV229-DV230</f>
        <v>261.09999999999991</v>
      </c>
      <c r="DW231" s="367">
        <f t="shared" si="884"/>
        <v>311.3</v>
      </c>
      <c r="DX231" s="367">
        <f t="shared" si="884"/>
        <v>311.3</v>
      </c>
      <c r="DY231" s="584">
        <f t="shared" si="884"/>
        <v>311.3</v>
      </c>
      <c r="DZ231" s="367">
        <f>DZ228+DZ229-DZ230</f>
        <v>273.60000000000008</v>
      </c>
      <c r="EA231" s="367">
        <f t="shared" si="884"/>
        <v>239.89999999999992</v>
      </c>
      <c r="EB231" s="367">
        <f t="shared" si="884"/>
        <v>239.89999999999992</v>
      </c>
      <c r="EC231" s="367">
        <f>EC228+EC229-EC230</f>
        <v>193</v>
      </c>
      <c r="ED231" s="367">
        <f>ED228+ED229-ED230</f>
        <v>240.60000000000008</v>
      </c>
      <c r="EE231" s="367">
        <f>EE228+EE229-EE230</f>
        <v>240.60000000000008</v>
      </c>
      <c r="EF231" s="584">
        <f>EF228+EF229-EF230</f>
        <v>240.60000000000008</v>
      </c>
      <c r="EG231" s="367">
        <f>EG228+EG229-EG230</f>
        <v>289.7</v>
      </c>
      <c r="EH231" s="367">
        <f t="shared" ref="EH231:EM231" si="885">EH228+EH229-EH230</f>
        <v>307.5</v>
      </c>
      <c r="EI231" s="367">
        <f t="shared" si="885"/>
        <v>307.5</v>
      </c>
      <c r="EJ231" s="367">
        <f t="shared" si="885"/>
        <v>229.80000000000007</v>
      </c>
      <c r="EK231" s="367">
        <f t="shared" si="885"/>
        <v>292.50000000000011</v>
      </c>
      <c r="EL231" s="367">
        <f t="shared" si="885"/>
        <v>292.50000000000011</v>
      </c>
      <c r="EM231" s="584">
        <f t="shared" si="885"/>
        <v>292.50000000000011</v>
      </c>
      <c r="EN231" s="367">
        <f>EN228+EN229-EN230</f>
        <v>203.59999999999991</v>
      </c>
      <c r="EO231" s="367">
        <f t="shared" ref="EO231:EP231" si="886">EO228+EO229-EO230</f>
        <v>327.90000000000009</v>
      </c>
      <c r="EP231" s="367">
        <f t="shared" si="886"/>
        <v>327.90000000000009</v>
      </c>
      <c r="EQ231" s="388">
        <f>EQ228+EQ229-EQ230</f>
        <v>309.59999999999991</v>
      </c>
      <c r="ER231" s="367">
        <f t="shared" ref="ER231:ET231" si="887">ER228+ER229-ER230</f>
        <v>426.14785860108975</v>
      </c>
      <c r="ES231" s="367">
        <f t="shared" si="887"/>
        <v>426.14785860108975</v>
      </c>
      <c r="ET231" s="584">
        <f t="shared" si="887"/>
        <v>426.14785860108975</v>
      </c>
      <c r="EU231" s="367">
        <f>EU228+EU229-EU230</f>
        <v>316.25611571813681</v>
      </c>
      <c r="EV231" s="367">
        <f t="shared" ref="EV231:FV231" si="888">EV228+EV229-EV230</f>
        <v>370.18944818349155</v>
      </c>
      <c r="EW231" s="367">
        <f t="shared" si="888"/>
        <v>370.18944818349155</v>
      </c>
      <c r="EX231" s="367">
        <f t="shared" si="888"/>
        <v>349.11832241160937</v>
      </c>
      <c r="EY231" s="367">
        <f t="shared" si="888"/>
        <v>462.24901872825933</v>
      </c>
      <c r="EZ231" s="367">
        <f t="shared" si="888"/>
        <v>462.24901872825933</v>
      </c>
      <c r="FA231" s="584">
        <f t="shared" si="888"/>
        <v>462.24901872825933</v>
      </c>
      <c r="FB231" s="367">
        <f t="shared" si="888"/>
        <v>345.48321064615914</v>
      </c>
      <c r="FC231" s="367">
        <f t="shared" si="888"/>
        <v>409.58404778947511</v>
      </c>
      <c r="FD231" s="367">
        <f t="shared" si="888"/>
        <v>409.58404778947511</v>
      </c>
      <c r="FE231" s="367">
        <f t="shared" si="888"/>
        <v>386.17544287412136</v>
      </c>
      <c r="FF231" s="367">
        <f t="shared" si="888"/>
        <v>507.76800935076631</v>
      </c>
      <c r="FG231" s="367">
        <f t="shared" si="888"/>
        <v>507.76800935076631</v>
      </c>
      <c r="FH231" s="584">
        <f t="shared" si="888"/>
        <v>507.76800935076631</v>
      </c>
      <c r="FI231" s="367">
        <f t="shared" si="888"/>
        <v>372.92445418082923</v>
      </c>
      <c r="FJ231" s="367">
        <f t="shared" si="888"/>
        <v>440.11835147337774</v>
      </c>
      <c r="FK231" s="367">
        <f t="shared" si="888"/>
        <v>440.11835147337774</v>
      </c>
      <c r="FL231" s="367">
        <f t="shared" si="888"/>
        <v>414.28050059038515</v>
      </c>
      <c r="FM231" s="367">
        <f t="shared" si="888"/>
        <v>541.23299338419804</v>
      </c>
      <c r="FN231" s="367">
        <f t="shared" si="888"/>
        <v>541.23299338419804</v>
      </c>
      <c r="FO231" s="584">
        <f t="shared" si="888"/>
        <v>541.23299338419804</v>
      </c>
      <c r="FP231" s="367">
        <f t="shared" si="888"/>
        <v>398.99891048581833</v>
      </c>
      <c r="FQ231" s="367">
        <f t="shared" si="888"/>
        <v>473.97839265890389</v>
      </c>
      <c r="FR231" s="367">
        <f t="shared" si="888"/>
        <v>473.97839265890389</v>
      </c>
      <c r="FS231" s="367">
        <f t="shared" si="888"/>
        <v>447.57734648611358</v>
      </c>
      <c r="FT231" s="367">
        <f t="shared" si="888"/>
        <v>582.6593016057675</v>
      </c>
      <c r="FU231" s="367">
        <f t="shared" si="888"/>
        <v>582.6593016057675</v>
      </c>
      <c r="FV231" s="584">
        <f t="shared" si="888"/>
        <v>582.6593016057675</v>
      </c>
    </row>
    <row r="232" spans="2:178" outlineLevel="1" x14ac:dyDescent="0.3">
      <c r="B232" s="503" t="s">
        <v>565</v>
      </c>
      <c r="C232" s="280" t="s">
        <v>226</v>
      </c>
      <c r="K232" s="281">
        <f>K231-J231</f>
        <v>21</v>
      </c>
      <c r="L232" s="281">
        <f>L231-K231</f>
        <v>2.8999999999999773</v>
      </c>
      <c r="M232" s="281">
        <f>M231-J231</f>
        <v>23.899999999999977</v>
      </c>
      <c r="N232" s="281">
        <f>N231-M231</f>
        <v>-3.3999999999999204</v>
      </c>
      <c r="O232" s="281">
        <f>O231-N231</f>
        <v>30.299999999999955</v>
      </c>
      <c r="P232" s="281">
        <f>P231-M231</f>
        <v>26.900000000000034</v>
      </c>
      <c r="Q232" s="281">
        <f>Q231-J231</f>
        <v>50.800000000000011</v>
      </c>
      <c r="R232" s="281">
        <f>R231-Q231</f>
        <v>-34.200000000000045</v>
      </c>
      <c r="S232" s="281">
        <f>S231-R231</f>
        <v>-19.599999999999994</v>
      </c>
      <c r="T232" s="281">
        <f>T231-Q231</f>
        <v>-53.80000000000004</v>
      </c>
      <c r="U232" s="281">
        <f>U231-T231</f>
        <v>17.400000000000063</v>
      </c>
      <c r="V232" s="281">
        <f>V231-U231</f>
        <v>29.700000000000017</v>
      </c>
      <c r="W232" s="281">
        <f>W231-T231</f>
        <v>47.10000000000008</v>
      </c>
      <c r="X232" s="281">
        <f>X231-Q231</f>
        <v>-6.6999999999999602</v>
      </c>
      <c r="Y232" s="281">
        <f>Y231-X231</f>
        <v>3.6999999999999886</v>
      </c>
      <c r="Z232" s="281">
        <f>Z231-Y231</f>
        <v>-38.900000000000006</v>
      </c>
      <c r="AA232" s="281">
        <f>AA231-X231</f>
        <v>-35.200000000000017</v>
      </c>
      <c r="AB232" s="281">
        <f>AB231-AA231</f>
        <v>-40.100000000000023</v>
      </c>
      <c r="AC232" s="281">
        <f>AC231-AB231</f>
        <v>23.000000000000028</v>
      </c>
      <c r="AD232" s="281">
        <f>AD231-AA231</f>
        <v>-17.099999999999994</v>
      </c>
      <c r="AE232" s="281">
        <f>AE231-X231</f>
        <v>-52.300000000000011</v>
      </c>
      <c r="AF232" s="281">
        <f>AF231-AE231</f>
        <v>12.699999999999989</v>
      </c>
      <c r="AG232" s="281">
        <f>AG231-AF231</f>
        <v>-4.3000000000000114</v>
      </c>
      <c r="AH232" s="281">
        <f>AH231-AE231</f>
        <v>8.3999999999999773</v>
      </c>
      <c r="AI232" s="281">
        <f>AI231-AH231</f>
        <v>13.599999999999994</v>
      </c>
      <c r="AJ232" s="281">
        <f>AJ231-AI231</f>
        <v>30.000000000000028</v>
      </c>
      <c r="AK232" s="281">
        <f>AK231-AH231</f>
        <v>43.600000000000023</v>
      </c>
      <c r="AL232" s="281">
        <f>AL231-AE231</f>
        <v>52</v>
      </c>
      <c r="AM232" s="281">
        <f>AM231-AL231</f>
        <v>-22.100000000000023</v>
      </c>
      <c r="AN232" s="281">
        <f>AN231-AM231</f>
        <v>8.7999999999999829</v>
      </c>
      <c r="AO232" s="281">
        <f>AO231-AL231</f>
        <v>-13.30000000000004</v>
      </c>
      <c r="AP232" s="281">
        <f>AP231-AO231</f>
        <v>-33.599999999999966</v>
      </c>
      <c r="AQ232" s="281">
        <f>AQ231-AP231</f>
        <v>36.900000000000006</v>
      </c>
      <c r="AR232" s="281">
        <f>AR231-AO231</f>
        <v>3.3000000000000398</v>
      </c>
      <c r="AS232" s="281">
        <f>AS231-AL231</f>
        <v>-10</v>
      </c>
      <c r="AT232" s="281">
        <f>AT231-AS231</f>
        <v>9.9000000000000057</v>
      </c>
      <c r="AU232" s="281">
        <f>AU231-AT231</f>
        <v>1.2999999999999829</v>
      </c>
      <c r="AV232" s="281">
        <f>AV231-AS231</f>
        <v>11.199999999999989</v>
      </c>
      <c r="AW232" s="281">
        <f>AW231-AV231</f>
        <v>-18.5</v>
      </c>
      <c r="AX232" s="281">
        <f>AX231-AW231</f>
        <v>35.79358115906328</v>
      </c>
      <c r="AY232" s="281">
        <f>AY231-AV231</f>
        <v>17.29358115906328</v>
      </c>
      <c r="AZ232" s="281">
        <f>AZ231-AS231</f>
        <v>28.493581159063268</v>
      </c>
      <c r="BA232" s="281">
        <f>BA231-AZ231</f>
        <v>17.906418840936738</v>
      </c>
      <c r="BB232" s="281">
        <f>BB231-BA231</f>
        <v>3.6999999999999318</v>
      </c>
      <c r="BC232" s="281">
        <f>BC231-AZ231</f>
        <v>21.606418840936669</v>
      </c>
      <c r="BD232" s="281">
        <f>BD231-BC231</f>
        <v>-39.799999999999926</v>
      </c>
      <c r="BE232" s="281">
        <f>BE231-BD231</f>
        <v>30.596514887591439</v>
      </c>
      <c r="BF232" s="281">
        <f>BF231-BC231</f>
        <v>-9.2034851124084867</v>
      </c>
      <c r="BG232" s="281">
        <f>BG231-AZ231</f>
        <v>12.402933728528183</v>
      </c>
      <c r="BH232" s="281">
        <f>BH231-BG231</f>
        <v>-34.496514887591474</v>
      </c>
      <c r="BI232" s="281">
        <f>BI231-BH231</f>
        <v>-24.199999999999989</v>
      </c>
      <c r="BJ232" s="281">
        <f>BJ231-BG231</f>
        <v>-58.696514887591462</v>
      </c>
      <c r="BK232" s="281">
        <f>BK231-BJ231</f>
        <v>1.2000000000000171</v>
      </c>
      <c r="BL232" s="281">
        <f>BL231-BK231</f>
        <v>11.299999999999955</v>
      </c>
      <c r="BM232" s="281">
        <f>BM231-BJ231</f>
        <v>12.499999999999972</v>
      </c>
      <c r="BN232" s="281">
        <f>BN231-BG231</f>
        <v>-46.196514887591491</v>
      </c>
      <c r="BO232" s="281">
        <f>BO231-BN231</f>
        <v>8.1000000000000227</v>
      </c>
      <c r="BP232" s="281">
        <f>BP231-BO231</f>
        <v>-9.3000000000000114</v>
      </c>
      <c r="BQ232" s="281">
        <f>BQ231-BN231</f>
        <v>-1.1999999999999886</v>
      </c>
      <c r="BR232" s="281">
        <f>BR231-BQ231</f>
        <v>4.6000000000000227</v>
      </c>
      <c r="BS232" s="281">
        <f>BS231-BR231</f>
        <v>10.400000000000006</v>
      </c>
      <c r="BT232" s="281">
        <f>BT231-BQ231</f>
        <v>15.000000000000028</v>
      </c>
      <c r="BU232" s="281">
        <f>BU231-BN231</f>
        <v>13.80000000000004</v>
      </c>
      <c r="BV232" s="281">
        <f>BV231-BU231</f>
        <v>9.3999999999999773</v>
      </c>
      <c r="BW232" s="281">
        <f>BW231-BV231</f>
        <v>-17.500000000000028</v>
      </c>
      <c r="BX232" s="281">
        <f>BX231-BU231</f>
        <v>-8.1000000000000512</v>
      </c>
      <c r="BY232" s="281">
        <f>BY231-BX231</f>
        <v>-13.499999999999943</v>
      </c>
      <c r="BZ232" s="281">
        <f>BZ231-BY231</f>
        <v>59</v>
      </c>
      <c r="CA232" s="281">
        <f>CA231-BX231</f>
        <v>45.500000000000057</v>
      </c>
      <c r="CB232" s="281">
        <f>CB231-BU231</f>
        <v>37.400000000000006</v>
      </c>
      <c r="CC232" s="281">
        <f>CC231-CB231</f>
        <v>-31.900000000000034</v>
      </c>
      <c r="CD232" s="281">
        <f>CD231-CC231</f>
        <v>-4.6999999999999602</v>
      </c>
      <c r="CE232" s="281">
        <f>CE231-CB231</f>
        <v>-36.599999999999994</v>
      </c>
      <c r="CF232" s="281">
        <f>CF231-CE231</f>
        <v>-40.400000000000034</v>
      </c>
      <c r="CG232" s="281">
        <f>CG231-CF231</f>
        <v>108.19846461751459</v>
      </c>
      <c r="CH232" s="281">
        <f>CH231-CE231</f>
        <v>67.798464617514554</v>
      </c>
      <c r="CI232" s="281">
        <f>CI231-CB231</f>
        <v>31.19846461751456</v>
      </c>
      <c r="CJ232" s="281">
        <f>CJ231-CI231</f>
        <v>-44.598464617514622</v>
      </c>
      <c r="CK232" s="281">
        <f>CK231-CJ231</f>
        <v>14.300000000000068</v>
      </c>
      <c r="CL232" s="281">
        <f>CL231-CI231</f>
        <v>-30.298464617514554</v>
      </c>
      <c r="CM232" s="281">
        <f>CM231-CL231</f>
        <v>-20.000000000000057</v>
      </c>
      <c r="CN232" s="281">
        <f>CN231-CM231</f>
        <v>45.099999999999994</v>
      </c>
      <c r="CO232" s="281">
        <f>CO231-CL231</f>
        <v>25.099999999999937</v>
      </c>
      <c r="CP232" s="320">
        <f>CP231-CI231</f>
        <v>-5.1984646175146167</v>
      </c>
      <c r="CQ232" s="320">
        <f>CQ231-CP231</f>
        <v>-10</v>
      </c>
      <c r="CR232" s="320">
        <f>CR231-CQ231</f>
        <v>-3.8000000000000114</v>
      </c>
      <c r="CS232" s="320">
        <f>CS231-CP231</f>
        <v>-13.800000000000011</v>
      </c>
      <c r="CT232" s="320">
        <f>CT231-CS231</f>
        <v>-39.199999999999932</v>
      </c>
      <c r="CU232" s="320">
        <f>CU231-CT231</f>
        <v>104.39999999999998</v>
      </c>
      <c r="CV232" s="320">
        <f>CV231-CS231</f>
        <v>65.200000000000045</v>
      </c>
      <c r="CW232" s="320">
        <f>CW231-CP231</f>
        <v>51.400000000000034</v>
      </c>
      <c r="CX232" s="320">
        <f>CX231-CW231</f>
        <v>-39.100000000000023</v>
      </c>
      <c r="CY232" s="320">
        <f>CY231-CX231</f>
        <v>9.6000000000000796</v>
      </c>
      <c r="CZ232" s="320">
        <f>CZ231-CW231</f>
        <v>-29.499999999999943</v>
      </c>
      <c r="DA232" s="320">
        <f>DA231-CZ231</f>
        <v>-25.100000000000023</v>
      </c>
      <c r="DB232" s="320">
        <f>DB231-DA231</f>
        <v>131.80000000000007</v>
      </c>
      <c r="DC232" s="320">
        <f>DC231-CZ231</f>
        <v>106.70000000000005</v>
      </c>
      <c r="DD232" s="583">
        <f>DD231-CW231</f>
        <v>77.200000000000102</v>
      </c>
      <c r="DE232" s="320">
        <f>DE231-DD231</f>
        <v>-79.300000000000125</v>
      </c>
      <c r="DF232" s="320">
        <f>DF231-DE231</f>
        <v>-69.799999999999955</v>
      </c>
      <c r="DG232" s="320">
        <f>DG231-DD231</f>
        <v>-149.10000000000008</v>
      </c>
      <c r="DH232" s="320">
        <f>DH231-DG231</f>
        <v>-75.199999999999989</v>
      </c>
      <c r="DI232" s="320">
        <f>DI231-DH231</f>
        <v>75.099999999999966</v>
      </c>
      <c r="DJ232" s="320">
        <f>DJ231-DG231</f>
        <v>-0.10000000000002274</v>
      </c>
      <c r="DK232" s="583">
        <f>DK231-DD231</f>
        <v>-149.2000000000001</v>
      </c>
      <c r="DL232" s="344">
        <f>DL231-DK231</f>
        <v>-30.100000000000023</v>
      </c>
      <c r="DM232" s="320">
        <f>DM231-DL231</f>
        <v>3.1999999999999318</v>
      </c>
      <c r="DN232" s="320">
        <f>DN231-DK231</f>
        <v>-26.900000000000091</v>
      </c>
      <c r="DO232" s="320">
        <f>DO231-DN231</f>
        <v>-11.099999999999852</v>
      </c>
      <c r="DP232" s="320">
        <f>DP231-DO231</f>
        <v>13.599999999999852</v>
      </c>
      <c r="DQ232" s="320">
        <f>DQ231-DN231</f>
        <v>2.5</v>
      </c>
      <c r="DR232" s="583">
        <f>DR231-DK231</f>
        <v>-24.400000000000091</v>
      </c>
      <c r="DS232" s="320">
        <f>DS231-DR231</f>
        <v>-27.699999999999875</v>
      </c>
      <c r="DT232" s="320">
        <f>DT231-DS231</f>
        <v>51.399999999999864</v>
      </c>
      <c r="DU232" s="320">
        <f>DU231-DR231</f>
        <v>23.699999999999989</v>
      </c>
      <c r="DV232" s="320">
        <f>DV231-DU231</f>
        <v>17.300000000000011</v>
      </c>
      <c r="DW232" s="320">
        <f>DW231-DV231</f>
        <v>50.200000000000102</v>
      </c>
      <c r="DX232" s="320">
        <f>DX231-DU231</f>
        <v>67.500000000000114</v>
      </c>
      <c r="DY232" s="583">
        <f>DY231-DR231</f>
        <v>91.200000000000102</v>
      </c>
      <c r="DZ232" s="320">
        <f>DZ231-DY231</f>
        <v>-37.699999999999932</v>
      </c>
      <c r="EA232" s="320">
        <f>EA231-DZ231</f>
        <v>-33.700000000000159</v>
      </c>
      <c r="EB232" s="320">
        <f>EB231-DY231</f>
        <v>-71.400000000000091</v>
      </c>
      <c r="EC232" s="320">
        <f>EC231-EB231</f>
        <v>-46.89999999999992</v>
      </c>
      <c r="ED232" s="320">
        <f>ED231-EC231</f>
        <v>47.60000000000008</v>
      </c>
      <c r="EE232" s="320">
        <f>EE231-EB231</f>
        <v>0.70000000000015916</v>
      </c>
      <c r="EF232" s="583">
        <f>EF231-DY231</f>
        <v>-70.699999999999932</v>
      </c>
      <c r="EG232" s="320">
        <f>EG231-EF231</f>
        <v>49.099999999999909</v>
      </c>
      <c r="EH232" s="320">
        <f>EH231-EG231</f>
        <v>17.800000000000011</v>
      </c>
      <c r="EI232" s="320">
        <f>EI231-EF231</f>
        <v>66.89999999999992</v>
      </c>
      <c r="EJ232" s="320">
        <f>EJ231-EI231</f>
        <v>-77.699999999999932</v>
      </c>
      <c r="EK232" s="320">
        <f>EK231-EJ231</f>
        <v>62.700000000000045</v>
      </c>
      <c r="EL232" s="320">
        <f>EL231-EI231</f>
        <v>-14.999999999999886</v>
      </c>
      <c r="EM232" s="583">
        <f>EM231-EF231</f>
        <v>51.900000000000034</v>
      </c>
      <c r="EN232" s="320">
        <f>EN231-EM231</f>
        <v>-88.900000000000205</v>
      </c>
      <c r="EO232" s="320">
        <f>EO231-EN231</f>
        <v>124.30000000000018</v>
      </c>
      <c r="EP232" s="320">
        <f>EP231-EM231</f>
        <v>35.399999999999977</v>
      </c>
      <c r="EQ232" s="344">
        <f>EQ231-EP231</f>
        <v>-18.300000000000182</v>
      </c>
      <c r="ER232" s="320">
        <f>ER231-EQ231</f>
        <v>116.54785860108984</v>
      </c>
      <c r="ES232" s="320">
        <f>ES231-EP231</f>
        <v>98.247858601089661</v>
      </c>
      <c r="ET232" s="583">
        <f>ET231-EM231</f>
        <v>133.64785860108964</v>
      </c>
      <c r="EU232" s="320">
        <f>EU231-ET231</f>
        <v>-109.89174288295294</v>
      </c>
      <c r="EV232" s="320">
        <f>EV231-EU231</f>
        <v>53.933332465354738</v>
      </c>
      <c r="EW232" s="320">
        <f>EW231-ET231</f>
        <v>-55.958410417598202</v>
      </c>
      <c r="EX232" s="320">
        <f>EX231-EW231</f>
        <v>-21.07112577188218</v>
      </c>
      <c r="EY232" s="320">
        <f>EY231-EX231</f>
        <v>113.13069631664996</v>
      </c>
      <c r="EZ232" s="320">
        <f>EZ231-EW231</f>
        <v>92.05957054476778</v>
      </c>
      <c r="FA232" s="583">
        <f>FA231-ET231</f>
        <v>36.101160127169578</v>
      </c>
      <c r="FB232" s="320">
        <f>FB231-FA231</f>
        <v>-116.76580808210019</v>
      </c>
      <c r="FC232" s="320">
        <f>FC231-FB231</f>
        <v>64.100837143315971</v>
      </c>
      <c r="FD232" s="320">
        <f>FD231-FA231</f>
        <v>-52.664970938784222</v>
      </c>
      <c r="FE232" s="320">
        <f>FE231-FD231</f>
        <v>-23.408604915353749</v>
      </c>
      <c r="FF232" s="320">
        <f>FF231-FE231</f>
        <v>121.59256647664495</v>
      </c>
      <c r="FG232" s="320">
        <f>FG231-FD231</f>
        <v>98.183961561291198</v>
      </c>
      <c r="FH232" s="583">
        <f>FH231-FA231</f>
        <v>45.518990622506976</v>
      </c>
      <c r="FI232" s="320">
        <f>FI231-FH231</f>
        <v>-134.84355516993708</v>
      </c>
      <c r="FJ232" s="320">
        <f>FJ231-FI231</f>
        <v>67.193897292548513</v>
      </c>
      <c r="FK232" s="320">
        <f>FK231-FH231</f>
        <v>-67.649657877388563</v>
      </c>
      <c r="FL232" s="320">
        <f>FL231-FK231</f>
        <v>-25.837850882992598</v>
      </c>
      <c r="FM232" s="320">
        <f>FM231-FL231</f>
        <v>126.95249279381289</v>
      </c>
      <c r="FN232" s="320">
        <f>FN231-FK231</f>
        <v>101.1146419108203</v>
      </c>
      <c r="FO232" s="583">
        <f>FO231-FH231</f>
        <v>33.464984033431733</v>
      </c>
      <c r="FP232" s="320">
        <f>FP231-FO231</f>
        <v>-142.23408289837971</v>
      </c>
      <c r="FQ232" s="320">
        <f>FQ231-FP231</f>
        <v>74.979482173085557</v>
      </c>
      <c r="FR232" s="320">
        <f>FR231-FO231</f>
        <v>-67.254600725294154</v>
      </c>
      <c r="FS232" s="320">
        <f>FS231-FR231</f>
        <v>-26.401046172790302</v>
      </c>
      <c r="FT232" s="320">
        <f>FT231-FS231</f>
        <v>135.08195511965391</v>
      </c>
      <c r="FU232" s="320">
        <f>FU231-FR231</f>
        <v>108.68090894686361</v>
      </c>
      <c r="FV232" s="583">
        <f>FV231-FO231</f>
        <v>41.426308221569457</v>
      </c>
    </row>
    <row r="233" spans="2:178" outlineLevel="1" x14ac:dyDescent="0.3">
      <c r="B233" s="503" t="s">
        <v>566</v>
      </c>
      <c r="C233" s="280" t="s">
        <v>413</v>
      </c>
      <c r="D233" s="349">
        <f t="shared" ref="D233:AI233" si="889">D231/D17</f>
        <v>0.38619922092376185</v>
      </c>
      <c r="E233" s="349">
        <f t="shared" si="889"/>
        <v>0.32158006362672331</v>
      </c>
      <c r="F233" s="349">
        <f t="shared" si="889"/>
        <v>0.16467553624762424</v>
      </c>
      <c r="G233" s="349">
        <f t="shared" si="889"/>
        <v>0.36283429831816927</v>
      </c>
      <c r="H233" s="349">
        <f t="shared" si="889"/>
        <v>0.4095580678314491</v>
      </c>
      <c r="I233" s="349">
        <f t="shared" si="889"/>
        <v>0.21199627610054525</v>
      </c>
      <c r="J233" s="349">
        <f t="shared" si="889"/>
        <v>0.10708767215317432</v>
      </c>
      <c r="K233" s="349">
        <f t="shared" si="889"/>
        <v>0.43417569193742478</v>
      </c>
      <c r="L233" s="349">
        <f t="shared" si="889"/>
        <v>0.44555177442877963</v>
      </c>
      <c r="M233" s="349">
        <f t="shared" si="889"/>
        <v>0.22167130245495217</v>
      </c>
      <c r="N233" s="349">
        <f t="shared" si="889"/>
        <v>0.50661785412559857</v>
      </c>
      <c r="O233" s="349">
        <f t="shared" si="889"/>
        <v>0.58243280687170962</v>
      </c>
      <c r="P233" s="349">
        <f t="shared" si="889"/>
        <v>0.29357541899441342</v>
      </c>
      <c r="Q233" s="349">
        <f t="shared" si="889"/>
        <v>0.13623695638084127</v>
      </c>
      <c r="R233" s="349">
        <f t="shared" si="889"/>
        <v>0.41470311027332696</v>
      </c>
      <c r="S233" s="349">
        <f t="shared" si="889"/>
        <v>0.40092284029735947</v>
      </c>
      <c r="T233" s="349">
        <f t="shared" si="889"/>
        <v>0.19201964395334556</v>
      </c>
      <c r="U233" s="349">
        <f t="shared" si="889"/>
        <v>0.50908025776215593</v>
      </c>
      <c r="V233" s="349">
        <f t="shared" si="889"/>
        <v>0.6503675295621606</v>
      </c>
      <c r="W233" s="349">
        <f t="shared" si="889"/>
        <v>0.31101941005654904</v>
      </c>
      <c r="X233" s="349">
        <f t="shared" si="889"/>
        <v>0.13854847494553379</v>
      </c>
      <c r="Y233" s="349">
        <f t="shared" si="889"/>
        <v>0.56767123287671239</v>
      </c>
      <c r="Z233" s="349">
        <f t="shared" si="889"/>
        <v>0.49224919567124897</v>
      </c>
      <c r="AA233" s="349">
        <f t="shared" si="889"/>
        <v>0.23808176545480264</v>
      </c>
      <c r="AB233" s="349">
        <f t="shared" si="889"/>
        <v>0.50393081761006286</v>
      </c>
      <c r="AC233" s="349">
        <f t="shared" si="889"/>
        <v>0.66754966887417233</v>
      </c>
      <c r="AD233" s="349">
        <f t="shared" si="889"/>
        <v>0.31441048034934499</v>
      </c>
      <c r="AE233" s="349">
        <f t="shared" si="889"/>
        <v>0.12729415726553295</v>
      </c>
      <c r="AF233" s="349">
        <f t="shared" si="889"/>
        <v>0.56653992395437258</v>
      </c>
      <c r="AG233" s="349">
        <f t="shared" si="889"/>
        <v>0.52638522427440637</v>
      </c>
      <c r="AH233" s="349">
        <f t="shared" si="889"/>
        <v>0.26936708860759495</v>
      </c>
      <c r="AI233" s="349">
        <f t="shared" si="889"/>
        <v>0.65805471124620063</v>
      </c>
      <c r="AJ233" s="349">
        <f t="shared" ref="AJ233:BO233" si="890">AJ231/AJ17</f>
        <v>0.7383720930232559</v>
      </c>
      <c r="AK233" s="349">
        <f t="shared" si="890"/>
        <v>0.37741456166419024</v>
      </c>
      <c r="AL233" s="349">
        <f t="shared" si="890"/>
        <v>0.17967990096383415</v>
      </c>
      <c r="AM233" s="349">
        <f t="shared" si="890"/>
        <v>0.57675159235668783</v>
      </c>
      <c r="AN233" s="349">
        <f t="shared" si="890"/>
        <v>0.66701791359325591</v>
      </c>
      <c r="AO233" s="349">
        <f t="shared" si="890"/>
        <v>0.31718723901787199</v>
      </c>
      <c r="AP233" s="349">
        <f t="shared" si="890"/>
        <v>0.56066258472301744</v>
      </c>
      <c r="AQ233" s="349">
        <f t="shared" si="890"/>
        <v>0.70873907020160909</v>
      </c>
      <c r="AR233" s="349">
        <f t="shared" si="890"/>
        <v>0.35039731147884873</v>
      </c>
      <c r="AS233" s="349">
        <f t="shared" si="890"/>
        <v>0.16798917659571172</v>
      </c>
      <c r="AT233" s="349">
        <f t="shared" si="890"/>
        <v>0.65075296379365588</v>
      </c>
      <c r="AU233" s="349">
        <f t="shared" si="890"/>
        <v>0.61733615221987315</v>
      </c>
      <c r="AV233" s="349">
        <f t="shared" si="890"/>
        <v>0.31778606965174128</v>
      </c>
      <c r="AW233" s="349">
        <f t="shared" si="890"/>
        <v>0.65342706502636205</v>
      </c>
      <c r="AX233" s="349">
        <f t="shared" si="890"/>
        <v>0.70873907020160898</v>
      </c>
      <c r="AY233" s="349">
        <f t="shared" si="890"/>
        <v>0.37115951977074041</v>
      </c>
      <c r="AZ233" s="349">
        <f t="shared" si="890"/>
        <v>0.17871308436845085</v>
      </c>
      <c r="BA233" s="349">
        <f t="shared" si="890"/>
        <v>0.70449867685974743</v>
      </c>
      <c r="BB233" s="349">
        <f t="shared" si="890"/>
        <v>0.72691962951897215</v>
      </c>
      <c r="BC233" s="349">
        <f t="shared" si="890"/>
        <v>0.36055127445168927</v>
      </c>
      <c r="BD233" s="349">
        <f t="shared" si="890"/>
        <v>0.63415394203801811</v>
      </c>
      <c r="BE233" s="349">
        <f t="shared" si="890"/>
        <v>0.70873907020160898</v>
      </c>
      <c r="BF233" s="349">
        <f t="shared" si="890"/>
        <v>0.35948482015907779</v>
      </c>
      <c r="BG233" s="349">
        <f t="shared" si="890"/>
        <v>0.17654337472669041</v>
      </c>
      <c r="BH233" s="349">
        <f t="shared" si="890"/>
        <v>0.53612677947891485</v>
      </c>
      <c r="BI233" s="349">
        <f t="shared" si="890"/>
        <v>0.44733486355521551</v>
      </c>
      <c r="BJ233" s="349">
        <f t="shared" si="890"/>
        <v>0.2294610151753009</v>
      </c>
      <c r="BK233" s="349">
        <f t="shared" si="890"/>
        <v>0.49830699774266374</v>
      </c>
      <c r="BL233" s="349">
        <f t="shared" si="890"/>
        <v>0.49460384311660954</v>
      </c>
      <c r="BM233" s="349">
        <f t="shared" si="890"/>
        <v>0.25588996323028723</v>
      </c>
      <c r="BN233" s="349">
        <f t="shared" si="890"/>
        <v>0.12537532528191098</v>
      </c>
      <c r="BO233" s="349">
        <f t="shared" si="890"/>
        <v>0.47446138949406919</v>
      </c>
      <c r="BP233" s="349">
        <f t="shared" ref="BP233:CU233" si="891">BP231/BP17</f>
        <v>0.42393278837420523</v>
      </c>
      <c r="BQ233" s="349">
        <f t="shared" si="891"/>
        <v>0.21874633860574108</v>
      </c>
      <c r="BR233" s="349">
        <f t="shared" si="891"/>
        <v>0.49278722308088613</v>
      </c>
      <c r="BS233" s="349">
        <f t="shared" si="891"/>
        <v>0.48625843780135009</v>
      </c>
      <c r="BT233" s="349">
        <f t="shared" si="891"/>
        <v>0.25118306351183062</v>
      </c>
      <c r="BU233" s="349">
        <f t="shared" si="891"/>
        <v>0.1217627527920314</v>
      </c>
      <c r="BV233" s="349">
        <f t="shared" si="891"/>
        <v>0.48979118329466365</v>
      </c>
      <c r="BW233" s="349">
        <f t="shared" si="891"/>
        <v>0.43050922837447186</v>
      </c>
      <c r="BX233" s="349">
        <f t="shared" si="891"/>
        <v>0.21982513909390253</v>
      </c>
      <c r="BY233" s="349">
        <f t="shared" si="891"/>
        <v>0.43314093314093322</v>
      </c>
      <c r="BZ233" s="349">
        <f t="shared" si="891"/>
        <v>0.55104862871629401</v>
      </c>
      <c r="CA233" s="349">
        <f t="shared" si="891"/>
        <v>0.28139343297634462</v>
      </c>
      <c r="CB233" s="349">
        <f t="shared" si="891"/>
        <v>0.13817614424410543</v>
      </c>
      <c r="CC233" s="349">
        <f t="shared" si="891"/>
        <v>0.43438155136268336</v>
      </c>
      <c r="CD233" s="349">
        <f t="shared" si="891"/>
        <v>0.40801934313923033</v>
      </c>
      <c r="CE233" s="349">
        <f t="shared" si="891"/>
        <v>0.2080550703791226</v>
      </c>
      <c r="CF233" s="349">
        <f t="shared" si="891"/>
        <v>0.35610720562390163</v>
      </c>
      <c r="CG233" s="349">
        <f t="shared" si="891"/>
        <v>0.54672019542377537</v>
      </c>
      <c r="CH233" s="349">
        <f t="shared" si="891"/>
        <v>0.28464454993419819</v>
      </c>
      <c r="CI233" s="349">
        <f t="shared" si="891"/>
        <v>0.14056813386942357</v>
      </c>
      <c r="CJ233" s="349">
        <f t="shared" si="891"/>
        <v>0.37066841845951709</v>
      </c>
      <c r="CK233" s="349">
        <f t="shared" si="891"/>
        <v>0.37546933667083865</v>
      </c>
      <c r="CL233" s="349">
        <f t="shared" si="891"/>
        <v>0.19229228427209361</v>
      </c>
      <c r="CM233" s="349">
        <f t="shared" si="891"/>
        <v>0.36605657237936767</v>
      </c>
      <c r="CN233" s="349">
        <f t="shared" si="891"/>
        <v>0.41979414093428341</v>
      </c>
      <c r="CO233" s="349">
        <f t="shared" si="891"/>
        <v>0.2150912778904665</v>
      </c>
      <c r="CP233" s="349">
        <f t="shared" si="891"/>
        <v>0.10686930581310974</v>
      </c>
      <c r="CQ233" s="349">
        <f t="shared" si="891"/>
        <v>0.39173832923832919</v>
      </c>
      <c r="CR233" s="349">
        <f t="shared" si="891"/>
        <v>0.38979370249728551</v>
      </c>
      <c r="CS233" s="349">
        <f t="shared" si="891"/>
        <v>0.19391928389536225</v>
      </c>
      <c r="CT233" s="349">
        <f t="shared" si="891"/>
        <v>0.36194539249146768</v>
      </c>
      <c r="CU233" s="349">
        <f t="shared" si="891"/>
        <v>0.5065620998719591</v>
      </c>
      <c r="CV233" s="349">
        <f t="shared" ref="CV233:EA233" si="892">CV231/CV17</f>
        <v>0.26139742319127851</v>
      </c>
      <c r="CW233" s="349">
        <f t="shared" si="892"/>
        <v>0.12626161886145132</v>
      </c>
      <c r="CX233" s="349">
        <f t="shared" si="892"/>
        <v>0.42247943953700884</v>
      </c>
      <c r="CY233" s="349">
        <f t="shared" si="892"/>
        <v>0.43471675249924269</v>
      </c>
      <c r="CZ233" s="349">
        <f t="shared" si="892"/>
        <v>0.21795261239368172</v>
      </c>
      <c r="DA233" s="349">
        <f t="shared" si="892"/>
        <v>0.42467974704070055</v>
      </c>
      <c r="DB233" s="349">
        <f t="shared" si="892"/>
        <v>0.58473191742165476</v>
      </c>
      <c r="DC233" s="349">
        <f t="shared" si="892"/>
        <v>0.30519379844961253</v>
      </c>
      <c r="DD233" s="573">
        <f t="shared" si="892"/>
        <v>0.15102808040509438</v>
      </c>
      <c r="DE233" s="350">
        <f t="shared" si="892"/>
        <v>0.50183559457302473</v>
      </c>
      <c r="DF233" s="350">
        <f t="shared" si="892"/>
        <v>0.33188602442333781</v>
      </c>
      <c r="DG233" s="349">
        <f t="shared" si="892"/>
        <v>0.1793912724605794</v>
      </c>
      <c r="DH233" s="349">
        <f t="shared" si="892"/>
        <v>0.22935282967776879</v>
      </c>
      <c r="DI233" s="349">
        <f t="shared" si="892"/>
        <v>0.3031242251425737</v>
      </c>
      <c r="DJ233" s="349">
        <f t="shared" si="892"/>
        <v>0.15823194408490812</v>
      </c>
      <c r="DK233" s="573">
        <f t="shared" si="892"/>
        <v>8.4058170316636288E-2</v>
      </c>
      <c r="DL233" s="351">
        <f t="shared" si="892"/>
        <v>0.25417901600474208</v>
      </c>
      <c r="DM233" s="350">
        <f t="shared" si="892"/>
        <v>0.24092116917626211</v>
      </c>
      <c r="DN233" s="349">
        <f t="shared" si="892"/>
        <v>0.12457777523329701</v>
      </c>
      <c r="DO233" s="350">
        <f t="shared" si="892"/>
        <v>0.22944444444444451</v>
      </c>
      <c r="DP233" s="349">
        <f t="shared" si="892"/>
        <v>0.22737603305785115</v>
      </c>
      <c r="DQ233" s="349">
        <f t="shared" si="892"/>
        <v>0.11782655246252673</v>
      </c>
      <c r="DR233" s="573">
        <f t="shared" si="892"/>
        <v>6.0890253686336319E-2</v>
      </c>
      <c r="DS233" s="350">
        <f t="shared" si="892"/>
        <v>0.19218859254819698</v>
      </c>
      <c r="DT233" s="350">
        <f t="shared" si="892"/>
        <v>0.24438652766639923</v>
      </c>
      <c r="DU233" s="350">
        <f t="shared" si="892"/>
        <v>0.1219792865362485</v>
      </c>
      <c r="DV233" s="350">
        <f t="shared" si="892"/>
        <v>0.30332249070631961</v>
      </c>
      <c r="DW233" s="349">
        <f t="shared" si="892"/>
        <v>0.33925457715780299</v>
      </c>
      <c r="DX233" s="349">
        <f t="shared" si="892"/>
        <v>0.1750449842555106</v>
      </c>
      <c r="DY233" s="573">
        <f t="shared" si="892"/>
        <v>8.2417727886473752E-2</v>
      </c>
      <c r="DZ233" s="350">
        <f t="shared" si="892"/>
        <v>0.28670229487582533</v>
      </c>
      <c r="EA233" s="350">
        <f t="shared" si="892"/>
        <v>0.24018822587104519</v>
      </c>
      <c r="EB233" s="350">
        <f t="shared" ref="EB233:FG233" si="893">EB231/EB17</f>
        <v>0.12283037222876449</v>
      </c>
      <c r="EC233" s="350">
        <f t="shared" si="893"/>
        <v>0.1973011654058475</v>
      </c>
      <c r="ED233" s="349">
        <f t="shared" si="893"/>
        <v>0.2394029850746269</v>
      </c>
      <c r="EE233" s="349">
        <f t="shared" si="893"/>
        <v>0.12131908027430417</v>
      </c>
      <c r="EF233" s="573">
        <f t="shared" si="893"/>
        <v>6.1123389985519423E-2</v>
      </c>
      <c r="EG233" s="350">
        <f t="shared" si="893"/>
        <v>0.29206573243270495</v>
      </c>
      <c r="EH233" s="350">
        <f t="shared" si="893"/>
        <v>0.32004579517069109</v>
      </c>
      <c r="EI233" s="350">
        <f t="shared" si="893"/>
        <v>0.15747426640036874</v>
      </c>
      <c r="EJ233" s="350">
        <f t="shared" si="893"/>
        <v>0.24105737962865842</v>
      </c>
      <c r="EK233" s="350">
        <f t="shared" si="893"/>
        <v>0.30108080288214106</v>
      </c>
      <c r="EL233" s="349">
        <f t="shared" si="893"/>
        <v>0.15196384039900254</v>
      </c>
      <c r="EM233" s="573">
        <f t="shared" si="893"/>
        <v>7.5435203094777581E-2</v>
      </c>
      <c r="EN233" s="350">
        <f t="shared" ref="EN233:EP233" si="894">EN231/EN17</f>
        <v>0.22624736081786856</v>
      </c>
      <c r="EO233" s="350">
        <f t="shared" si="894"/>
        <v>0.25375328896455662</v>
      </c>
      <c r="EP233" s="350">
        <f t="shared" si="894"/>
        <v>0.16934359345142802</v>
      </c>
      <c r="EQ233" s="351">
        <f t="shared" ref="EQ233" si="895">EQ231/EQ17</f>
        <v>0.24971769640264552</v>
      </c>
      <c r="ER233" s="349">
        <f t="shared" si="893"/>
        <v>0.3010808028821409</v>
      </c>
      <c r="ES233" s="349">
        <f t="shared" si="893"/>
        <v>0.15633213406276539</v>
      </c>
      <c r="ET233" s="581">
        <f t="shared" si="893"/>
        <v>8.7914594981918073E-2</v>
      </c>
      <c r="EU233" s="349">
        <f t="shared" si="893"/>
        <v>0.22624736081786861</v>
      </c>
      <c r="EV233" s="349">
        <f t="shared" si="893"/>
        <v>0.25375328896455657</v>
      </c>
      <c r="EW233" s="349">
        <f t="shared" si="893"/>
        <v>0.1295868846925243</v>
      </c>
      <c r="EX233" s="349">
        <f t="shared" si="893"/>
        <v>0.24971769640264557</v>
      </c>
      <c r="EY233" s="349">
        <f t="shared" si="893"/>
        <v>0.30108080288214101</v>
      </c>
      <c r="EZ233" s="349">
        <f t="shared" si="893"/>
        <v>0.15758395077271836</v>
      </c>
      <c r="FA233" s="581">
        <f t="shared" si="893"/>
        <v>7.9835202673414402E-2</v>
      </c>
      <c r="FB233" s="349">
        <f t="shared" si="893"/>
        <v>0.22624736081786853</v>
      </c>
      <c r="FC233" s="349">
        <f t="shared" si="893"/>
        <v>0.25375328896455662</v>
      </c>
      <c r="FD233" s="349">
        <f t="shared" si="893"/>
        <v>0.13039431790619238</v>
      </c>
      <c r="FE233" s="349">
        <f t="shared" si="893"/>
        <v>0.24971769640264552</v>
      </c>
      <c r="FF233" s="349">
        <f t="shared" si="893"/>
        <v>0.30108080288214106</v>
      </c>
      <c r="FG233" s="349">
        <f t="shared" si="893"/>
        <v>0.15706113682127404</v>
      </c>
      <c r="FH233" s="581">
        <f t="shared" ref="FH233:FV233" si="896">FH231/FH17</f>
        <v>7.9661741844521183E-2</v>
      </c>
      <c r="FI233" s="349">
        <f t="shared" si="896"/>
        <v>0.2262473608178685</v>
      </c>
      <c r="FJ233" s="349">
        <f t="shared" si="896"/>
        <v>0.25375328896455657</v>
      </c>
      <c r="FK233" s="349">
        <f t="shared" si="896"/>
        <v>0.13010712845001687</v>
      </c>
      <c r="FL233" s="349">
        <f t="shared" si="896"/>
        <v>0.24971769640264549</v>
      </c>
      <c r="FM233" s="349">
        <f t="shared" si="896"/>
        <v>0.30108080288214101</v>
      </c>
      <c r="FN233" s="349">
        <f t="shared" si="896"/>
        <v>0.15657826906818564</v>
      </c>
      <c r="FO233" s="581">
        <f t="shared" si="896"/>
        <v>7.9134951359012135E-2</v>
      </c>
      <c r="FP233" s="349">
        <f t="shared" si="896"/>
        <v>0.22624736081786861</v>
      </c>
      <c r="FQ233" s="349">
        <f t="shared" si="896"/>
        <v>0.25375328896455651</v>
      </c>
      <c r="FR233" s="349">
        <f t="shared" si="896"/>
        <v>0.13052140848074953</v>
      </c>
      <c r="FS233" s="349">
        <f t="shared" si="896"/>
        <v>0.24971769640264546</v>
      </c>
      <c r="FT233" s="349">
        <f t="shared" si="896"/>
        <v>0.30108080288214101</v>
      </c>
      <c r="FU233" s="349">
        <f t="shared" si="896"/>
        <v>0.15631122201004224</v>
      </c>
      <c r="FV233" s="581">
        <f t="shared" si="896"/>
        <v>7.9176621658999427E-2</v>
      </c>
    </row>
    <row r="234" spans="2:178" outlineLevel="1" x14ac:dyDescent="0.3">
      <c r="B234" s="396" t="s">
        <v>567</v>
      </c>
      <c r="C234" s="280"/>
    </row>
    <row r="235" spans="2:178" outlineLevel="1" x14ac:dyDescent="0.3">
      <c r="B235" s="279" t="s">
        <v>568</v>
      </c>
      <c r="C235" s="280" t="s">
        <v>211</v>
      </c>
    </row>
    <row r="236" spans="2:178" outlineLevel="1" x14ac:dyDescent="0.3">
      <c r="B236" s="279" t="s">
        <v>569</v>
      </c>
      <c r="C236" s="280" t="s">
        <v>226</v>
      </c>
      <c r="D236" s="281">
        <f t="shared" ref="D236:AI236" si="897">D134+D202+SUM(D211:D216)</f>
        <v>648.9</v>
      </c>
      <c r="E236" s="281">
        <f t="shared" si="897"/>
        <v>693.80000000000007</v>
      </c>
      <c r="F236" s="281">
        <f t="shared" si="897"/>
        <v>693.80000000000007</v>
      </c>
      <c r="G236" s="281">
        <f t="shared" si="897"/>
        <v>716.9</v>
      </c>
      <c r="H236" s="281">
        <f t="shared" si="897"/>
        <v>86.599999999999952</v>
      </c>
      <c r="I236" s="281">
        <f t="shared" si="897"/>
        <v>86.599999999999952</v>
      </c>
      <c r="J236" s="281">
        <f t="shared" si="897"/>
        <v>86.599999999999952</v>
      </c>
      <c r="K236" s="281">
        <f t="shared" si="897"/>
        <v>81.899999999999977</v>
      </c>
      <c r="L236" s="281">
        <f t="shared" si="897"/>
        <v>235.7</v>
      </c>
      <c r="M236" s="281">
        <f t="shared" si="897"/>
        <v>235.7</v>
      </c>
      <c r="N236" s="281">
        <f t="shared" si="897"/>
        <v>168.39999999999995</v>
      </c>
      <c r="O236" s="281">
        <f t="shared" si="897"/>
        <v>422.1</v>
      </c>
      <c r="P236" s="281">
        <f t="shared" si="897"/>
        <v>422.1</v>
      </c>
      <c r="Q236" s="281">
        <f t="shared" si="897"/>
        <v>422.1</v>
      </c>
      <c r="R236" s="281">
        <f t="shared" si="897"/>
        <v>201.89999999999998</v>
      </c>
      <c r="S236" s="281">
        <f t="shared" si="897"/>
        <v>212.29999999999998</v>
      </c>
      <c r="T236" s="281">
        <f t="shared" si="897"/>
        <v>212.29999999999998</v>
      </c>
      <c r="U236" s="281">
        <f t="shared" si="897"/>
        <v>190.10000000000005</v>
      </c>
      <c r="V236" s="281">
        <f t="shared" si="897"/>
        <v>37.300000000000011</v>
      </c>
      <c r="W236" s="281">
        <f t="shared" si="897"/>
        <v>37.300000000000011</v>
      </c>
      <c r="X236" s="281">
        <f t="shared" si="897"/>
        <v>37.300000000000011</v>
      </c>
      <c r="Y236" s="281">
        <f t="shared" si="897"/>
        <v>-73.099999999999994</v>
      </c>
      <c r="Z236" s="281">
        <f t="shared" si="897"/>
        <v>70.399999999999977</v>
      </c>
      <c r="AA236" s="281">
        <f t="shared" si="897"/>
        <v>70.399999999999977</v>
      </c>
      <c r="AB236" s="281">
        <f t="shared" si="897"/>
        <v>216.99999999999994</v>
      </c>
      <c r="AC236" s="281">
        <f t="shared" si="897"/>
        <v>190.39999999999998</v>
      </c>
      <c r="AD236" s="281">
        <f t="shared" si="897"/>
        <v>190.39999999999998</v>
      </c>
      <c r="AE236" s="281">
        <f t="shared" si="897"/>
        <v>190.39999999999998</v>
      </c>
      <c r="AF236" s="281">
        <f t="shared" si="897"/>
        <v>96.6</v>
      </c>
      <c r="AG236" s="281">
        <f t="shared" si="897"/>
        <v>33.299999999999955</v>
      </c>
      <c r="AH236" s="281">
        <f t="shared" si="897"/>
        <v>33.299999999999955</v>
      </c>
      <c r="AI236" s="281">
        <f t="shared" si="897"/>
        <v>28.400000000000006</v>
      </c>
      <c r="AJ236" s="281">
        <f t="shared" ref="AJ236:BO236" si="898">AJ134+AJ202+SUM(AJ211:AJ216)</f>
        <v>35.100000000000037</v>
      </c>
      <c r="AK236" s="281">
        <f t="shared" si="898"/>
        <v>35.100000000000037</v>
      </c>
      <c r="AL236" s="281">
        <f t="shared" si="898"/>
        <v>35.100000000000037</v>
      </c>
      <c r="AM236" s="281">
        <f t="shared" si="898"/>
        <v>163.5</v>
      </c>
      <c r="AN236" s="281">
        <f t="shared" si="898"/>
        <v>-275.39999999999998</v>
      </c>
      <c r="AO236" s="281">
        <f t="shared" si="898"/>
        <v>-275.39999999999998</v>
      </c>
      <c r="AP236" s="281">
        <f t="shared" si="898"/>
        <v>-372.5</v>
      </c>
      <c r="AQ236" s="281">
        <f t="shared" si="898"/>
        <v>-394.00000000000006</v>
      </c>
      <c r="AR236" s="281">
        <f t="shared" si="898"/>
        <v>-394.00000000000006</v>
      </c>
      <c r="AS236" s="281">
        <f t="shared" si="898"/>
        <v>-394.00000000000006</v>
      </c>
      <c r="AT236" s="281">
        <f t="shared" si="898"/>
        <v>-404.40000000000003</v>
      </c>
      <c r="AU236" s="281">
        <f t="shared" si="898"/>
        <v>-280.29999999999995</v>
      </c>
      <c r="AV236" s="281">
        <f t="shared" si="898"/>
        <v>-280.29999999999995</v>
      </c>
      <c r="AW236" s="281">
        <f t="shared" si="898"/>
        <v>-366.9</v>
      </c>
      <c r="AX236" s="281">
        <f t="shared" si="898"/>
        <v>-88.499999999999943</v>
      </c>
      <c r="AY236" s="281">
        <f t="shared" si="898"/>
        <v>-88.499999999999943</v>
      </c>
      <c r="AZ236" s="281">
        <f t="shared" si="898"/>
        <v>-88.499999999999943</v>
      </c>
      <c r="BA236" s="281">
        <f t="shared" si="898"/>
        <v>-250.10000000000002</v>
      </c>
      <c r="BB236" s="281">
        <f t="shared" si="898"/>
        <v>4.8999999999999915</v>
      </c>
      <c r="BC236" s="281">
        <f t="shared" si="898"/>
        <v>4.8999999999999915</v>
      </c>
      <c r="BD236" s="281">
        <f t="shared" si="898"/>
        <v>-59.500000000000014</v>
      </c>
      <c r="BE236" s="281">
        <f t="shared" si="898"/>
        <v>-115.00000000000003</v>
      </c>
      <c r="BF236" s="281">
        <f t="shared" si="898"/>
        <v>-115.00000000000003</v>
      </c>
      <c r="BG236" s="281">
        <f t="shared" si="898"/>
        <v>-115.00000000000003</v>
      </c>
      <c r="BH236" s="281">
        <f t="shared" si="898"/>
        <v>-190.8</v>
      </c>
      <c r="BI236" s="281">
        <f t="shared" si="898"/>
        <v>-61.399999999999963</v>
      </c>
      <c r="BJ236" s="281">
        <f t="shared" si="898"/>
        <v>-61.399999999999963</v>
      </c>
      <c r="BK236" s="281">
        <f t="shared" si="898"/>
        <v>-35.400000000000006</v>
      </c>
      <c r="BL236" s="281">
        <f t="shared" si="898"/>
        <v>-175.30000000000004</v>
      </c>
      <c r="BM236" s="281">
        <f t="shared" si="898"/>
        <v>-295.8</v>
      </c>
      <c r="BN236" s="281">
        <f t="shared" si="898"/>
        <v>-295.8</v>
      </c>
      <c r="BO236" s="281">
        <f t="shared" si="898"/>
        <v>-358.59999999999997</v>
      </c>
      <c r="BP236" s="281">
        <f t="shared" ref="BP236:DK236" si="899">BP134+BP202+SUM(BP211:BP216)</f>
        <v>57</v>
      </c>
      <c r="BQ236" s="281">
        <f t="shared" si="899"/>
        <v>57</v>
      </c>
      <c r="BR236" s="281">
        <f t="shared" si="899"/>
        <v>129.30000000000001</v>
      </c>
      <c r="BS236" s="281">
        <f t="shared" si="899"/>
        <v>167.79999999999998</v>
      </c>
      <c r="BT236" s="281">
        <f t="shared" si="899"/>
        <v>167.79999999999998</v>
      </c>
      <c r="BU236" s="281">
        <f t="shared" si="899"/>
        <v>167.79999999999998</v>
      </c>
      <c r="BV236" s="281">
        <f t="shared" si="899"/>
        <v>-15.5</v>
      </c>
      <c r="BW236" s="281">
        <f t="shared" si="899"/>
        <v>269.3</v>
      </c>
      <c r="BX236" s="281">
        <f t="shared" si="899"/>
        <v>269.3</v>
      </c>
      <c r="BY236" s="281">
        <f t="shared" si="899"/>
        <v>189.60000000000002</v>
      </c>
      <c r="BZ236" s="281">
        <f t="shared" si="899"/>
        <v>264.30000000000007</v>
      </c>
      <c r="CA236" s="281">
        <f t="shared" si="899"/>
        <v>264.30000000000007</v>
      </c>
      <c r="CB236" s="281">
        <f t="shared" si="899"/>
        <v>264.30000000000007</v>
      </c>
      <c r="CC236" s="281">
        <f t="shared" si="899"/>
        <v>137.99999999999994</v>
      </c>
      <c r="CD236" s="281">
        <f t="shared" si="899"/>
        <v>287.59999999999991</v>
      </c>
      <c r="CE236" s="281">
        <f t="shared" si="899"/>
        <v>287.59999999999991</v>
      </c>
      <c r="CF236" s="281">
        <f t="shared" si="899"/>
        <v>203.19999999999993</v>
      </c>
      <c r="CG236" s="281">
        <f t="shared" si="899"/>
        <v>363.00000000000006</v>
      </c>
      <c r="CH236" s="281">
        <f t="shared" si="899"/>
        <v>363.00000000000006</v>
      </c>
      <c r="CI236" s="281">
        <f t="shared" si="899"/>
        <v>363.00000000000006</v>
      </c>
      <c r="CJ236" s="281">
        <f t="shared" si="899"/>
        <v>192.60000000000002</v>
      </c>
      <c r="CK236" s="281">
        <f t="shared" si="899"/>
        <v>445.30000000000013</v>
      </c>
      <c r="CL236" s="281">
        <f t="shared" si="899"/>
        <v>445.30000000000013</v>
      </c>
      <c r="CM236" s="281">
        <f t="shared" si="899"/>
        <v>436.69999999999987</v>
      </c>
      <c r="CN236" s="281">
        <f t="shared" si="899"/>
        <v>426.8</v>
      </c>
      <c r="CO236" s="281">
        <f t="shared" si="899"/>
        <v>426.8</v>
      </c>
      <c r="CP236" s="282">
        <f t="shared" si="899"/>
        <v>426.8</v>
      </c>
      <c r="CQ236" s="282">
        <f t="shared" si="899"/>
        <v>1994.5</v>
      </c>
      <c r="CR236" s="282">
        <f t="shared" si="899"/>
        <v>2253.3000000000002</v>
      </c>
      <c r="CS236" s="282">
        <f t="shared" si="899"/>
        <v>2253.3000000000002</v>
      </c>
      <c r="CT236" s="282">
        <f t="shared" si="899"/>
        <v>2200.1</v>
      </c>
      <c r="CU236" s="282">
        <f t="shared" si="899"/>
        <v>2315.8000000000002</v>
      </c>
      <c r="CV236" s="282">
        <f t="shared" si="899"/>
        <v>2315.8000000000002</v>
      </c>
      <c r="CW236" s="282">
        <f t="shared" si="899"/>
        <v>2315.8000000000002</v>
      </c>
      <c r="CX236" s="282">
        <f t="shared" si="899"/>
        <v>2197.1000000000004</v>
      </c>
      <c r="CY236" s="282">
        <f t="shared" si="899"/>
        <v>2411.1000000000004</v>
      </c>
      <c r="CZ236" s="282">
        <f t="shared" si="899"/>
        <v>2411.1000000000004</v>
      </c>
      <c r="DA236" s="282">
        <f t="shared" si="899"/>
        <v>2359.1999999999998</v>
      </c>
      <c r="DB236" s="282">
        <f t="shared" si="899"/>
        <v>2280.9</v>
      </c>
      <c r="DC236" s="282">
        <f t="shared" si="899"/>
        <v>2280.9</v>
      </c>
      <c r="DD236" s="590">
        <f t="shared" si="899"/>
        <v>2280.9</v>
      </c>
      <c r="DE236" s="282">
        <f t="shared" si="899"/>
        <v>2147</v>
      </c>
      <c r="DF236" s="282">
        <f t="shared" si="899"/>
        <v>2080.2000000000003</v>
      </c>
      <c r="DG236" s="282">
        <f t="shared" si="899"/>
        <v>2080.2000000000003</v>
      </c>
      <c r="DH236" s="282">
        <f t="shared" si="899"/>
        <v>1989</v>
      </c>
      <c r="DI236" s="282">
        <f t="shared" si="899"/>
        <v>1744.5000000000002</v>
      </c>
      <c r="DJ236" s="282">
        <f t="shared" si="899"/>
        <v>1744.5000000000002</v>
      </c>
      <c r="DK236" s="590">
        <f t="shared" si="899"/>
        <v>1744.5000000000002</v>
      </c>
      <c r="DL236" s="284">
        <f>DL134+DL202+SUM(DL211:DL216)</f>
        <v>2025.2999999999997</v>
      </c>
      <c r="DM236" s="282">
        <f t="shared" ref="DM236:DR236" si="900">DM134+DM202+SUM(DM211:DM216)</f>
        <v>2075.9</v>
      </c>
      <c r="DN236" s="282">
        <f t="shared" si="900"/>
        <v>2075.9</v>
      </c>
      <c r="DO236" s="282">
        <f t="shared" si="900"/>
        <v>2072.8000000000002</v>
      </c>
      <c r="DP236" s="282">
        <f t="shared" si="900"/>
        <v>2116.1999999999998</v>
      </c>
      <c r="DQ236" s="282">
        <f t="shared" si="900"/>
        <v>2116.1999999999998</v>
      </c>
      <c r="DR236" s="590">
        <f t="shared" si="900"/>
        <v>2116.1999999999998</v>
      </c>
      <c r="DS236" s="282">
        <f>DS134+DS202+SUM(DS211:DS216)</f>
        <v>2081.1999999999998</v>
      </c>
      <c r="DT236" s="282">
        <f t="shared" ref="DT236:FV236" si="901">DT134+DT202+SUM(DT211:DT216)</f>
        <v>2340</v>
      </c>
      <c r="DU236" s="282">
        <f t="shared" si="901"/>
        <v>2340</v>
      </c>
      <c r="DV236" s="282">
        <f t="shared" si="901"/>
        <v>2477.1999999999998</v>
      </c>
      <c r="DW236" s="282">
        <f t="shared" si="901"/>
        <v>2587.6</v>
      </c>
      <c r="DX236" s="282">
        <f t="shared" si="901"/>
        <v>2587.6</v>
      </c>
      <c r="DY236" s="590">
        <f t="shared" si="901"/>
        <v>2587.6</v>
      </c>
      <c r="DZ236" s="282">
        <f>DZ134+DZ202+SUM(DZ211:DZ216)</f>
        <v>2591.6999999999998</v>
      </c>
      <c r="EA236" s="282">
        <f t="shared" ref="EA236:EF236" si="902">EA134+EA202+SUM(EA211:EA216)</f>
        <v>2621.1</v>
      </c>
      <c r="EB236" s="282">
        <f t="shared" si="902"/>
        <v>2621.1</v>
      </c>
      <c r="EC236" s="282">
        <f t="shared" si="902"/>
        <v>2627.1</v>
      </c>
      <c r="ED236" s="282">
        <f t="shared" si="902"/>
        <v>2645.4</v>
      </c>
      <c r="EE236" s="282">
        <f t="shared" si="902"/>
        <v>2645.4</v>
      </c>
      <c r="EF236" s="590">
        <f t="shared" si="902"/>
        <v>2645.4</v>
      </c>
      <c r="EG236" s="282">
        <f>EG134+EG202+SUM(EG211:EG216)</f>
        <v>2722.9</v>
      </c>
      <c r="EH236" s="282">
        <f t="shared" ref="EH236:EM236" si="903">EH134+EH202+SUM(EH211:EH216)</f>
        <v>2772.6000000000004</v>
      </c>
      <c r="EI236" s="282">
        <f t="shared" si="903"/>
        <v>2772.6000000000004</v>
      </c>
      <c r="EJ236" s="282">
        <f t="shared" si="903"/>
        <v>2692.6</v>
      </c>
      <c r="EK236" s="282">
        <f t="shared" si="903"/>
        <v>2745.2</v>
      </c>
      <c r="EL236" s="282">
        <f t="shared" si="903"/>
        <v>2745.2</v>
      </c>
      <c r="EM236" s="590">
        <f t="shared" si="903"/>
        <v>2745.2</v>
      </c>
      <c r="EN236" s="282">
        <f>EN134+EN202+SUM(EN211:EN216)</f>
        <v>4416.6000000000004</v>
      </c>
      <c r="EO236" s="282">
        <f t="shared" ref="EO236:EP236" si="904">EO134+EO202+SUM(EO211:EO216)</f>
        <v>10813.8</v>
      </c>
      <c r="EP236" s="282">
        <f t="shared" si="904"/>
        <v>10813.8</v>
      </c>
      <c r="EQ236" s="284">
        <f>EQ134+EQ202+SUM(EQ211:EQ216)</f>
        <v>10703.900000000001</v>
      </c>
      <c r="ER236" s="282">
        <f t="shared" si="901"/>
        <v>10765.354058601089</v>
      </c>
      <c r="ES236" s="282">
        <f t="shared" si="901"/>
        <v>10765.354058601089</v>
      </c>
      <c r="ET236" s="590">
        <f t="shared" si="901"/>
        <v>10765.354058601089</v>
      </c>
      <c r="EU236" s="282">
        <f t="shared" si="901"/>
        <v>10698.746579718138</v>
      </c>
      <c r="EV236" s="282">
        <f t="shared" si="901"/>
        <v>10792.722158103492</v>
      </c>
      <c r="EW236" s="282">
        <f t="shared" si="901"/>
        <v>10792.722158103492</v>
      </c>
      <c r="EX236" s="282">
        <f t="shared" si="901"/>
        <v>10813.13824062921</v>
      </c>
      <c r="EY236" s="282">
        <f t="shared" si="901"/>
        <v>10968.196156492388</v>
      </c>
      <c r="EZ236" s="282">
        <f t="shared" si="901"/>
        <v>10968.196156492388</v>
      </c>
      <c r="FA236" s="590">
        <f t="shared" si="901"/>
        <v>10968.196156492388</v>
      </c>
      <c r="FB236" s="282">
        <f t="shared" si="901"/>
        <v>10892.363882330286</v>
      </c>
      <c r="FC236" s="282">
        <f t="shared" si="901"/>
        <v>10994.103630271204</v>
      </c>
      <c r="FD236" s="282">
        <f t="shared" si="901"/>
        <v>10994.103630271204</v>
      </c>
      <c r="FE236" s="282">
        <f t="shared" si="901"/>
        <v>11009.696472402378</v>
      </c>
      <c r="FF236" s="282">
        <f t="shared" si="901"/>
        <v>11170.740662961944</v>
      </c>
      <c r="FG236" s="282">
        <f t="shared" si="901"/>
        <v>11170.740662961944</v>
      </c>
      <c r="FH236" s="590">
        <f t="shared" si="901"/>
        <v>11170.740662961944</v>
      </c>
      <c r="FI236" s="282">
        <f t="shared" si="901"/>
        <v>11073.471684409607</v>
      </c>
      <c r="FJ236" s="282">
        <f t="shared" si="901"/>
        <v>11174.892029911183</v>
      </c>
      <c r="FK236" s="282">
        <f t="shared" si="901"/>
        <v>11174.892029911183</v>
      </c>
      <c r="FL236" s="282">
        <f t="shared" si="901"/>
        <v>11184.556886298615</v>
      </c>
      <c r="FM236" s="282">
        <f t="shared" si="901"/>
        <v>11347.472658296589</v>
      </c>
      <c r="FN236" s="282">
        <f t="shared" si="901"/>
        <v>11347.472658296589</v>
      </c>
      <c r="FO236" s="590">
        <f t="shared" si="901"/>
        <v>11347.472658296589</v>
      </c>
      <c r="FP236" s="282">
        <f t="shared" si="901"/>
        <v>11242.445758127036</v>
      </c>
      <c r="FQ236" s="282">
        <f t="shared" si="901"/>
        <v>11351.22987245361</v>
      </c>
      <c r="FR236" s="282">
        <f t="shared" si="901"/>
        <v>11351.22987245361</v>
      </c>
      <c r="FS236" s="282">
        <f t="shared" si="901"/>
        <v>11359.819465752167</v>
      </c>
      <c r="FT236" s="282">
        <f t="shared" si="901"/>
        <v>11530.363261260825</v>
      </c>
      <c r="FU236" s="282">
        <f t="shared" si="901"/>
        <v>11530.363261260825</v>
      </c>
      <c r="FV236" s="590">
        <f t="shared" si="901"/>
        <v>11530.363261260825</v>
      </c>
    </row>
    <row r="237" spans="2:178" outlineLevel="1" x14ac:dyDescent="0.3">
      <c r="B237" s="279" t="s">
        <v>570</v>
      </c>
      <c r="C237" s="280" t="s">
        <v>413</v>
      </c>
      <c r="D237" s="349">
        <f t="shared" ref="D237:BO237" si="905">D134/(D134+D218)</f>
        <v>-2.2032583397982915E-2</v>
      </c>
      <c r="E237" s="349">
        <f t="shared" si="905"/>
        <v>-3.4097504352872891E-2</v>
      </c>
      <c r="F237" s="349">
        <f t="shared" si="905"/>
        <v>-3.4097504352872891E-2</v>
      </c>
      <c r="G237" s="349">
        <f t="shared" si="905"/>
        <v>-3.8305037182545264E-2</v>
      </c>
      <c r="H237" s="349">
        <f t="shared" si="905"/>
        <v>-0.1503030303030308</v>
      </c>
      <c r="I237" s="349">
        <f t="shared" si="905"/>
        <v>-0.1503030303030308</v>
      </c>
      <c r="J237" s="349">
        <f t="shared" si="905"/>
        <v>-0.1503030303030308</v>
      </c>
      <c r="K237" s="349">
        <f t="shared" si="905"/>
        <v>-0.51612903225806472</v>
      </c>
      <c r="L237" s="349">
        <f t="shared" si="905"/>
        <v>0.38397548161120848</v>
      </c>
      <c r="M237" s="349">
        <f t="shared" si="905"/>
        <v>0.38397548161120848</v>
      </c>
      <c r="N237" s="349">
        <f t="shared" si="905"/>
        <v>0.14055727554179573</v>
      </c>
      <c r="O237" s="349">
        <f t="shared" si="905"/>
        <v>0.3730004847309743</v>
      </c>
      <c r="P237" s="349">
        <f t="shared" si="905"/>
        <v>0.3730004847309743</v>
      </c>
      <c r="Q237" s="349">
        <f t="shared" si="905"/>
        <v>0.3730004847309743</v>
      </c>
      <c r="R237" s="349">
        <f t="shared" si="905"/>
        <v>0.23112961998958878</v>
      </c>
      <c r="S237" s="349">
        <f t="shared" si="905"/>
        <v>0.44438952051408803</v>
      </c>
      <c r="T237" s="349">
        <f t="shared" si="905"/>
        <v>0.44438952051408803</v>
      </c>
      <c r="U237" s="349">
        <f t="shared" si="905"/>
        <v>1.2922222222222217</v>
      </c>
      <c r="V237" s="349">
        <f t="shared" si="905"/>
        <v>8.6452830188679251</v>
      </c>
      <c r="W237" s="349">
        <f t="shared" si="905"/>
        <v>8.6452830188679251</v>
      </c>
      <c r="X237" s="349">
        <f t="shared" si="905"/>
        <v>8.6452830188679251</v>
      </c>
      <c r="Y237" s="349">
        <f t="shared" si="905"/>
        <v>-1.8151658767772509</v>
      </c>
      <c r="Z237" s="349">
        <f t="shared" si="905"/>
        <v>3.0103626943005191</v>
      </c>
      <c r="AA237" s="349">
        <f t="shared" si="905"/>
        <v>3.0103626943005191</v>
      </c>
      <c r="AB237" s="349">
        <f t="shared" si="905"/>
        <v>1.1853682649530402</v>
      </c>
      <c r="AC237" s="349">
        <f t="shared" si="905"/>
        <v>1.6286871023713132</v>
      </c>
      <c r="AD237" s="349">
        <f t="shared" si="905"/>
        <v>1.6286871023713132</v>
      </c>
      <c r="AE237" s="349">
        <f t="shared" si="905"/>
        <v>1.6286871023713132</v>
      </c>
      <c r="AF237" s="349">
        <f t="shared" si="905"/>
        <v>2.9610894941634247</v>
      </c>
      <c r="AG237" s="349">
        <f t="shared" si="905"/>
        <v>12.590909090909127</v>
      </c>
      <c r="AH237" s="349">
        <f t="shared" si="905"/>
        <v>12.590909090909127</v>
      </c>
      <c r="AI237" s="349">
        <f t="shared" si="905"/>
        <v>14.515463917525748</v>
      </c>
      <c r="AJ237" s="349">
        <f t="shared" si="905"/>
        <v>7.9763313609467232</v>
      </c>
      <c r="AK237" s="349">
        <f t="shared" si="905"/>
        <v>7.9763313609467232</v>
      </c>
      <c r="AL237" s="349">
        <f t="shared" si="905"/>
        <v>7.9763313609467232</v>
      </c>
      <c r="AM237" s="349">
        <f t="shared" si="905"/>
        <v>1.1838842975206614</v>
      </c>
      <c r="AN237" s="349">
        <f t="shared" si="905"/>
        <v>-0.47641831852358169</v>
      </c>
      <c r="AO237" s="349">
        <f t="shared" si="905"/>
        <v>-0.47641831852358169</v>
      </c>
      <c r="AP237" s="349">
        <f t="shared" si="905"/>
        <v>-0.14733622227886822</v>
      </c>
      <c r="AQ237" s="349">
        <f t="shared" si="905"/>
        <v>-9.7560975609756073E-2</v>
      </c>
      <c r="AR237" s="349">
        <f t="shared" si="905"/>
        <v>-9.7560975609756073E-2</v>
      </c>
      <c r="AS237" s="349">
        <f t="shared" si="905"/>
        <v>-9.7560975609756073E-2</v>
      </c>
      <c r="AT237" s="349">
        <f t="shared" si="905"/>
        <v>-6.3473336479471454E-2</v>
      </c>
      <c r="AU237" s="349">
        <f t="shared" si="905"/>
        <v>-0.122906898861353</v>
      </c>
      <c r="AV237" s="349">
        <f t="shared" si="905"/>
        <v>-0.122906898861353</v>
      </c>
      <c r="AW237" s="349">
        <f t="shared" si="905"/>
        <v>6.6822066822066817E-2</v>
      </c>
      <c r="AX237" s="349">
        <f t="shared" si="905"/>
        <v>2.1692876965772441</v>
      </c>
      <c r="AY237" s="349">
        <f t="shared" si="905"/>
        <v>2.1692876965772441</v>
      </c>
      <c r="AZ237" s="349">
        <f t="shared" si="905"/>
        <v>2.1692876965772441</v>
      </c>
      <c r="BA237" s="349">
        <f t="shared" si="905"/>
        <v>1.0997782705099779</v>
      </c>
      <c r="BB237" s="349">
        <f t="shared" si="905"/>
        <v>4.9870967741935459</v>
      </c>
      <c r="BC237" s="349">
        <f t="shared" si="905"/>
        <v>4.9870967741935459</v>
      </c>
      <c r="BD237" s="349">
        <f t="shared" si="905"/>
        <v>1.986301369863013</v>
      </c>
      <c r="BE237" s="349">
        <f t="shared" si="905"/>
        <v>1.1343173431734315</v>
      </c>
      <c r="BF237" s="349">
        <f t="shared" si="905"/>
        <v>1.1343173431734315</v>
      </c>
      <c r="BG237" s="349">
        <f t="shared" si="905"/>
        <v>1.1343173431734315</v>
      </c>
      <c r="BH237" s="349">
        <f t="shared" si="905"/>
        <v>0.93841781146376113</v>
      </c>
      <c r="BI237" s="349">
        <f t="shared" si="905"/>
        <v>1.5495716034271734</v>
      </c>
      <c r="BJ237" s="349">
        <f t="shared" si="905"/>
        <v>1.5495716034271734</v>
      </c>
      <c r="BK237" s="349">
        <f t="shared" si="905"/>
        <v>2.8609154929577461</v>
      </c>
      <c r="BL237" s="349">
        <f t="shared" si="905"/>
        <v>0</v>
      </c>
      <c r="BM237" s="349">
        <f t="shared" si="905"/>
        <v>0.37715179968701096</v>
      </c>
      <c r="BN237" s="349">
        <f t="shared" si="905"/>
        <v>0.37715179968701096</v>
      </c>
      <c r="BO237" s="349">
        <f t="shared" si="905"/>
        <v>-4.292403746097815E-2</v>
      </c>
      <c r="BP237" s="349">
        <f t="shared" ref="BP237:DK237" si="906">BP134/(BP134+BP218)</f>
        <v>9.8611111111111178</v>
      </c>
      <c r="BQ237" s="349">
        <f t="shared" si="906"/>
        <v>9.8611111111111178</v>
      </c>
      <c r="BR237" s="349">
        <f t="shared" si="906"/>
        <v>3.1723136495643751</v>
      </c>
      <c r="BS237" s="349">
        <f t="shared" si="906"/>
        <v>2.4318021201413433</v>
      </c>
      <c r="BT237" s="349">
        <f t="shared" si="906"/>
        <v>2.4318021201413433</v>
      </c>
      <c r="BU237" s="349">
        <f t="shared" si="906"/>
        <v>2.4318021201413433</v>
      </c>
      <c r="BV237" s="349">
        <f t="shared" si="906"/>
        <v>-8.254545454545454</v>
      </c>
      <c r="BW237" s="349">
        <f t="shared" si="906"/>
        <v>2.0864197530864192</v>
      </c>
      <c r="BX237" s="349">
        <f t="shared" si="906"/>
        <v>2.0864197530864192</v>
      </c>
      <c r="BY237" s="349">
        <f t="shared" si="906"/>
        <v>2.6695815115552772</v>
      </c>
      <c r="BZ237" s="349">
        <f t="shared" si="906"/>
        <v>1.9740484429065739</v>
      </c>
      <c r="CA237" s="349">
        <f t="shared" si="906"/>
        <v>1.9740484429065739</v>
      </c>
      <c r="CB237" s="349">
        <f t="shared" si="906"/>
        <v>1.9740484429065739</v>
      </c>
      <c r="CC237" s="349">
        <f t="shared" si="906"/>
        <v>3.6600985221674893</v>
      </c>
      <c r="CD237" s="349">
        <f t="shared" si="906"/>
        <v>2.2134024730753894</v>
      </c>
      <c r="CE237" s="349">
        <f t="shared" si="906"/>
        <v>2.2134024730753894</v>
      </c>
      <c r="CF237" s="349">
        <f t="shared" si="906"/>
        <v>2.6246987951807235</v>
      </c>
      <c r="CG237" s="349">
        <f t="shared" si="906"/>
        <v>1.6513198281154082</v>
      </c>
      <c r="CH237" s="349">
        <f t="shared" si="906"/>
        <v>1.6513198281154082</v>
      </c>
      <c r="CI237" s="349">
        <f t="shared" si="906"/>
        <v>1.6513198281154082</v>
      </c>
      <c r="CJ237" s="349">
        <f t="shared" si="906"/>
        <v>2.7528957528957525</v>
      </c>
      <c r="CK237" s="349">
        <f t="shared" si="906"/>
        <v>1.4998754049339644</v>
      </c>
      <c r="CL237" s="349">
        <f t="shared" si="906"/>
        <v>1.4998754049339644</v>
      </c>
      <c r="CM237" s="349">
        <f t="shared" si="906"/>
        <v>1.4111338100102149</v>
      </c>
      <c r="CN237" s="349">
        <f t="shared" si="906"/>
        <v>1.5809074219774455</v>
      </c>
      <c r="CO237" s="349">
        <f t="shared" si="906"/>
        <v>1.5809074219774455</v>
      </c>
      <c r="CP237" s="349">
        <f t="shared" si="906"/>
        <v>1.5809074219774455</v>
      </c>
      <c r="CQ237" s="349">
        <f t="shared" si="906"/>
        <v>0.54726853039240819</v>
      </c>
      <c r="CR237" s="349">
        <f t="shared" si="906"/>
        <v>0.57069176129937105</v>
      </c>
      <c r="CS237" s="349">
        <f t="shared" si="906"/>
        <v>0.57069176129937105</v>
      </c>
      <c r="CT237" s="349">
        <f t="shared" si="906"/>
        <v>0.55075283761871663</v>
      </c>
      <c r="CU237" s="349">
        <f t="shared" si="906"/>
        <v>0.57188049209138836</v>
      </c>
      <c r="CV237" s="349">
        <f t="shared" si="906"/>
        <v>0.57188049209138836</v>
      </c>
      <c r="CW237" s="349">
        <f t="shared" si="906"/>
        <v>0.57188049209138836</v>
      </c>
      <c r="CX237" s="349">
        <f t="shared" si="906"/>
        <v>0.56069873042350105</v>
      </c>
      <c r="CY237" s="349">
        <f t="shared" si="906"/>
        <v>0.56214189416919447</v>
      </c>
      <c r="CZ237" s="349">
        <f t="shared" si="906"/>
        <v>0.56214189416919447</v>
      </c>
      <c r="DA237" s="349">
        <f t="shared" si="906"/>
        <v>0.54367761656692648</v>
      </c>
      <c r="DB237" s="349">
        <f t="shared" si="906"/>
        <v>0.53894455577822298</v>
      </c>
      <c r="DC237" s="349">
        <f t="shared" si="906"/>
        <v>0.53894455577822298</v>
      </c>
      <c r="DD237" s="573">
        <f t="shared" si="906"/>
        <v>0.53894455577822298</v>
      </c>
      <c r="DE237" s="350">
        <f t="shared" si="906"/>
        <v>0.49109342429410652</v>
      </c>
      <c r="DF237" s="350">
        <f t="shared" si="906"/>
        <v>0.42269503546099285</v>
      </c>
      <c r="DG237" s="349">
        <f t="shared" si="906"/>
        <v>0.42269503546099285</v>
      </c>
      <c r="DH237" s="349">
        <f t="shared" si="906"/>
        <v>0.34602589692410057</v>
      </c>
      <c r="DI237" s="349">
        <f t="shared" si="906"/>
        <v>0.37997545151674555</v>
      </c>
      <c r="DJ237" s="349">
        <f t="shared" si="906"/>
        <v>0.37997545151674555</v>
      </c>
      <c r="DK237" s="573">
        <f t="shared" si="906"/>
        <v>0.37997545151674555</v>
      </c>
      <c r="DL237" s="351">
        <f>DL134/(DL134+DL218)</f>
        <v>0.40438666934350537</v>
      </c>
      <c r="DM237" s="350">
        <f t="shared" ref="DM237:DR237" si="907">DM134/(DM134+DM218)</f>
        <v>0.35356548958231443</v>
      </c>
      <c r="DN237" s="349">
        <f t="shared" si="907"/>
        <v>0.35356548958231443</v>
      </c>
      <c r="DO237" s="350">
        <f t="shared" si="907"/>
        <v>0.37289380877742945</v>
      </c>
      <c r="DP237" s="349">
        <f t="shared" si="907"/>
        <v>0.36078074045655095</v>
      </c>
      <c r="DQ237" s="349">
        <f t="shared" si="907"/>
        <v>0.36078074045655095</v>
      </c>
      <c r="DR237" s="573">
        <f t="shared" si="907"/>
        <v>0.36078074045655095</v>
      </c>
      <c r="DS237" s="350">
        <f>DS134/(DS134+DS218)</f>
        <v>0.35217518532969178</v>
      </c>
      <c r="DT237" s="350">
        <f t="shared" ref="DT237:FV237" si="908">DT134/(DT134+DT218)</f>
        <v>0.36507317918073962</v>
      </c>
      <c r="DU237" s="350">
        <f t="shared" si="908"/>
        <v>0.36507317918073962</v>
      </c>
      <c r="DV237" s="350">
        <f t="shared" si="908"/>
        <v>0.35902363234933354</v>
      </c>
      <c r="DW237" s="349">
        <f t="shared" si="908"/>
        <v>0.3699069367326191</v>
      </c>
      <c r="DX237" s="349">
        <f t="shared" si="908"/>
        <v>0.3699069367326191</v>
      </c>
      <c r="DY237" s="573">
        <f t="shared" si="908"/>
        <v>0.3699069367326191</v>
      </c>
      <c r="DZ237" s="350">
        <f>DZ134/(DZ134+DZ218)</f>
        <v>0.32843807366324257</v>
      </c>
      <c r="EA237" s="350">
        <f t="shared" ref="EA237:EF237" si="909">EA134/(EA134+EA218)</f>
        <v>0.30978575564562827</v>
      </c>
      <c r="EB237" s="350">
        <f t="shared" si="909"/>
        <v>0.30978575564562827</v>
      </c>
      <c r="EC237" s="350">
        <f t="shared" si="909"/>
        <v>0.27023488640739313</v>
      </c>
      <c r="ED237" s="349">
        <f t="shared" si="909"/>
        <v>0.28954710491114083</v>
      </c>
      <c r="EE237" s="349">
        <f t="shared" si="909"/>
        <v>0.28954710491114083</v>
      </c>
      <c r="EF237" s="573">
        <f t="shared" si="909"/>
        <v>0.28954710491114083</v>
      </c>
      <c r="EG237" s="350">
        <f>EG134/(EG134+EG218)</f>
        <v>0.28115490239738739</v>
      </c>
      <c r="EH237" s="350">
        <f t="shared" ref="EH237:EM237" si="910">EH134/(EH134+EH218)</f>
        <v>0.27959183673469384</v>
      </c>
      <c r="EI237" s="350">
        <f t="shared" si="910"/>
        <v>0.27959183673469384</v>
      </c>
      <c r="EJ237" s="350">
        <f t="shared" si="910"/>
        <v>0.21186536080153104</v>
      </c>
      <c r="EK237" s="350">
        <f t="shared" si="910"/>
        <v>0.20483390354265529</v>
      </c>
      <c r="EL237" s="349">
        <f t="shared" si="910"/>
        <v>0.20483390354265529</v>
      </c>
      <c r="EM237" s="573">
        <f t="shared" si="910"/>
        <v>0.20483390354265529</v>
      </c>
      <c r="EN237" s="350">
        <f>EN134/(EN134+EN218)</f>
        <v>0.4859896118097321</v>
      </c>
      <c r="EO237" s="350">
        <f t="shared" ref="EO237:EP237" si="911">EO134/(EO134+EO218)</f>
        <v>0.41306608240340154</v>
      </c>
      <c r="EP237" s="350">
        <f t="shared" si="911"/>
        <v>0.41306608240340154</v>
      </c>
      <c r="EQ237" s="351">
        <f>EQ134/(EQ134+EQ218)</f>
        <v>0.40001313148367007</v>
      </c>
      <c r="ER237" s="349">
        <f t="shared" si="908"/>
        <v>0.38835222627196392</v>
      </c>
      <c r="ES237" s="349">
        <f t="shared" si="908"/>
        <v>0.38835222627196392</v>
      </c>
      <c r="ET237" s="581">
        <f t="shared" si="908"/>
        <v>0.38835222627196392</v>
      </c>
      <c r="EU237" s="349">
        <f t="shared" si="908"/>
        <v>0.36760039344063733</v>
      </c>
      <c r="EV237" s="349">
        <f t="shared" si="908"/>
        <v>0.35650103477491851</v>
      </c>
      <c r="EW237" s="349">
        <f t="shared" si="908"/>
        <v>0.35650103477491851</v>
      </c>
      <c r="EX237" s="349">
        <f t="shared" si="908"/>
        <v>0.34015656048860238</v>
      </c>
      <c r="EY237" s="349">
        <f t="shared" si="908"/>
        <v>0.32923035021924574</v>
      </c>
      <c r="EZ237" s="349">
        <f t="shared" si="908"/>
        <v>0.32923035021924574</v>
      </c>
      <c r="FA237" s="581">
        <f t="shared" si="908"/>
        <v>0.32923035021924574</v>
      </c>
      <c r="FB237" s="349">
        <f t="shared" si="908"/>
        <v>0.30421347620769895</v>
      </c>
      <c r="FC237" s="349">
        <f t="shared" si="908"/>
        <v>0.29014563500096352</v>
      </c>
      <c r="FD237" s="349">
        <f t="shared" si="908"/>
        <v>0.29014563500096352</v>
      </c>
      <c r="FE237" s="349">
        <f t="shared" si="908"/>
        <v>0.2689428152539779</v>
      </c>
      <c r="FF237" s="349">
        <f t="shared" si="908"/>
        <v>0.2554039661394697</v>
      </c>
      <c r="FG237" s="349">
        <f t="shared" si="908"/>
        <v>0.2554039661394697</v>
      </c>
      <c r="FH237" s="581">
        <f t="shared" si="908"/>
        <v>0.2554039661394697</v>
      </c>
      <c r="FI237" s="349">
        <f t="shared" si="908"/>
        <v>0.22490278755146334</v>
      </c>
      <c r="FJ237" s="349">
        <f t="shared" si="908"/>
        <v>0.20840792251285944</v>
      </c>
      <c r="FK237" s="349">
        <f t="shared" si="908"/>
        <v>0.20840792251285944</v>
      </c>
      <c r="FL237" s="349">
        <f t="shared" si="908"/>
        <v>0.18386317208585051</v>
      </c>
      <c r="FM237" s="349">
        <f t="shared" si="908"/>
        <v>0.16865707778934128</v>
      </c>
      <c r="FN237" s="349">
        <f t="shared" si="908"/>
        <v>0.16865707778934128</v>
      </c>
      <c r="FO237" s="581">
        <f t="shared" si="908"/>
        <v>0.16865707778934128</v>
      </c>
      <c r="FP237" s="349">
        <f t="shared" si="908"/>
        <v>0.13370703758047353</v>
      </c>
      <c r="FQ237" s="349">
        <f t="shared" si="908"/>
        <v>0.11473147183449092</v>
      </c>
      <c r="FR237" s="349">
        <f t="shared" si="908"/>
        <v>0.11473147183449092</v>
      </c>
      <c r="FS237" s="349">
        <f t="shared" si="908"/>
        <v>8.6418132894639427E-2</v>
      </c>
      <c r="FT237" s="349">
        <f t="shared" si="908"/>
        <v>6.9402152562678177E-2</v>
      </c>
      <c r="FU237" s="349">
        <f t="shared" si="908"/>
        <v>6.9402152562678177E-2</v>
      </c>
      <c r="FV237" s="581">
        <f t="shared" si="908"/>
        <v>6.9402152562678177E-2</v>
      </c>
    </row>
    <row r="238" spans="2:178" outlineLevel="1" x14ac:dyDescent="0.3">
      <c r="B238" s="279" t="s">
        <v>571</v>
      </c>
      <c r="C238" s="280" t="s">
        <v>413</v>
      </c>
      <c r="D238" s="349">
        <f t="shared" ref="D238:BO238" si="912">D134/D218</f>
        <v>-2.1557613481099119E-2</v>
      </c>
      <c r="E238" s="349">
        <f t="shared" si="912"/>
        <v>-3.2973200505121369E-2</v>
      </c>
      <c r="F238" s="349">
        <f t="shared" si="912"/>
        <v>-3.2973200505121369E-2</v>
      </c>
      <c r="G238" s="349">
        <f t="shared" si="912"/>
        <v>-3.6891891891891911E-2</v>
      </c>
      <c r="H238" s="349">
        <f t="shared" si="912"/>
        <v>-0.13066385669125433</v>
      </c>
      <c r="I238" s="349">
        <f t="shared" si="912"/>
        <v>-0.13066385669125433</v>
      </c>
      <c r="J238" s="349">
        <f t="shared" si="912"/>
        <v>-0.13066385669125433</v>
      </c>
      <c r="K238" s="349">
        <f t="shared" si="912"/>
        <v>-0.34042553191489372</v>
      </c>
      <c r="L238" s="349">
        <f t="shared" si="912"/>
        <v>0.62331201137171288</v>
      </c>
      <c r="M238" s="349">
        <f t="shared" si="912"/>
        <v>0.62331201137171288</v>
      </c>
      <c r="N238" s="349">
        <f t="shared" si="912"/>
        <v>0.16354466858789632</v>
      </c>
      <c r="O238" s="349">
        <f t="shared" si="912"/>
        <v>0.59489756474681099</v>
      </c>
      <c r="P238" s="349">
        <f t="shared" si="912"/>
        <v>0.59489756474681099</v>
      </c>
      <c r="Q238" s="349">
        <f t="shared" si="912"/>
        <v>0.59489756474681099</v>
      </c>
      <c r="R238" s="349">
        <f t="shared" si="912"/>
        <v>0.30060934326337174</v>
      </c>
      <c r="S238" s="349">
        <f t="shared" si="912"/>
        <v>0.79982206405693967</v>
      </c>
      <c r="T238" s="349">
        <f t="shared" si="912"/>
        <v>0.79982206405693967</v>
      </c>
      <c r="U238" s="349">
        <f t="shared" si="912"/>
        <v>-4.4220532319391683</v>
      </c>
      <c r="V238" s="349">
        <f t="shared" si="912"/>
        <v>-1.1307996051332676</v>
      </c>
      <c r="W238" s="349">
        <f t="shared" si="912"/>
        <v>-1.1307996051332676</v>
      </c>
      <c r="X238" s="349">
        <f t="shared" si="912"/>
        <v>-1.1307996051332676</v>
      </c>
      <c r="Y238" s="349">
        <f t="shared" si="912"/>
        <v>-0.64478114478114479</v>
      </c>
      <c r="Z238" s="349">
        <f t="shared" si="912"/>
        <v>-1.4974226804123709</v>
      </c>
      <c r="AA238" s="349">
        <f t="shared" si="912"/>
        <v>-1.4974226804123709</v>
      </c>
      <c r="AB238" s="349">
        <f t="shared" si="912"/>
        <v>-6.3946666666666641</v>
      </c>
      <c r="AC238" s="349">
        <f t="shared" si="912"/>
        <v>-2.5906163753449856</v>
      </c>
      <c r="AD238" s="349">
        <f t="shared" si="912"/>
        <v>-2.5906163753449856</v>
      </c>
      <c r="AE238" s="349">
        <f t="shared" si="912"/>
        <v>-2.5906163753449856</v>
      </c>
      <c r="AF238" s="349">
        <f t="shared" si="912"/>
        <v>-1.5099206349206349</v>
      </c>
      <c r="AG238" s="349">
        <f t="shared" si="912"/>
        <v>-1.0862745098039213</v>
      </c>
      <c r="AH238" s="349">
        <f t="shared" si="912"/>
        <v>-1.0862745098039213</v>
      </c>
      <c r="AI238" s="349">
        <f t="shared" si="912"/>
        <v>-1.0739893211289093</v>
      </c>
      <c r="AJ238" s="349">
        <f t="shared" si="912"/>
        <v>-1.1433418150975407</v>
      </c>
      <c r="AK238" s="349">
        <f t="shared" si="912"/>
        <v>-1.1433418150975407</v>
      </c>
      <c r="AL238" s="349">
        <f t="shared" si="912"/>
        <v>-1.1433418150975407</v>
      </c>
      <c r="AM238" s="349">
        <f t="shared" si="912"/>
        <v>-6.4382022471910094</v>
      </c>
      <c r="AN238" s="349">
        <f t="shared" si="912"/>
        <v>-0.32268518518518519</v>
      </c>
      <c r="AO238" s="349">
        <f t="shared" si="912"/>
        <v>-0.32268518518518519</v>
      </c>
      <c r="AP238" s="349">
        <f t="shared" si="912"/>
        <v>-0.1284159075760942</v>
      </c>
      <c r="AQ238" s="349">
        <f t="shared" si="912"/>
        <v>-8.8888888888888878E-2</v>
      </c>
      <c r="AR238" s="349">
        <f t="shared" si="912"/>
        <v>-8.8888888888888878E-2</v>
      </c>
      <c r="AS238" s="349">
        <f t="shared" si="912"/>
        <v>-8.8888888888888878E-2</v>
      </c>
      <c r="AT238" s="349">
        <f t="shared" si="912"/>
        <v>-5.9684934546261378E-2</v>
      </c>
      <c r="AU238" s="349">
        <f t="shared" si="912"/>
        <v>-0.10945422010140175</v>
      </c>
      <c r="AV238" s="349">
        <f t="shared" si="912"/>
        <v>-0.10945422010140175</v>
      </c>
      <c r="AW238" s="349">
        <f t="shared" si="912"/>
        <v>7.1606994171523733E-2</v>
      </c>
      <c r="AX238" s="349">
        <f t="shared" si="912"/>
        <v>-1.8552215189873411</v>
      </c>
      <c r="AY238" s="349">
        <f t="shared" si="912"/>
        <v>-1.8552215189873411</v>
      </c>
      <c r="AZ238" s="504">
        <f t="shared" si="912"/>
        <v>-1.8552215189873411</v>
      </c>
      <c r="BA238" s="504">
        <f t="shared" si="912"/>
        <v>-11.022222222222217</v>
      </c>
      <c r="BB238" s="504">
        <f t="shared" si="912"/>
        <v>-1.2508090614886733</v>
      </c>
      <c r="BC238" s="504">
        <f t="shared" si="912"/>
        <v>-1.2508090614886733</v>
      </c>
      <c r="BD238" s="504">
        <f t="shared" si="912"/>
        <v>-2.0138888888888897</v>
      </c>
      <c r="BE238" s="504">
        <f t="shared" si="912"/>
        <v>-8.4450549450549666</v>
      </c>
      <c r="BF238" s="504">
        <f t="shared" si="912"/>
        <v>-8.4450549450549666</v>
      </c>
      <c r="BG238" s="504">
        <f t="shared" si="912"/>
        <v>-8.4450549450549666</v>
      </c>
      <c r="BH238" s="504">
        <f t="shared" si="912"/>
        <v>15.238461538461513</v>
      </c>
      <c r="BI238" s="504">
        <f t="shared" si="912"/>
        <v>-2.819599109131401</v>
      </c>
      <c r="BJ238" s="504">
        <f t="shared" si="912"/>
        <v>-2.819599109131401</v>
      </c>
      <c r="BK238" s="504">
        <f t="shared" si="912"/>
        <v>-1.5373699148533588</v>
      </c>
      <c r="BL238" s="504">
        <f t="shared" si="912"/>
        <v>0</v>
      </c>
      <c r="BM238" s="504">
        <f t="shared" si="912"/>
        <v>0.60552763819095468</v>
      </c>
      <c r="BN238" s="504">
        <f t="shared" si="912"/>
        <v>0.60552763819095468</v>
      </c>
      <c r="BO238" s="504">
        <f t="shared" si="912"/>
        <v>-4.1157395859316541E-2</v>
      </c>
      <c r="BP238" s="504">
        <f t="shared" ref="BP238:DK238" si="913">BP134/BP218</f>
        <v>-1.1128526645768024</v>
      </c>
      <c r="BQ238" s="504">
        <f t="shared" si="913"/>
        <v>-1.1128526645768024</v>
      </c>
      <c r="BR238" s="504">
        <f t="shared" si="913"/>
        <v>-1.4603386809269163</v>
      </c>
      <c r="BS238" s="504">
        <f t="shared" si="913"/>
        <v>-1.6984205330700886</v>
      </c>
      <c r="BT238" s="504">
        <f t="shared" si="913"/>
        <v>-1.6984205330700886</v>
      </c>
      <c r="BU238" s="504">
        <f t="shared" si="913"/>
        <v>-1.6984205330700886</v>
      </c>
      <c r="BV238" s="504">
        <f t="shared" si="913"/>
        <v>-0.89194499017681728</v>
      </c>
      <c r="BW238" s="504">
        <f t="shared" si="913"/>
        <v>-1.9204545454545459</v>
      </c>
      <c r="BX238" s="504">
        <f t="shared" si="913"/>
        <v>-1.9204545454545459</v>
      </c>
      <c r="BY238" s="504">
        <f t="shared" si="913"/>
        <v>-1.598952487841377</v>
      </c>
      <c r="BZ238" s="504">
        <f t="shared" si="913"/>
        <v>-2.0266429840142099</v>
      </c>
      <c r="CA238" s="504">
        <f t="shared" si="913"/>
        <v>-2.0266429840142099</v>
      </c>
      <c r="CB238" s="504">
        <f t="shared" si="913"/>
        <v>-2.0266429840142099</v>
      </c>
      <c r="CC238" s="504">
        <f t="shared" si="913"/>
        <v>-1.3759259259259258</v>
      </c>
      <c r="CD238" s="504">
        <f t="shared" si="913"/>
        <v>-1.8241288625904006</v>
      </c>
      <c r="CE238" s="504">
        <f t="shared" si="913"/>
        <v>-1.8241288625904006</v>
      </c>
      <c r="CF238" s="504">
        <f t="shared" si="913"/>
        <v>-1.6154987022617722</v>
      </c>
      <c r="CG238" s="504">
        <f t="shared" si="913"/>
        <v>-2.5353440150801134</v>
      </c>
      <c r="CH238" s="504">
        <f t="shared" si="913"/>
        <v>-2.5353440150801134</v>
      </c>
      <c r="CI238" s="504">
        <f t="shared" si="913"/>
        <v>-2.5353440150801134</v>
      </c>
      <c r="CJ238" s="504">
        <f t="shared" si="913"/>
        <v>-1.5704845814977975</v>
      </c>
      <c r="CK238" s="504">
        <f t="shared" si="913"/>
        <v>-3.0004985044865413</v>
      </c>
      <c r="CL238" s="504">
        <f t="shared" si="913"/>
        <v>-3.0004985044865413</v>
      </c>
      <c r="CM238" s="504">
        <f t="shared" si="913"/>
        <v>-3.4322981366459611</v>
      </c>
      <c r="CN238" s="504">
        <f t="shared" si="913"/>
        <v>-2.7214446952595943</v>
      </c>
      <c r="CO238" s="504">
        <f t="shared" si="913"/>
        <v>-2.7214446952595943</v>
      </c>
      <c r="CP238" s="504">
        <f t="shared" si="913"/>
        <v>-2.7214446952595943</v>
      </c>
      <c r="CQ238" s="504">
        <f t="shared" si="913"/>
        <v>1.2088148651710853</v>
      </c>
      <c r="CR238" s="504">
        <f t="shared" si="913"/>
        <v>1.3293286963852879</v>
      </c>
      <c r="CS238" s="504">
        <f t="shared" si="913"/>
        <v>1.3293286963852879</v>
      </c>
      <c r="CT238" s="504">
        <f t="shared" si="913"/>
        <v>1.2259461689182223</v>
      </c>
      <c r="CU238" s="504">
        <f t="shared" si="913"/>
        <v>1.3357963875205252</v>
      </c>
      <c r="CV238" s="504">
        <f t="shared" si="913"/>
        <v>1.3357963875205252</v>
      </c>
      <c r="CW238" s="504">
        <f t="shared" si="913"/>
        <v>1.3357963875205252</v>
      </c>
      <c r="CX238" s="504">
        <f t="shared" si="913"/>
        <v>1.276342158000211</v>
      </c>
      <c r="CY238" s="504">
        <f t="shared" si="913"/>
        <v>1.2838448956028099</v>
      </c>
      <c r="CZ238" s="504">
        <f t="shared" si="913"/>
        <v>1.2838448956028099</v>
      </c>
      <c r="DA238" s="504">
        <f t="shared" si="913"/>
        <v>1.1914331540711387</v>
      </c>
      <c r="DB238" s="504">
        <f t="shared" si="913"/>
        <v>1.1689365401332943</v>
      </c>
      <c r="DC238" s="504">
        <f t="shared" si="913"/>
        <v>1.1689365401332943</v>
      </c>
      <c r="DD238" s="677">
        <f t="shared" si="913"/>
        <v>1.1689365401332943</v>
      </c>
      <c r="DE238" s="505">
        <f t="shared" si="913"/>
        <v>0.96499720722398097</v>
      </c>
      <c r="DF238" s="505">
        <f t="shared" si="913"/>
        <v>0.73218673218673203</v>
      </c>
      <c r="DG238" s="504">
        <f t="shared" si="913"/>
        <v>0.73218673218673203</v>
      </c>
      <c r="DH238" s="504">
        <f t="shared" si="913"/>
        <v>0.52911253717326667</v>
      </c>
      <c r="DI238" s="504">
        <f t="shared" si="913"/>
        <v>0.61283936651583704</v>
      </c>
      <c r="DJ238" s="504">
        <f t="shared" si="913"/>
        <v>0.61283936651583704</v>
      </c>
      <c r="DK238" s="677">
        <f t="shared" si="913"/>
        <v>0.61283936651583704</v>
      </c>
      <c r="DL238" s="506">
        <f>DL134/DL218</f>
        <v>0.67894160276396731</v>
      </c>
      <c r="DM238" s="505">
        <f t="shared" ref="DM238:DR238" si="914">DM134/DM218</f>
        <v>0.54694711356586223</v>
      </c>
      <c r="DN238" s="504">
        <f t="shared" si="914"/>
        <v>0.54694711356586223</v>
      </c>
      <c r="DO238" s="505">
        <f t="shared" si="914"/>
        <v>0.59462625947043657</v>
      </c>
      <c r="DP238" s="504">
        <f t="shared" si="914"/>
        <v>0.56440843274064068</v>
      </c>
      <c r="DQ238" s="504">
        <f t="shared" si="914"/>
        <v>0.56440843274064068</v>
      </c>
      <c r="DR238" s="677">
        <f t="shared" si="914"/>
        <v>0.56440843274064068</v>
      </c>
      <c r="DS238" s="505">
        <f>DS134/DS218</f>
        <v>0.54362719265226223</v>
      </c>
      <c r="DT238" s="505">
        <f t="shared" ref="DT238:FV238" si="915">DT134/DT218</f>
        <v>0.57498465525472275</v>
      </c>
      <c r="DU238" s="505">
        <f t="shared" si="915"/>
        <v>0.57498465525472275</v>
      </c>
      <c r="DV238" s="505">
        <f t="shared" si="915"/>
        <v>0.56011992090323404</v>
      </c>
      <c r="DW238" s="504">
        <f t="shared" si="915"/>
        <v>0.58706714658061321</v>
      </c>
      <c r="DX238" s="504">
        <f t="shared" si="915"/>
        <v>0.58706714658061321</v>
      </c>
      <c r="DY238" s="677">
        <f t="shared" si="915"/>
        <v>0.58706714658061321</v>
      </c>
      <c r="DZ238" s="505">
        <f>DZ134/DZ218</f>
        <v>0.48906595323950214</v>
      </c>
      <c r="EA238" s="505">
        <f t="shared" ref="EA238:EF238" si="916">EA134/EA218</f>
        <v>0.4488255033557047</v>
      </c>
      <c r="EB238" s="505">
        <f t="shared" si="916"/>
        <v>0.4488255033557047</v>
      </c>
      <c r="EC238" s="505">
        <f t="shared" si="916"/>
        <v>0.37030392570704934</v>
      </c>
      <c r="ED238" s="504">
        <f t="shared" si="916"/>
        <v>0.40755285383829137</v>
      </c>
      <c r="EE238" s="504">
        <f t="shared" si="916"/>
        <v>0.40755285383829137</v>
      </c>
      <c r="EF238" s="677">
        <f t="shared" si="916"/>
        <v>0.40755285383829137</v>
      </c>
      <c r="EG238" s="505">
        <f>EG134/EG218</f>
        <v>0.3911202891068663</v>
      </c>
      <c r="EH238" s="505">
        <f t="shared" ref="EH238:EM238" si="917">EH134/EH218</f>
        <v>0.38810198300283277</v>
      </c>
      <c r="EI238" s="505">
        <f t="shared" si="917"/>
        <v>0.38810198300283277</v>
      </c>
      <c r="EJ238" s="505">
        <f t="shared" si="917"/>
        <v>0.26881874017997431</v>
      </c>
      <c r="EK238" s="505">
        <f t="shared" si="917"/>
        <v>0.25759888965995836</v>
      </c>
      <c r="EL238" s="504">
        <f t="shared" si="917"/>
        <v>0.25759888965995836</v>
      </c>
      <c r="EM238" s="677">
        <f t="shared" si="917"/>
        <v>0.25759888965995836</v>
      </c>
      <c r="EN238" s="505">
        <f>EN134/EN218</f>
        <v>0.94548597261002543</v>
      </c>
      <c r="EO238" s="505">
        <f t="shared" ref="EO238:EP238" si="918">EO134/EO218</f>
        <v>0.70376931715727364</v>
      </c>
      <c r="EP238" s="505">
        <f t="shared" si="918"/>
        <v>0.70376931715727364</v>
      </c>
      <c r="EQ238" s="506">
        <f>EQ134/EQ218</f>
        <v>0.66670314380852636</v>
      </c>
      <c r="ER238" s="504">
        <f t="shared" si="915"/>
        <v>0.63492788325694349</v>
      </c>
      <c r="ES238" s="504">
        <f t="shared" si="915"/>
        <v>0.63492788325694349</v>
      </c>
      <c r="ET238" s="617">
        <f t="shared" si="915"/>
        <v>0.63492788325694349</v>
      </c>
      <c r="EU238" s="504">
        <f t="shared" si="915"/>
        <v>0.58127865613422247</v>
      </c>
      <c r="EV238" s="504">
        <f t="shared" si="915"/>
        <v>0.55400405290507726</v>
      </c>
      <c r="EW238" s="504">
        <f t="shared" si="915"/>
        <v>0.55400405290507726</v>
      </c>
      <c r="EX238" s="504">
        <f t="shared" si="915"/>
        <v>0.51551101385577514</v>
      </c>
      <c r="EY238" s="504">
        <f t="shared" si="915"/>
        <v>0.49082475679520832</v>
      </c>
      <c r="EZ238" s="504">
        <f t="shared" si="915"/>
        <v>0.49082475679520832</v>
      </c>
      <c r="FA238" s="617">
        <f t="shared" si="915"/>
        <v>0.49082475679520832</v>
      </c>
      <c r="FB238" s="504">
        <f t="shared" si="915"/>
        <v>0.43722243217592061</v>
      </c>
      <c r="FC238" s="504">
        <f t="shared" si="915"/>
        <v>0.40873966451042015</v>
      </c>
      <c r="FD238" s="504">
        <f t="shared" si="915"/>
        <v>0.40873966451042015</v>
      </c>
      <c r="FE238" s="504">
        <f t="shared" si="915"/>
        <v>0.36788204926460272</v>
      </c>
      <c r="FF238" s="504">
        <f t="shared" si="915"/>
        <v>0.34301010819956801</v>
      </c>
      <c r="FG238" s="504">
        <f t="shared" si="915"/>
        <v>0.34301010819956801</v>
      </c>
      <c r="FH238" s="617">
        <f t="shared" si="915"/>
        <v>0.34301010819956801</v>
      </c>
      <c r="FI238" s="504">
        <f t="shared" si="915"/>
        <v>0.29016074879303733</v>
      </c>
      <c r="FJ238" s="504">
        <f t="shared" si="915"/>
        <v>0.2632769180490504</v>
      </c>
      <c r="FK238" s="504">
        <f t="shared" si="915"/>
        <v>0.2632769180490504</v>
      </c>
      <c r="FL238" s="504">
        <f t="shared" si="915"/>
        <v>0.22528473878058017</v>
      </c>
      <c r="FM238" s="504">
        <f t="shared" si="915"/>
        <v>0.20287305428770375</v>
      </c>
      <c r="FN238" s="504">
        <f t="shared" si="915"/>
        <v>0.20287305428770375</v>
      </c>
      <c r="FO238" s="617">
        <f t="shared" si="915"/>
        <v>0.20287305428770375</v>
      </c>
      <c r="FP238" s="504">
        <f t="shared" si="915"/>
        <v>0.15434390371478299</v>
      </c>
      <c r="FQ238" s="504">
        <f t="shared" si="915"/>
        <v>0.12960075749246655</v>
      </c>
      <c r="FR238" s="504">
        <f t="shared" si="915"/>
        <v>0.12960075749246655</v>
      </c>
      <c r="FS238" s="504">
        <f t="shared" si="915"/>
        <v>9.4592653385789122E-2</v>
      </c>
      <c r="FT238" s="504">
        <f t="shared" si="915"/>
        <v>7.457802825763854E-2</v>
      </c>
      <c r="FU238" s="504">
        <f t="shared" si="915"/>
        <v>7.457802825763854E-2</v>
      </c>
      <c r="FV238" s="617">
        <f t="shared" si="915"/>
        <v>7.457802825763854E-2</v>
      </c>
    </row>
    <row r="239" spans="2:178" outlineLevel="1" x14ac:dyDescent="0.3">
      <c r="B239" s="396" t="s">
        <v>572</v>
      </c>
      <c r="C239" s="280"/>
    </row>
    <row r="240" spans="2:178" outlineLevel="1" x14ac:dyDescent="0.3">
      <c r="B240" s="279" t="s">
        <v>573</v>
      </c>
      <c r="C240" s="280" t="s">
        <v>413</v>
      </c>
      <c r="K240" s="349">
        <f>K$48/(AVERAGE(K189,J189))*4</f>
        <v>0.2748069774092079</v>
      </c>
      <c r="L240" s="349">
        <f>L$48/(AVERAGE(L189,K189))*4</f>
        <v>0.25672184828088052</v>
      </c>
      <c r="M240" s="349">
        <f>M$48/(AVERAGE(M189,J189))*2</f>
        <v>0.25942217686596053</v>
      </c>
      <c r="N240" s="349">
        <f>N$48/(AVERAGE(N189,M189))*4</f>
        <v>0.18271868875823979</v>
      </c>
      <c r="O240" s="349">
        <f>O$48/(AVERAGE(O189,N189))*4</f>
        <v>0.15939858123957834</v>
      </c>
      <c r="P240" s="349">
        <f>P$48/(AVERAGE(P189,M189))*2</f>
        <v>0.15276359096583816</v>
      </c>
      <c r="Q240" s="349">
        <f>Q$48/(AVERAGE(Q189,J189))</f>
        <v>0.17848048132083388</v>
      </c>
      <c r="R240" s="349">
        <f>R$48/(AVERAGE(R189,Q189))*4</f>
        <v>0.19770358268713042</v>
      </c>
      <c r="S240" s="349">
        <f>S$48/(AVERAGE(S189,R189))*4</f>
        <v>0.1387775437642956</v>
      </c>
      <c r="T240" s="349">
        <f>T$48/(AVERAGE(T189,Q189))*2</f>
        <v>0.1701340730466944</v>
      </c>
      <c r="U240" s="349">
        <f>U$48/(AVERAGE(U189,T189))*4</f>
        <v>0.10822729569571407</v>
      </c>
      <c r="V240" s="349">
        <f>V$48/(AVERAGE(V189,U189))*4</f>
        <v>8.1738087550163763E-2</v>
      </c>
      <c r="W240" s="349">
        <f>W$48/(AVERAGE(W189,T189))*2</f>
        <v>9.4293937594225427E-2</v>
      </c>
      <c r="X240" s="349">
        <f>X$48/(AVERAGE(X189,Q189))</f>
        <v>0.13333333333333333</v>
      </c>
      <c r="Y240" s="349">
        <f>Y$48/(AVERAGE(Y189,X189))*4</f>
        <v>0.11548972934849683</v>
      </c>
      <c r="Z240" s="349">
        <f>Z$48/(AVERAGE(Z189,Y189))*4</f>
        <v>0.10306748466257669</v>
      </c>
      <c r="AA240" s="349">
        <f>AA$48/(AVERAGE(AA189,X189))*2</f>
        <v>0.11573065631215075</v>
      </c>
      <c r="AB240" s="349">
        <f>AB$48/(AVERAGE(AB189,AA189))*4</f>
        <v>6.5311184023561619E-2</v>
      </c>
      <c r="AC240" s="349">
        <f>AC$48/(AVERAGE(AC189,AB189))*4</f>
        <v>3.6787049237636808E-2</v>
      </c>
      <c r="AD240" s="349">
        <f>AD$48/(AVERAGE(AD189,AA189))*2</f>
        <v>4.9499415561315228E-2</v>
      </c>
      <c r="AE240" s="349">
        <f>AE$48/(AVERAGE(AE189,X189))</f>
        <v>8.3947342568032227E-2</v>
      </c>
      <c r="AF240" s="349">
        <f>AF$48/(AVERAGE(AF189,AE189))*4</f>
        <v>0.12976381155772507</v>
      </c>
      <c r="AG240" s="349">
        <f>AG$48/(AVERAGE(AG189,AF189))*4</f>
        <v>0.12070249621603441</v>
      </c>
      <c r="AH240" s="349">
        <f>AH$48/(AVERAGE(AH189,AE189))*2</f>
        <v>0.12620875286611505</v>
      </c>
      <c r="AI240" s="349">
        <f>AI$48/(AVERAGE(AI189,AH189))*4</f>
        <v>8.2416031611628582E-2</v>
      </c>
      <c r="AJ240" s="349">
        <f>AJ$48/(AVERAGE(AJ189,AI189))*4</f>
        <v>7.1095435877207208E-2</v>
      </c>
      <c r="AK240" s="349">
        <f>AK$48/(AVERAGE(AK189,AH189))*2</f>
        <v>7.6380974531922316E-2</v>
      </c>
      <c r="AL240" s="349">
        <f>AL$48/(AVERAGE(AL189,AE189))</f>
        <v>0.10254268517381157</v>
      </c>
      <c r="AM240" s="349">
        <f>AM$48/(AVERAGE(AM189,AL189))*4</f>
        <v>0.12044168135844856</v>
      </c>
      <c r="AN240" s="349">
        <f>AN$48/(AVERAGE(AN189,AM189))*4</f>
        <v>8.1890682746547344E-2</v>
      </c>
      <c r="AO240" s="349">
        <f>AO$48/(AVERAGE(AO189,AL189))*2</f>
        <v>0.10289450908741224</v>
      </c>
      <c r="AP240" s="349">
        <f>AP$48/(AVERAGE(AP189,AO189))*4</f>
        <v>6.112432323027879E-2</v>
      </c>
      <c r="AQ240" s="349">
        <f>AQ$48/(AVERAGE(AQ189,AP189))*4</f>
        <v>9.5209032651815684E-2</v>
      </c>
      <c r="AR240" s="349">
        <f>AR$48/(AVERAGE(AR189,AO189))*2</f>
        <v>7.814482163698179E-2</v>
      </c>
      <c r="AS240" s="349">
        <f>AS$48/(AVERAGE(AS189,AL189))</f>
        <v>8.8901773203845985E-2</v>
      </c>
      <c r="AT240" s="349">
        <f>AT$48/(AVERAGE(AT189,AS189))*4</f>
        <v>0.11422251269418332</v>
      </c>
      <c r="AU240" s="349">
        <f>AU$48/(AVERAGE(AU189,AT189))*4</f>
        <v>0.11980715970868806</v>
      </c>
      <c r="AV240" s="349">
        <f>AV$48/(AVERAGE(AV189,AS189))*2</f>
        <v>0.11991880497579764</v>
      </c>
      <c r="AW240" s="349">
        <f>AW$48/(AVERAGE(AW189,AV189))*4</f>
        <v>8.0457629373420242E-2</v>
      </c>
      <c r="AX240" s="349">
        <f>AX$48/(AVERAGE(AX189,AW189))*4</f>
        <v>8.0066881643377524E-2</v>
      </c>
      <c r="AY240" s="349">
        <f>AY$48/(AVERAGE(AY189,AV189))*2</f>
        <v>7.6049618320610676E-2</v>
      </c>
      <c r="AZ240" s="349">
        <f>AZ$48/(AVERAGE(AZ189,AS189))</f>
        <v>9.1275230646747543E-2</v>
      </c>
      <c r="BA240" s="349">
        <f>BA$48/(AVERAGE(BA189,AZ189))*4</f>
        <v>0.1010330940290667</v>
      </c>
      <c r="BB240" s="349">
        <f>BB$48/(AVERAGE(BB189,BA189))*4</f>
        <v>9.5211735399944639E-2</v>
      </c>
      <c r="BC240" s="349">
        <f>BC$48/(AVERAGE(BC189,AZ189))*2</f>
        <v>9.9662624236345379E-2</v>
      </c>
      <c r="BD240" s="349">
        <f>BD$48/(AVERAGE(BD189,BC189))*4</f>
        <v>6.6996500543019186E-2</v>
      </c>
      <c r="BE240" s="349">
        <f>BE$48/(AVERAGE(BE189,BD189))*4</f>
        <v>7.0910092710154998E-2</v>
      </c>
      <c r="BF240" s="349">
        <f>BF$48/(AVERAGE(BF189,BC189))*2</f>
        <v>6.8540292515055903E-2</v>
      </c>
      <c r="BG240" s="349">
        <f>BG$48/(AVERAGE(BG189,AZ189))</f>
        <v>8.1944947482796085E-2</v>
      </c>
      <c r="BH240" s="349">
        <f>BH$48/(AVERAGE(BH189,BG189))*4</f>
        <v>0.13141244037768909</v>
      </c>
      <c r="BI240" s="349">
        <f>BI$48/(AVERAGE(BI189,BH189))*4</f>
        <v>0.14922386144964722</v>
      </c>
      <c r="BJ240" s="349">
        <f>BJ$48/(AVERAGE(BJ189,BG189))*2</f>
        <v>0.14007743224678407</v>
      </c>
      <c r="BK240" s="349">
        <f>BK$48/(AVERAGE(BK189,BJ189))*4</f>
        <v>0.11577181208053693</v>
      </c>
      <c r="BL240" s="349">
        <f>BL$48/(AVERAGE(BL189,BK189))*4</f>
        <v>0.11408695652173913</v>
      </c>
      <c r="BM240" s="349">
        <f>BM$48/(AVERAGE(BM189,BJ189))*2</f>
        <v>0.11253248051169297</v>
      </c>
      <c r="BN240" s="349">
        <f>BN$48/(AVERAGE(BN189,BG189))</f>
        <v>0.11997816852946064</v>
      </c>
      <c r="BO240" s="349">
        <f>BO$48/(AVERAGE(BO189,BN189))*4</f>
        <v>0.13869679555858577</v>
      </c>
      <c r="BP240" s="349">
        <f>BP$48/(AVERAGE(BP189,BO189))*4</f>
        <v>0.16722342306936533</v>
      </c>
      <c r="BQ240" s="349">
        <f>BQ$48/(AVERAGE(BQ189,BN189))*2</f>
        <v>0.14966246947862308</v>
      </c>
      <c r="BR240" s="349">
        <f>BR$48/(AVERAGE(BR189,BQ189))*4</f>
        <v>0.13098064168767287</v>
      </c>
      <c r="BS240" s="349">
        <f>BS$48/(AVERAGE(BS189,BR189))*4</f>
        <v>0.15922358794984851</v>
      </c>
      <c r="BT240" s="349">
        <f>BT$48/(AVERAGE(BT189,BQ189))*2</f>
        <v>0.14355834183797445</v>
      </c>
      <c r="BU240" s="349">
        <f>BU$48/(AVERAGE(BU189,BN189))</f>
        <v>0.14647072994459168</v>
      </c>
      <c r="BV240" s="349">
        <f>BV$48/(AVERAGE(BV189,BU189))*4</f>
        <v>0.17369787244365734</v>
      </c>
      <c r="BW240" s="349">
        <f>BW$48/(AVERAGE(BW189,BV189))*4</f>
        <v>0.18818423907683207</v>
      </c>
      <c r="BX240" s="349">
        <f>BX$48/(AVERAGE(BX189,BU189))*2</f>
        <v>0.18386575512740835</v>
      </c>
      <c r="BY240" s="349">
        <f>BY$48/(AVERAGE(BY189,BX189))*4</f>
        <v>0.16641298833079654</v>
      </c>
      <c r="BZ240" s="349">
        <f>BZ$48/(AVERAGE(BZ189,BY189))*4</f>
        <v>0.16721606233143541</v>
      </c>
      <c r="CA240" s="349">
        <f>CA$48/(AVERAGE(CA189,BX189))*2</f>
        <v>0.16494127015727653</v>
      </c>
      <c r="CB240" s="349">
        <f>CB$48/(AVERAGE(CB189,BU189))</f>
        <v>0.17165658890058511</v>
      </c>
      <c r="CC240" s="349">
        <f>CC$48/(AVERAGE(CC189,CB189))*4</f>
        <v>0.19418538138227759</v>
      </c>
      <c r="CD240" s="349">
        <f>CD$48/(AVERAGE(CD189,CC189))*4</f>
        <v>0.21353459119496856</v>
      </c>
      <c r="CE240" s="349">
        <f>CE$48/(AVERAGE(CE189,CB189))*2</f>
        <v>0.20193809016332501</v>
      </c>
      <c r="CF240" s="349">
        <f>CF$48/(AVERAGE(CF189,CE189))*4</f>
        <v>0.15061089623728904</v>
      </c>
      <c r="CG240" s="349">
        <f>CG$48/(AVERAGE(CG189,CF189))*4</f>
        <v>0.1572546720036713</v>
      </c>
      <c r="CH240" s="349">
        <f>CH$48/(AVERAGE(CH189,CE189))*2</f>
        <v>0.1503294070672789</v>
      </c>
      <c r="CI240" s="349">
        <f>CI$48/(AVERAGE(CI189,CB189))</f>
        <v>0.17482914312501543</v>
      </c>
      <c r="CJ240" s="349">
        <f>CJ$48/(AVERAGE(CJ189,CI189))*4</f>
        <v>0.17672166338017622</v>
      </c>
      <c r="CK240" s="349">
        <f>CK$48/(AVERAGE(CK189,CJ189))*4</f>
        <v>0.20377914110429451</v>
      </c>
      <c r="CL240" s="349">
        <f>CL$48/(AVERAGE(CL189,CI189))*2</f>
        <v>0.18788012017293176</v>
      </c>
      <c r="CM240" s="349">
        <f>CM$48/(AVERAGE(CM189,CL189))*4</f>
        <v>0.18069930069930065</v>
      </c>
      <c r="CN240" s="349">
        <f>CN$48/(AVERAGE(CN189,CM189))*4</f>
        <v>0.1812439687691903</v>
      </c>
      <c r="CO240" s="349">
        <f>CO$48/(AVERAGE(CO189,CL189))*2</f>
        <v>0.18066961465571699</v>
      </c>
      <c r="CP240" s="349">
        <f>CP$48/(AVERAGE(CP189,CI189))</f>
        <v>0.17989320989068908</v>
      </c>
      <c r="CQ240" s="349">
        <f>CQ$48/(AVERAGE(CQ189,CP189))*4</f>
        <v>0.13518886679920478</v>
      </c>
      <c r="CR240" s="349">
        <f>CR$48/(AVERAGE(CR189,CQ189))*4</f>
        <v>0.10711288686263952</v>
      </c>
      <c r="CS240" s="349">
        <f>CS$48/(AVERAGE(CS189,CP189))*2</f>
        <v>0.13483924830269522</v>
      </c>
      <c r="CT240" s="349">
        <f>CT$48/(AVERAGE(CT189,CS189))*4</f>
        <v>9.1070149647555512E-2</v>
      </c>
      <c r="CU240" s="349">
        <f>CU$48/(AVERAGE(CU189,CT189))*4</f>
        <v>0.10007505629221915</v>
      </c>
      <c r="CV240" s="349">
        <f>CV$48/(AVERAGE(CV189,CS189))*2</f>
        <v>9.4945142529794885E-2</v>
      </c>
      <c r="CW240" s="349">
        <f>CW$48/(AVERAGE(CW189,CP189))</f>
        <v>0.12676232846669588</v>
      </c>
      <c r="CX240" s="349">
        <f>CX$48/(AVERAGE(CX189,CW189))*4</f>
        <v>0.12218538980969923</v>
      </c>
      <c r="CY240" s="349">
        <f>CY$48/(AVERAGE(CY189,CX189))*4</f>
        <v>0.13068776628119294</v>
      </c>
      <c r="CZ240" s="349">
        <f>CZ$48/(AVERAGE(CZ189,CW189))*2</f>
        <v>0.12715114563870583</v>
      </c>
      <c r="DA240" s="349">
        <f>DA$48/(AVERAGE(DA189,CZ189))*4</f>
        <v>0.1040524144625091</v>
      </c>
      <c r="DB240" s="349">
        <f>DB$48/(AVERAGE(DB189,DA189))*4</f>
        <v>0.11851561639139534</v>
      </c>
      <c r="DC240" s="349">
        <f>DC$48/(AVERAGE(DC189,CZ189))*2</f>
        <v>0.11226309510632278</v>
      </c>
      <c r="DD240" s="573">
        <f>DD$48/(AVERAGE(DD189,CW189))</f>
        <v>0.12078055800220817</v>
      </c>
      <c r="DE240" s="350">
        <f>DE$48/(AVERAGE(DE189,DD189))*4</f>
        <v>0.12393178294573644</v>
      </c>
      <c r="DF240" s="350">
        <f>DF$48/(AVERAGE(DF189,DE189))*4</f>
        <v>0.15846875075906627</v>
      </c>
      <c r="DG240" s="349">
        <f>DG$48/(AVERAGE(DG189,DD189))*2</f>
        <v>0.14001142454332208</v>
      </c>
      <c r="DH240" s="349">
        <f>DH$48/(AVERAGE(DH189,DG189))*4</f>
        <v>0.15527426160337554</v>
      </c>
      <c r="DI240" s="349">
        <f>DI$48/(AVERAGE(DI189,DH189))*4</f>
        <v>0.16215646553238328</v>
      </c>
      <c r="DJ240" s="349">
        <f>DJ$48/(AVERAGE(DJ189,DG189))*2</f>
        <v>0.16456337620346018</v>
      </c>
      <c r="DK240" s="573">
        <f>DK$48/(AVERAGE(DK189,DD189))</f>
        <v>0.15497764034839173</v>
      </c>
      <c r="DL240" s="351">
        <f>DL$48/(AVERAGE(DL189,DK189))*4</f>
        <v>0.1792408331471414</v>
      </c>
      <c r="DM240" s="350">
        <f>DM$48/(AVERAGE(DM189,DL189))*4</f>
        <v>0.20776728448058179</v>
      </c>
      <c r="DN240" s="349">
        <f>DN$48/(AVERAGE(DN189,DK189))*2</f>
        <v>0.19208674243366247</v>
      </c>
      <c r="DO240" s="350">
        <f>DO$48/(AVERAGE(DO189,DN189))*4</f>
        <v>0.20546893679137254</v>
      </c>
      <c r="DP240" s="349">
        <f>DP$48/(AVERAGE(DP189,DO189))*4</f>
        <v>0.21882550050384256</v>
      </c>
      <c r="DQ240" s="349">
        <f>DQ$48/(AVERAGE(DQ189,DN189))*2</f>
        <v>0.20955541457225121</v>
      </c>
      <c r="DR240" s="573">
        <f>DR$48/(AVERAGE(DR189,DK189))</f>
        <v>0.19577062480497345</v>
      </c>
      <c r="DS240" s="350">
        <f>DS$48/(AVERAGE(DS189,DR189))*4</f>
        <v>0.19650644727847055</v>
      </c>
      <c r="DT240" s="350">
        <f>DT$48/(AVERAGE(DT189,DS189))*4</f>
        <v>0.20825638887234171</v>
      </c>
      <c r="DU240" s="350">
        <f>DU$48/(AVERAGE(DU189,DR189))*2</f>
        <v>0.20338983050847456</v>
      </c>
      <c r="DV240" s="350">
        <f>DV$48/(AVERAGE(DV189,DU189))*4</f>
        <v>0.15640477062918878</v>
      </c>
      <c r="DW240" s="349">
        <f>DW$48/(AVERAGE(DW189,DV189))*4</f>
        <v>0.17071255420123593</v>
      </c>
      <c r="DX240" s="349">
        <f>DX$48/(AVERAGE(DX189,DU189))*2</f>
        <v>0.16353862551554749</v>
      </c>
      <c r="DY240" s="573">
        <f>DY$48/(AVERAGE(DY189,DR189))</f>
        <v>0.17880604886325852</v>
      </c>
      <c r="DZ240" s="350">
        <f>DZ$48/(AVERAGE(DZ189,DY189))*4</f>
        <v>0.20928775948460987</v>
      </c>
      <c r="EA240" s="350">
        <f>EA$48/(AVERAGE(EA189,DZ189))*4</f>
        <v>0.21543260437821879</v>
      </c>
      <c r="EB240" s="350">
        <f>EB$48/(AVERAGE(EB189,DY189))*2</f>
        <v>0.2122803677615149</v>
      </c>
      <c r="EC240" s="350">
        <f>EC$48/(AVERAGE(EC189,EB189))*4</f>
        <v>0.20211089767110574</v>
      </c>
      <c r="ED240" s="349">
        <f>ED$48/(AVERAGE(ED189,EC189))*4</f>
        <v>0.19144343249522011</v>
      </c>
      <c r="EE240" s="349">
        <f>EE$48/(AVERAGE(EE189,EB189))*2</f>
        <v>0.19946172248803828</v>
      </c>
      <c r="EF240" s="573">
        <f>EF$48/(AVERAGE(EF189,DY189))</f>
        <v>0.20034711500580299</v>
      </c>
      <c r="EG240" s="350">
        <f>EG$48/(AVERAGE(EG189,EF189))*4</f>
        <v>0.19137044489157162</v>
      </c>
      <c r="EH240" s="350">
        <f>EH$48/(AVERAGE(EH189,EG189))*4</f>
        <v>0.1704826638926201</v>
      </c>
      <c r="EI240" s="350">
        <f>EI$48/(AVERAGE(EI189,EF189))*2</f>
        <v>0.18062088428974601</v>
      </c>
      <c r="EJ240" s="350">
        <f>EJ$48/(AVERAGE(EJ189,EI189))*4</f>
        <v>0.16758589283003589</v>
      </c>
      <c r="EK240" s="350">
        <f>EK$48/(AVERAGE(EK189,EJ189))*4</f>
        <v>0.16555370335664471</v>
      </c>
      <c r="EL240" s="349">
        <f>EL$48/(AVERAGE(EL189,EI189))*2</f>
        <v>0.16339971773561232</v>
      </c>
      <c r="EM240" s="573">
        <f>EM$48/(AVERAGE(EM189,EF189))</f>
        <v>0.17021444417056938</v>
      </c>
      <c r="EN240" s="350">
        <f>EN$48/(AVERAGE(EN189,EM189))*4</f>
        <v>0.11251102641346138</v>
      </c>
      <c r="EO240" s="350">
        <f>EO$48/(AVERAGE(EO189,EN189))*4</f>
        <v>9.6587503656074838E-2</v>
      </c>
      <c r="EP240" s="350">
        <f>EP$48/(AVERAGE(EP189,EM189))*2</f>
        <v>8.4978936623330864E-2</v>
      </c>
      <c r="EQ240" s="351">
        <f>EQ$48/(AVERAGE(EQ189,EP189))*4</f>
        <v>6.8853929359427413E-2</v>
      </c>
      <c r="ER240" s="349">
        <f>ER$48/(AVERAGE(ER189,EQ189))*4</f>
        <v>8.1342817588525393E-2</v>
      </c>
      <c r="ES240" s="349">
        <f>ES$48/(AVERAGE(ES189,EP189))*2</f>
        <v>7.683300693759279E-2</v>
      </c>
      <c r="ET240" s="581">
        <f>ET$48/(AVERAGE(ET189,EM189))</f>
        <v>9.7473906277217054E-2</v>
      </c>
      <c r="EU240" s="349">
        <f>EU$48/(AVERAGE(EU189,ET189))*4</f>
        <v>8.3316776049349284E-2</v>
      </c>
      <c r="EV240" s="349">
        <f>EV$48/(AVERAGE(EV189,EU189))*4</f>
        <v>8.1454151003388611E-2</v>
      </c>
      <c r="EW240" s="349">
        <f>EW$48/(AVERAGE(EW189,ET189))*2</f>
        <v>8.2375126214262018E-2</v>
      </c>
      <c r="EX240" s="349">
        <f>EX$48/(AVERAGE(EX189,EW189))*4</f>
        <v>8.4835573504603121E-2</v>
      </c>
      <c r="EY240" s="349">
        <f>EY$48/(AVERAGE(EY189,EX189))*4</f>
        <v>9.5834798826251594E-2</v>
      </c>
      <c r="EZ240" s="349">
        <f>EZ$48/(AVERAGE(EZ189,EW189))*2</f>
        <v>9.0194839885006817E-2</v>
      </c>
      <c r="FA240" s="581">
        <f>FA$48/(AVERAGE(FA189,ET189))</f>
        <v>8.6309072427581096E-2</v>
      </c>
      <c r="FB240" s="349">
        <f>FB$48/(AVERAGE(FB189,FA189))*4</f>
        <v>9.3693947127184984E-2</v>
      </c>
      <c r="FC240" s="349">
        <f>FC$48/(AVERAGE(FC189,FB189))*4</f>
        <v>9.3681971583156817E-2</v>
      </c>
      <c r="FD240" s="349">
        <f>FD$48/(AVERAGE(FD189,FA189))*2</f>
        <v>9.3664124206745775E-2</v>
      </c>
      <c r="FE240" s="349">
        <f>FE$48/(AVERAGE(FE189,FD189))*4</f>
        <v>9.9747827123260954E-2</v>
      </c>
      <c r="FF240" s="349">
        <f>FF$48/(AVERAGE(FF189,FE189))*4</f>
        <v>0.10746098012623929</v>
      </c>
      <c r="FG240" s="349">
        <f>FG$48/(AVERAGE(FG189,FD189))*2</f>
        <v>0.10343966846407714</v>
      </c>
      <c r="FH240" s="581">
        <f>FH$48/(AVERAGE(FH189,FA189))</f>
        <v>9.8640363489793714E-2</v>
      </c>
      <c r="FI240" s="349">
        <f>FI$48/(AVERAGE(FI189,FH189))*4</f>
        <v>0.10509314400060804</v>
      </c>
      <c r="FJ240" s="349">
        <f>FJ$48/(AVERAGE(FJ189,FI189))*4</f>
        <v>0.10272487661714792</v>
      </c>
      <c r="FK240" s="349">
        <f>FK$48/(AVERAGE(FK189,FH189))*2</f>
        <v>0.10384934388409928</v>
      </c>
      <c r="FL240" s="349">
        <f>FL$48/(AVERAGE(FL189,FK189))*4</f>
        <v>0.10866484738401777</v>
      </c>
      <c r="FM240" s="349">
        <f>FM$48/(AVERAGE(FM189,FL189))*4</f>
        <v>0.11579826498489491</v>
      </c>
      <c r="FN240" s="349">
        <f>FN$48/(AVERAGE(FN189,FK189))*2</f>
        <v>0.11205292841886137</v>
      </c>
      <c r="FO240" s="581">
        <f>FO$48/(AVERAGE(FO189,FH189))</f>
        <v>0.10801455806007258</v>
      </c>
      <c r="FP240" s="349">
        <f>FP$48/(AVERAGE(FP189,FO189))*4</f>
        <v>0.11457186995825851</v>
      </c>
      <c r="FQ240" s="349">
        <f>FQ$48/(AVERAGE(FQ189,FP189))*4</f>
        <v>0.11422538045619361</v>
      </c>
      <c r="FR240" s="349">
        <f>FR$48/(AVERAGE(FR189,FO189))*2</f>
        <v>0.11432181793541499</v>
      </c>
      <c r="FS240" s="349">
        <f>FS$48/(AVERAGE(FS189,FR189))*4</f>
        <v>0.1199930593375369</v>
      </c>
      <c r="FT240" s="349">
        <f>FT$48/(AVERAGE(FT189,FS189))*4</f>
        <v>0.1266715807815138</v>
      </c>
      <c r="FU240" s="349">
        <f>FU$48/(AVERAGE(FU189,FR189))*2</f>
        <v>0.12314270210307131</v>
      </c>
      <c r="FV240" s="581">
        <f>FV$48/(AVERAGE(FV189,FO189))</f>
        <v>0.11883772722928554</v>
      </c>
    </row>
    <row r="241" spans="1:280" outlineLevel="1" x14ac:dyDescent="0.3">
      <c r="B241" s="279" t="s">
        <v>574</v>
      </c>
      <c r="C241" s="280" t="s">
        <v>413</v>
      </c>
      <c r="K241" s="349">
        <f>K$48/(AVERAGE(K236,J236))*4</f>
        <v>4.5626112759643931</v>
      </c>
      <c r="L241" s="349">
        <f>L$48/(AVERAGE(L236,K236))*4</f>
        <v>2.2216624685138542</v>
      </c>
      <c r="M241" s="349">
        <f>M$48/(AVERAGE(M236,J236))*2</f>
        <v>2.2873099596649089</v>
      </c>
      <c r="N241" s="349">
        <f>N$48/(AVERAGE(N236,M236))*4</f>
        <v>1.2689928235585253</v>
      </c>
      <c r="O241" s="349">
        <f>O$48/(AVERAGE(O236,N236))*4</f>
        <v>0.95512277730736661</v>
      </c>
      <c r="P241" s="349">
        <f>P$48/(AVERAGE(P236,M236))*2</f>
        <v>0.81848586196412287</v>
      </c>
      <c r="Q241" s="349">
        <f>Q$48/(AVERAGE(Q236,J236))</f>
        <v>1.2537841556909768</v>
      </c>
      <c r="R241" s="349">
        <f>R$48/(AVERAGE(R236,Q236))*4</f>
        <v>1.3769230769230769</v>
      </c>
      <c r="S241" s="349">
        <f>S$48/(AVERAGE(S236,R236))*4</f>
        <v>1.4794785127957513</v>
      </c>
      <c r="T241" s="349">
        <f>T$48/(AVERAGE(T236,Q236))*2</f>
        <v>1.1601513240857504</v>
      </c>
      <c r="U241" s="349">
        <f>U$48/(AVERAGE(U236,T236))*4</f>
        <v>1.1709741550695822</v>
      </c>
      <c r="V241" s="349">
        <f>V$48/(AVERAGE(V236,U236))*4</f>
        <v>1.5584872471416005</v>
      </c>
      <c r="W241" s="349">
        <f>W$48/(AVERAGE(W236,T236))*2</f>
        <v>1.6538461538461542</v>
      </c>
      <c r="X241" s="349">
        <f>X$48/(AVERAGE(X236,Q236))</f>
        <v>1.2503265128428382</v>
      </c>
      <c r="Y241" s="349">
        <f>Y$48/(AVERAGE(Y236,X236))*4</f>
        <v>-14.636871508379892</v>
      </c>
      <c r="Z241" s="349">
        <f>Z$48/(AVERAGE(Z236,Y236))*4</f>
        <v>-167.99999999999895</v>
      </c>
      <c r="AA241" s="349">
        <f>AA$48/(AVERAGE(AA236,X236))*2</f>
        <v>4.5385329619312911</v>
      </c>
      <c r="AB241" s="349">
        <f>AB$48/(AVERAGE(AB236,AA236))*4</f>
        <v>0.87961029923451639</v>
      </c>
      <c r="AC241" s="349">
        <f>AC$48/(AVERAGE(AC236,AB236))*4</f>
        <v>0.33578792341678942</v>
      </c>
      <c r="AD241" s="349">
        <f>AD$48/(AVERAGE(AD236,AA236))*2</f>
        <v>0.74693251533742322</v>
      </c>
      <c r="AE241" s="349">
        <f>AE$48/(AVERAGE(AE236,X236))</f>
        <v>1.5010979358805447</v>
      </c>
      <c r="AF241" s="349">
        <f>AF$48/(AVERAGE(AF236,AE236))*4</f>
        <v>1.7783972125435541</v>
      </c>
      <c r="AG241" s="349">
        <f>AG$48/(AVERAGE(AG236,AF236))*4</f>
        <v>3.8675904541955366</v>
      </c>
      <c r="AH241" s="349">
        <f>AH$48/(AVERAGE(AH236,AE236))*2</f>
        <v>2.2637460885113994</v>
      </c>
      <c r="AI241" s="349">
        <f>AI$48/(AVERAGE(AI236,AH236))*4</f>
        <v>5.6790923824959521</v>
      </c>
      <c r="AJ241" s="349">
        <f>AJ$48/(AVERAGE(AJ236,AI236))*4</f>
        <v>4.8251968503936959</v>
      </c>
      <c r="AK241" s="349">
        <f>AK$48/(AVERAGE(AK236,AH236))*2</f>
        <v>4.8011695906432754</v>
      </c>
      <c r="AL241" s="349">
        <f>AL$48/(AVERAGE(AL236,AE236))</f>
        <v>1.8509977827050996</v>
      </c>
      <c r="AM241" s="349">
        <f>AM$48/(AVERAGE(AM236,AL236))*4</f>
        <v>2.6143001007049347</v>
      </c>
      <c r="AN241" s="349">
        <f>AN$48/(AVERAGE(AN236,AM236))*4</f>
        <v>-3.0098302055406614</v>
      </c>
      <c r="AO241" s="349">
        <f>AO$48/(AVERAGE(AO236,AL236))*2</f>
        <v>-1.7811069496462759</v>
      </c>
      <c r="AP241" s="349">
        <f>AP$48/(AVERAGE(AP236,AO236))*4</f>
        <v>-0.3728970520141997</v>
      </c>
      <c r="AQ241" s="349">
        <f>AQ$48/(AVERAGE(AQ236,AP236))*4</f>
        <v>-0.48845401174168296</v>
      </c>
      <c r="AR241" s="349">
        <f>AR$48/(AVERAGE(AR236,AO236))*2</f>
        <v>-0.460113534508515</v>
      </c>
      <c r="AS241" s="349">
        <f>AS$48/(AVERAGE(AS236,AL236))</f>
        <v>-1.0253552521593758</v>
      </c>
      <c r="AT241" s="349">
        <f>AT$48/(AVERAGE(AT236,AS236))*4</f>
        <v>-0.56913827655310623</v>
      </c>
      <c r="AU241" s="349">
        <f>AU$48/(AVERAGE(AU236,AT236))*4</f>
        <v>-0.68234263180955157</v>
      </c>
      <c r="AV241" s="349">
        <f>AV$48/(AVERAGE(AV236,AS236))*2</f>
        <v>-0.6833753522171141</v>
      </c>
      <c r="AW241" s="349">
        <f>AW$48/(AVERAGE(AW236,AV236))*4</f>
        <v>-0.46724351050679852</v>
      </c>
      <c r="AX241" s="349">
        <f>AX$48/(AVERAGE(AX236,AW236))*4</f>
        <v>-0.73605621431708401</v>
      </c>
      <c r="AY241" s="349">
        <f>AY$48/(AVERAGE(AY236,AV236))*2</f>
        <v>-0.86442516268980485</v>
      </c>
      <c r="AZ241" s="349">
        <f>AZ$48/(AVERAGE(AZ236,AS236))</f>
        <v>-0.80787564766839393</v>
      </c>
      <c r="BA241" s="349">
        <f>BA$48/(AVERAGE(BA236,AZ236))*4</f>
        <v>-1.3632604843473124</v>
      </c>
      <c r="BB241" s="349">
        <f>BB$48/(AVERAGE(BB236,BA236))*4</f>
        <v>-1.6835236541598693</v>
      </c>
      <c r="BC241" s="349">
        <f>BC$48/(AVERAGE(BC236,AZ236))*2</f>
        <v>-5.229665071770337</v>
      </c>
      <c r="BD241" s="349">
        <f>BD$48/(AVERAGE(BD236,BC236))*4</f>
        <v>-5.0842490842490822</v>
      </c>
      <c r="BE241" s="349">
        <f>BE$48/(AVERAGE(BE236,BD236))*4</f>
        <v>-1.6962750716332373</v>
      </c>
      <c r="BF241" s="349">
        <f>BF$48/(AVERAGE(BF236,BC236))*2</f>
        <v>-2.6049046321525871</v>
      </c>
      <c r="BG241" s="349">
        <f>BG$48/(AVERAGE(BG236,AZ236))</f>
        <v>-1.7788697788697792</v>
      </c>
      <c r="BH241" s="349">
        <f>BH$48/(AVERAGE(BH236,BG236))*4</f>
        <v>-1.7658600392413342</v>
      </c>
      <c r="BI241" s="349">
        <f>BI$48/(AVERAGE(BI236,BH236))*4</f>
        <v>-2.3061062648691517</v>
      </c>
      <c r="BJ241" s="349">
        <f>BJ$48/(AVERAGE(BJ236,BG236))*2</f>
        <v>-3.1791383219954659</v>
      </c>
      <c r="BK241" s="349">
        <f>BK$48/(AVERAGE(BK236,BJ236))*4</f>
        <v>-4.5619834710743818</v>
      </c>
      <c r="BL241" s="349">
        <f>BL$48/(AVERAGE(BL236,BK236))*4</f>
        <v>-2.1794019933554813</v>
      </c>
      <c r="BM241" s="349">
        <f>BM$48/(AVERAGE(BM236,BJ236))*2</f>
        <v>-1.2609182530795071</v>
      </c>
      <c r="BN241" s="349">
        <f>BN$48/(AVERAGE(BN236,BG236))</f>
        <v>-1.2307692307692308</v>
      </c>
      <c r="BO241" s="349">
        <f>BO$48/(AVERAGE(BO236,BN236))*4</f>
        <v>-0.8704156479217604</v>
      </c>
      <c r="BP241" s="349">
        <f>BP$48/(AVERAGE(BP236,BO236))*4</f>
        <v>-2.2572944297082231</v>
      </c>
      <c r="BQ241" s="349">
        <f>BQ$48/(AVERAGE(BQ236,BN236))*2</f>
        <v>-2.6180904522613067</v>
      </c>
      <c r="BR241" s="349">
        <f>BR$48/(AVERAGE(BR236,BQ236))*4</f>
        <v>2.8727858293075683</v>
      </c>
      <c r="BS241" s="349">
        <f>BS$48/(AVERAGE(BS236,BR236))*4</f>
        <v>2.1756984180410632</v>
      </c>
      <c r="BT241" s="349">
        <f>BT$48/(AVERAGE(BT236,BQ236))*2</f>
        <v>2.6281138790035588</v>
      </c>
      <c r="BU241" s="349">
        <f>BU$48/(AVERAGE(BU236,BN236))</f>
        <v>-4.7499999999999991</v>
      </c>
      <c r="BV241" s="349">
        <f>BV$48/(AVERAGE(BV236,BU236))*4</f>
        <v>4.7012475377544325</v>
      </c>
      <c r="BW241" s="349">
        <f>BW$48/(AVERAGE(BW236,BV236))*4</f>
        <v>3.0070921985815606</v>
      </c>
      <c r="BX241" s="349">
        <f>BX$48/(AVERAGE(BX236,BU236))*2</f>
        <v>1.6920613132006408</v>
      </c>
      <c r="BY241" s="349">
        <f>BY$48/(AVERAGE(BY236,BX236))*4</f>
        <v>1.4295053388537806</v>
      </c>
      <c r="BZ241" s="349">
        <f>BZ$48/(AVERAGE(BZ236,BY236))*4</f>
        <v>1.4752148050231324</v>
      </c>
      <c r="CA241" s="349">
        <f>CA$48/(AVERAGE(CA236,BX236))*2</f>
        <v>1.2421289355322336</v>
      </c>
      <c r="CB241" s="349">
        <f>CB$48/(AVERAGE(CB236,BU236))</f>
        <v>1.6227725063642677</v>
      </c>
      <c r="CC241" s="349">
        <f>CC$48/(AVERAGE(CC236,CB236))*4</f>
        <v>1.9408401690280883</v>
      </c>
      <c r="CD241" s="349">
        <f>CD$48/(AVERAGE(CD236,CC236))*4</f>
        <v>1.9943609022556399</v>
      </c>
      <c r="CE241" s="349">
        <f>CE$48/(AVERAGE(CE236,CB236))*2</f>
        <v>1.4763544120311654</v>
      </c>
      <c r="CF241" s="349">
        <f>CF$48/(AVERAGE(CF236,CE236))*4</f>
        <v>1.1980440097799516</v>
      </c>
      <c r="CG241" s="349">
        <f>CG$48/(AVERAGE(CG236,CF236))*4</f>
        <v>1.0893677145884844</v>
      </c>
      <c r="CH241" s="349">
        <f>CH$48/(AVERAGE(CH236,CE236))*2</f>
        <v>0.92591454042422394</v>
      </c>
      <c r="CI241" s="349">
        <f>CI$48/(AVERAGE(CI236,CB236))</f>
        <v>1.1296030607364895</v>
      </c>
      <c r="CJ241" s="349">
        <f>CJ$48/(AVERAGE(CJ236,CI236))*4</f>
        <v>1.2742980561555073</v>
      </c>
      <c r="CK241" s="349">
        <f>CK$48/(AVERAGE(CK236,CJ236))*4</f>
        <v>1.3017714375293932</v>
      </c>
      <c r="CL241" s="349">
        <f>CL$48/(AVERAGE(CL236,CI236))*2</f>
        <v>0.95162687121118372</v>
      </c>
      <c r="CM241" s="349">
        <f>CM$48/(AVERAGE(CM236,CL236))*4</f>
        <v>0.87891156462585018</v>
      </c>
      <c r="CN241" s="349">
        <f>CN$48/(AVERAGE(CN236,CM236))*4</f>
        <v>0.95703532136653191</v>
      </c>
      <c r="CO241" s="349">
        <f>CO$48/(AVERAGE(CO236,CL236))*2</f>
        <v>0.91824332072010073</v>
      </c>
      <c r="CP241" s="349">
        <f>CP$48/(AVERAGE(CP236,CI236))</f>
        <v>0.99392251202836135</v>
      </c>
      <c r="CQ241" s="349">
        <f>CQ$48/(AVERAGE(CQ236,CP236))*4</f>
        <v>0.35385949696444052</v>
      </c>
      <c r="CR241" s="349">
        <f>CR$48/(AVERAGE(CR236,CQ236))*4</f>
        <v>0.20132774612740717</v>
      </c>
      <c r="CS241" s="349">
        <f>CS$48/(AVERAGE(CS236,CP236))*2</f>
        <v>0.31939106749748142</v>
      </c>
      <c r="CT241" s="349">
        <f>CT$48/(AVERAGE(CT236,CS236))*4</f>
        <v>0.16275205460996092</v>
      </c>
      <c r="CU241" s="349">
        <f>CU$48/(AVERAGE(CU236,CT236))*4</f>
        <v>0.17715184127195022</v>
      </c>
      <c r="CV241" s="349">
        <f>CV$48/(AVERAGE(CV236,CS236))*2</f>
        <v>0.16685999430960141</v>
      </c>
      <c r="CW241" s="349">
        <f>CW$48/(AVERAGE(CW236,CP236))</f>
        <v>0.29504849412965795</v>
      </c>
      <c r="CX241" s="349">
        <f>CX$48/(AVERAGE(CX236,CW236))*4</f>
        <v>0.2205233885084979</v>
      </c>
      <c r="CY241" s="349">
        <f>CY$48/(AVERAGE(CY236,CX236))*4</f>
        <v>0.23297599930558563</v>
      </c>
      <c r="CZ241" s="349">
        <f>CZ$48/(AVERAGE(CZ236,CW236))*2</f>
        <v>0.2188326387272842</v>
      </c>
      <c r="DA241" s="349">
        <f>DA$48/(AVERAGE(DA236,CZ236))*4</f>
        <v>0.17977904953566862</v>
      </c>
      <c r="DB241" s="349">
        <f>DB$48/(AVERAGE(DB236,DA236))*4</f>
        <v>0.20861619361651682</v>
      </c>
      <c r="DC241" s="349">
        <f>DC$48/(AVERAGE(DC236,CZ236))*2</f>
        <v>0.19454390451832909</v>
      </c>
      <c r="DD241" s="573">
        <f>DD$48/(AVERAGE(DD236,CW236))</f>
        <v>0.21180412034720558</v>
      </c>
      <c r="DE241" s="350">
        <f>DE$48/(AVERAGE(DE236,DD236))*4</f>
        <v>0.22566001942229957</v>
      </c>
      <c r="DF241" s="350">
        <f>DF$48/(AVERAGE(DF236,DE236))*4</f>
        <v>0.30866767600302797</v>
      </c>
      <c r="DG241" s="349">
        <f>DG$48/(AVERAGE(DG236,DD236))*2</f>
        <v>0.26415353924468593</v>
      </c>
      <c r="DH241" s="349">
        <f>DH$48/(AVERAGE(DH236,DG236))*4</f>
        <v>0.33008945247223043</v>
      </c>
      <c r="DI241" s="349">
        <f>DI$48/(AVERAGE(DI236,DH236))*4</f>
        <v>0.37091201285656888</v>
      </c>
      <c r="DJ241" s="349">
        <f>DJ$48/(AVERAGE(DJ236,DG236))*2</f>
        <v>0.35662927811331602</v>
      </c>
      <c r="DK241" s="573">
        <f>DK$48/(AVERAGE(DK236,DD236))</f>
        <v>0.31251552640731356</v>
      </c>
      <c r="DL241" s="351">
        <f>DL$48/(AVERAGE(DL236,DK236))*4</f>
        <v>0.38304419332590595</v>
      </c>
      <c r="DM241" s="350">
        <f>DM$48/(AVERAGE(DM236,DL236))*4</f>
        <v>0.40124841509802006</v>
      </c>
      <c r="DN241" s="349">
        <f>DN$48/(AVERAGE(DN236,DK236))*2</f>
        <v>0.40435556486231805</v>
      </c>
      <c r="DO241" s="350">
        <f>DO$48/(AVERAGE(DO236,DN236))*4</f>
        <v>0.39356906982910306</v>
      </c>
      <c r="DP241" s="349">
        <f>DP$48/(AVERAGE(DP236,DO236))*4</f>
        <v>0.43026975411792795</v>
      </c>
      <c r="DQ241" s="349">
        <f>DQ$48/(AVERAGE(DQ236,DN236))*2</f>
        <v>0.40972305049974955</v>
      </c>
      <c r="DR241" s="573">
        <f>DR$48/(AVERAGE(DR236,DK236))</f>
        <v>0.42251405185588109</v>
      </c>
      <c r="DS241" s="350">
        <f>DS$48/(AVERAGE(DS236,DR236))*4</f>
        <v>0.39719826559298615</v>
      </c>
      <c r="DT241" s="350">
        <f>DT$48/(AVERAGE(DT236,DS236))*4</f>
        <v>0.3953677734551706</v>
      </c>
      <c r="DU241" s="350">
        <f>DU$48/(AVERAGE(DU236,DR236))*2</f>
        <v>0.383196445401912</v>
      </c>
      <c r="DV241" s="350">
        <f>DV$48/(AVERAGE(DV236,DU236))*4</f>
        <v>0.27468238810927509</v>
      </c>
      <c r="DW241" s="349">
        <f>DW$48/(AVERAGE(DW236,DV236))*4</f>
        <v>0.29616174380034754</v>
      </c>
      <c r="DX241" s="349">
        <f>DX$48/(AVERAGE(DX236,DU236))*2</f>
        <v>0.28646805747219733</v>
      </c>
      <c r="DY241" s="573">
        <f>DY$48/(AVERAGE(DY236,DR236))</f>
        <v>0.3315617160593563</v>
      </c>
      <c r="DZ241" s="350">
        <f>DZ$48/(AVERAGE(DZ236,DY236))*4</f>
        <v>0.36128434344409488</v>
      </c>
      <c r="EA241" s="350">
        <f>EA$48/(AVERAGE(EA236,DZ236))*4</f>
        <v>0.36832412523020253</v>
      </c>
      <c r="EB241" s="350">
        <f>EB$48/(AVERAGE(EB236,DY236))*2</f>
        <v>0.36392957935761316</v>
      </c>
      <c r="EC241" s="350">
        <f>EC$48/(AVERAGE(EC236,EB236))*4</f>
        <v>0.35684615677756187</v>
      </c>
      <c r="ED241" s="349">
        <f>ED$48/(AVERAGE(ED236,EC236))*4</f>
        <v>0.35322901849217647</v>
      </c>
      <c r="EE241" s="349">
        <f>EE$48/(AVERAGE(EE236,EB236))*2</f>
        <v>0.35461881705117254</v>
      </c>
      <c r="EF241" s="573">
        <f>EF$48/(AVERAGE(EF236,DY236))</f>
        <v>0.35956430345881907</v>
      </c>
      <c r="EG241" s="350">
        <f>EG$48/(AVERAGE(EG236,EF236))*4</f>
        <v>0.35080006706033562</v>
      </c>
      <c r="EH241" s="350">
        <f>EH$48/(AVERAGE(EH236,EG236))*4</f>
        <v>0.30716040396688193</v>
      </c>
      <c r="EI241" s="350">
        <f>EI$48/(AVERAGE(EI236,EF236))*2</f>
        <v>0.32956810631229244</v>
      </c>
      <c r="EJ241" s="350">
        <f>EJ$48/(AVERAGE(EJ236,EI236))*4</f>
        <v>0.30300812413086436</v>
      </c>
      <c r="EK241" s="350">
        <f>EK$48/(AVERAGE(EK236,EJ236))*4</f>
        <v>0.30865423516863438</v>
      </c>
      <c r="EL241" s="349">
        <f>EL$48/(AVERAGE(EL236,EI236))*2</f>
        <v>0.30214940737250351</v>
      </c>
      <c r="EM241" s="573">
        <f>EM$48/(AVERAGE(EM236,EF236))</f>
        <v>0.32026119541423959</v>
      </c>
      <c r="EN241" s="350">
        <f>EN$48/(AVERAGE(EN236,EM236))*4</f>
        <v>0.18877935714485186</v>
      </c>
      <c r="EO241" s="350">
        <f>EO$48/(AVERAGE(EO236,EN236))*4</f>
        <v>0.13226179220506357</v>
      </c>
      <c r="EP241" s="350">
        <f>EP$48/(AVERAGE(EP236,EM236))*2</f>
        <v>0.120952872630725</v>
      </c>
      <c r="EQ241" s="351">
        <f>EQ$48/(AVERAGE(EQ236,EP236))*4</f>
        <v>8.919168870278886E-2</v>
      </c>
      <c r="ER241" s="349">
        <f>ER$48/(AVERAGE(ER236,EQ236))*4</f>
        <v>0.1048944736262372</v>
      </c>
      <c r="ES241" s="349">
        <f>ES$48/(AVERAGE(ES236,EP236))*2</f>
        <v>9.9516072130571426E-2</v>
      </c>
      <c r="ET241" s="581">
        <f>ET$48/(AVERAGE(ET236,EM236))</f>
        <v>0.13787750804492971</v>
      </c>
      <c r="EU241" s="349">
        <f>EU$48/(AVERAGE(EU236,ET236))*4</f>
        <v>0.10791192090280871</v>
      </c>
      <c r="EV241" s="349">
        <f>EV$48/(AVERAGE(EV236,EU236))*4</f>
        <v>0.10568037935579817</v>
      </c>
      <c r="EW241" s="349">
        <f>EW$48/(AVERAGE(EW236,ET236))*2</f>
        <v>0.10639768719028461</v>
      </c>
      <c r="EX241" s="349">
        <f>EX$48/(AVERAGE(EX236,EW236))*4</f>
        <v>0.10962694521036509</v>
      </c>
      <c r="EY241" s="349">
        <f>EY$48/(AVERAGE(EY236,EX236))*4</f>
        <v>0.12317167958051464</v>
      </c>
      <c r="EZ241" s="349">
        <f>EZ$48/(AVERAGE(EZ236,EW236))*2</f>
        <v>0.11606651755971127</v>
      </c>
      <c r="FA241" s="581">
        <f>FA$48/(AVERAGE(FA236,ET236))</f>
        <v>0.11087566020526955</v>
      </c>
      <c r="FB241" s="349">
        <f>FB$48/(AVERAGE(FB236,FA236))*4</f>
        <v>0.12053893889641652</v>
      </c>
      <c r="FC241" s="349">
        <f>FC$48/(AVERAGE(FC236,FB236))*4</f>
        <v>0.12083929263136878</v>
      </c>
      <c r="FD241" s="349">
        <f>FD$48/(AVERAGE(FD236,FA236))*2</f>
        <v>0.12020129982847597</v>
      </c>
      <c r="FE241" s="349">
        <f>FE$48/(AVERAGE(FE236,FD236))*4</f>
        <v>0.12818999126927183</v>
      </c>
      <c r="FF241" s="349">
        <f>FF$48/(AVERAGE(FF236,FE236))*4</f>
        <v>0.13731717575175478</v>
      </c>
      <c r="FG241" s="349">
        <f>FG$48/(AVERAGE(FG236,FD236))*2</f>
        <v>0.13233618630046276</v>
      </c>
      <c r="FH241" s="581">
        <f>FH$48/(AVERAGE(FH236,FA236))</f>
        <v>0.12586665725529309</v>
      </c>
      <c r="FI241" s="349">
        <f>FI$48/(AVERAGE(FI236,FH236))*4</f>
        <v>0.13438815696509199</v>
      </c>
      <c r="FJ241" s="349">
        <f>FJ$48/(AVERAGE(FJ236,FI236))*4</f>
        <v>0.13169649983604834</v>
      </c>
      <c r="FK241" s="349">
        <f>FK$48/(AVERAGE(FK236,FH236))*2</f>
        <v>0.13245072113457579</v>
      </c>
      <c r="FL241" s="349">
        <f>FL$48/(AVERAGE(FL236,FK236))*4</f>
        <v>0.13878226840660524</v>
      </c>
      <c r="FM241" s="349">
        <f>FM$48/(AVERAGE(FM236,FL236))*4</f>
        <v>0.14701470297015681</v>
      </c>
      <c r="FN241" s="349">
        <f>FN$48/(AVERAGE(FN236,FK236))*2</f>
        <v>0.14242808782609215</v>
      </c>
      <c r="FO241" s="581">
        <f>FO$48/(AVERAGE(FO236,FH236))</f>
        <v>0.13694497898774752</v>
      </c>
      <c r="FP241" s="349">
        <f>FP$48/(AVERAGE(FP236,FO236))*4</f>
        <v>0.14559141002112247</v>
      </c>
      <c r="FQ241" s="349">
        <f>FQ$48/(AVERAGE(FQ236,FP236))*4</f>
        <v>0.14561204166602859</v>
      </c>
      <c r="FR241" s="349">
        <f>FR$48/(AVERAGE(FR236,FO236))*2</f>
        <v>0.14491597708956475</v>
      </c>
      <c r="FS241" s="349">
        <f>FS$48/(AVERAGE(FS236,FR236))*4</f>
        <v>0.15242318704073068</v>
      </c>
      <c r="FT241" s="349">
        <f>FT$48/(AVERAGE(FT236,FS236))*4</f>
        <v>0.15992509147228734</v>
      </c>
      <c r="FU241" s="349">
        <f>FU$48/(AVERAGE(FU236,FR236))*2</f>
        <v>0.15563612738811353</v>
      </c>
      <c r="FV241" s="581">
        <f>FV$48/(AVERAGE(FV236,FO236))</f>
        <v>0.14972148641590866</v>
      </c>
    </row>
    <row r="242" spans="1:280" outlineLevel="1" x14ac:dyDescent="0.3">
      <c r="B242" s="279" t="s">
        <v>575</v>
      </c>
      <c r="C242" s="280" t="s">
        <v>413</v>
      </c>
      <c r="K242" s="349">
        <f>K$72*4/(AVERAGE(SUM(K211:K216),SUM(J211:J216)))</f>
        <v>2.4150216658642272</v>
      </c>
      <c r="L242" s="349">
        <f>L$72*4/(AVERAGE(SUM(L211:L216),SUM(K211:K216)))</f>
        <v>2.1554240631163712</v>
      </c>
      <c r="M242" s="349">
        <f>M$72*2/(AVERAGE(SUM(M211:M216),SUM(J211:J216)))</f>
        <v>2.2241086587436341</v>
      </c>
      <c r="N242" s="349">
        <f>N$72*4/(AVERAGE(SUM(N211:N216),SUM(M211:M216)))</f>
        <v>1.0533094812164581</v>
      </c>
      <c r="O242" s="349">
        <f>O$72*4/(AVERAGE(SUM(O211:O216),SUM(N211:N216)))</f>
        <v>1.0344654088050316</v>
      </c>
      <c r="P242" s="349">
        <f>P$72*2/(AVERAGE(SUM(P211:P216),SUM(M211:M216)))</f>
        <v>0.88332498748122179</v>
      </c>
      <c r="Q242" s="349">
        <f>Q$72/(AVERAGE(SUM(Q211:Q216),SUM(J211:J216)))</f>
        <v>1.2398190045248867</v>
      </c>
      <c r="R242" s="349">
        <f>R$72*4/(AVERAGE(SUM(R211:R216),SUM(Q211:Q216)))</f>
        <v>1.3838582677165356</v>
      </c>
      <c r="S242" s="349">
        <f>S$72*4/(AVERAGE(SUM(S211:S216),SUM(R211:R216)))</f>
        <v>1.5132641291810849</v>
      </c>
      <c r="T242" s="349">
        <f>T$72*2/(AVERAGE(SUM(T211:T216),SUM(Q211:Q216)))</f>
        <v>1.2880625168418218</v>
      </c>
      <c r="U242" s="349">
        <f>U$72*4/(AVERAGE(SUM(U211:U216),SUM(T211:T216)))</f>
        <v>5.0568561872909656</v>
      </c>
      <c r="V242" s="349">
        <f>V$72*4/(AVERAGE(SUM(V211:V216),SUM(U211:U216)))</f>
        <v>-0.51724137931034497</v>
      </c>
      <c r="W242" s="349">
        <f>W$72*2/(AVERAGE(SUM(W211:W216),SUM(T211:T216)))</f>
        <v>-2.4079822616407989</v>
      </c>
      <c r="X242" s="349">
        <f>X$72/(AVERAGE(SUM(X211:X216),SUM(Q211:Q216)))</f>
        <v>6.1960784313725492</v>
      </c>
      <c r="Y242" s="349">
        <f>Y$72*4/(AVERAGE(SUM(Y211:Y216),SUM(X211:X216)))</f>
        <v>-0.72694229895502016</v>
      </c>
      <c r="Z242" s="349">
        <f>Z$72*4/(AVERAGE(SUM(Z211:Z216),SUM(Y211:Y216)))</f>
        <v>-0.8180790960451978</v>
      </c>
      <c r="AA242" s="349">
        <f>AA$72*2/(AVERAGE(SUM(AA211:AA216),SUM(X211:X216)))</f>
        <v>-0.9554858934169278</v>
      </c>
      <c r="AB242" s="349">
        <f>AB$72*4/(AVERAGE(SUM(AB211:AB216),SUM(AA211:AA216)))</f>
        <v>-0.86289798570500276</v>
      </c>
      <c r="AC242" s="349">
        <f>AC$72*4/(AVERAGE(SUM(AC211:AC216),SUM(AB211:AB216)))</f>
        <v>-0.42134062927496546</v>
      </c>
      <c r="AD242" s="349">
        <f>AD$72*2/(AVERAGE(SUM(AD211:AD216),SUM(AA211:AA216)))</f>
        <v>-0.43180808529542403</v>
      </c>
      <c r="AE242" s="349">
        <f>AE$72/(AVERAGE(SUM(AE211:AE216),SUM(X211:X216)))</f>
        <v>-0.6456794089302923</v>
      </c>
      <c r="AF242" s="349">
        <f>AF$72*4/(AVERAGE(SUM(AF211:AF216),SUM(AE211:AE216)))</f>
        <v>-1.2804924971142744</v>
      </c>
      <c r="AG242" s="349">
        <f>AG$72*4/(AVERAGE(SUM(AG211:AG216),SUM(AF211:AF216)))</f>
        <v>-0.98882314266929661</v>
      </c>
      <c r="AH242" s="349">
        <f>AH$72*2/(AVERAGE(SUM(AH211:AH216),SUM(AE211:AE216)))</f>
        <v>-1.2105464272067246</v>
      </c>
      <c r="AI242" s="349">
        <f>AI$72*4/(AVERAGE(SUM(AI211:AI216),SUM(AH211:AH216)))</f>
        <v>-0.84758887715593101</v>
      </c>
      <c r="AJ242" s="349">
        <f>AJ$72*4/(AVERAGE(SUM(AJ211:AJ216),SUM(AI211:AI216)))</f>
        <v>-0.76144578313252975</v>
      </c>
      <c r="AK242" s="349">
        <f>AK$72*2/(AVERAGE(SUM(AK211:AK216),SUM(AH211:AH216)))</f>
        <v>-0.7943890734588408</v>
      </c>
      <c r="AL242" s="349">
        <f>AL$72/(AVERAGE(SUM(AL211:AL216),SUM(AE211:AE216)))</f>
        <v>-1.1738746690203001</v>
      </c>
      <c r="AM242" s="349">
        <f>AM$72*4/(AVERAGE(SUM(AM211:AM216),SUM(AL211:AL216)))</f>
        <v>-2.2406639004149382</v>
      </c>
      <c r="AN242" s="349">
        <f>AN$72*4/(AVERAGE(SUM(AN211:AN216),SUM(AM211:AM216)))</f>
        <v>-0.36102027468933939</v>
      </c>
      <c r="AO242" s="349">
        <f>AO$72*2/(AVERAGE(SUM(AO211:AO216),SUM(AL211:AL216)))</f>
        <v>-0.44517184942716853</v>
      </c>
      <c r="AP242" s="349">
        <f>AP$72*4/(AVERAGE(SUM(AP211:AP216),SUM(AO211:AO216)))</f>
        <v>-0.20133771681215284</v>
      </c>
      <c r="AQ242" s="349">
        <f>AQ$72*4/(AVERAGE(SUM(AQ211:AQ216),SUM(AP211:AP216)))</f>
        <v>-0.29449480433340702</v>
      </c>
      <c r="AR242" s="349">
        <f>AR$72*2/(AVERAGE(SUM(AR211:AR216),SUM(AO211:AO216)))</f>
        <v>-0.25042301184433163</v>
      </c>
      <c r="AS242" s="349">
        <f>AS$72/(AVERAGE(SUM(AS211:AS216),SUM(AL211:AL216)))</f>
        <v>-0.40775681341719067</v>
      </c>
      <c r="AT242" s="349">
        <f>AT$72*4/(AVERAGE(SUM(AT211:AT216),SUM(AS211:AS216)))</f>
        <v>-0.35086168802474599</v>
      </c>
      <c r="AU242" s="349">
        <f>AU$72*4/(AVERAGE(SUM(AU211:AU216),SUM(AT211:AT216)))</f>
        <v>-0.42340966921119588</v>
      </c>
      <c r="AV242" s="349">
        <f>AV$72*2/(AVERAGE(SUM(AV211:AV216),SUM(AS211:AS216)))</f>
        <v>-0.41174981007850098</v>
      </c>
      <c r="AW242" s="349">
        <f>AW$72*4/(AVERAGE(SUM(AW211:AW216),SUM(AV211:AV216)))</f>
        <v>-0.32777458309373209</v>
      </c>
      <c r="AX242" s="349">
        <f>AX$72*4/(AVERAGE(SUM(AX211:AX216),SUM(AW211:AW216)))</f>
        <v>-1.1799914493373234</v>
      </c>
      <c r="AY242" s="349">
        <f>AY$72*2/(AVERAGE(SUM(AY211:AY216),SUM(AV211:AV216)))</f>
        <v>-1.2063188128291047</v>
      </c>
      <c r="AZ242" s="349">
        <f>AZ$72/(AVERAGE(SUM(AZ211:AZ216),SUM(AS211:AS216)))</f>
        <v>-0.87960987503809818</v>
      </c>
      <c r="BA242" s="349">
        <f>BA$72*4/(AVERAGE(SUM(BA211:BA216),SUM(AZ211:AZ216)))</f>
        <v>2.2842242503259444</v>
      </c>
      <c r="BB242" s="349">
        <f>BB$72*4/(AVERAGE(SUM(BB211:BB216),SUM(BA211:BA216)))</f>
        <v>3.5045045045045038</v>
      </c>
      <c r="BC242" s="349">
        <f>BC$72*2/(AVERAGE(SUM(BC211:BC216),SUM(AZ211:AZ216)))</f>
        <v>1.7577045696068008</v>
      </c>
      <c r="BD242" s="349">
        <f>BD$72*4/(AVERAGE(SUM(BD211:BD216),SUM(BC211:BC216)))</f>
        <v>1.5148936170212772</v>
      </c>
      <c r="BE242" s="349">
        <f>BE$72*4/(AVERAGE(SUM(BE211:BE216),SUM(BD211:BD216)))</f>
        <v>2.5215605749486678</v>
      </c>
      <c r="BF242" s="349">
        <f>BF$72*2/(AVERAGE(SUM(BF211:BF216),SUM(BC211:BC216)))</f>
        <v>2.8700000000000014</v>
      </c>
      <c r="BG242" s="349">
        <f>BG$72/(AVERAGE(SUM(BG211:BG216),SUM(AZ211:AZ216)))</f>
        <v>1.9377593360995855</v>
      </c>
      <c r="BH242" s="349">
        <f>BH$72*4/(AVERAGE(SUM(BH211:BH216),SUM(BG211:BG216)))</f>
        <v>80.000000000001066</v>
      </c>
      <c r="BI242" s="349">
        <f>BI$72*4/(AVERAGE(SUM(BI211:BI216),SUM(BH211:BH216)))</f>
        <v>14.119122257053286</v>
      </c>
      <c r="BJ242" s="349">
        <f>BJ$72*2/(AVERAGE(SUM(BJ211:BJ216),SUM(BG211:BG216)))</f>
        <v>6.8652931854199704</v>
      </c>
      <c r="BK242" s="349">
        <f>BK$72*4/(AVERAGE(SUM(BK211:BK216),SUM(BJ211:BJ216)))</f>
        <v>2.3213811420982733</v>
      </c>
      <c r="BL242" s="349">
        <f>BL$72*4/(AVERAGE(SUM(BL211:BL216),SUM(BK211:BK216)))</f>
        <v>-3.8842443729903517</v>
      </c>
      <c r="BM242" s="349">
        <f>BM$72*2/(AVERAGE(SUM(BM211:BM216),SUM(BJ211:BJ216)))</f>
        <v>-2.3101881894873451</v>
      </c>
      <c r="BN242" s="349">
        <f>BN$72/(AVERAGE(SUM(BN211:BN216),SUM(BG211:BG216)))</f>
        <v>-2.1825221238938042</v>
      </c>
      <c r="BO242" s="349">
        <f>BO$72*4/(AVERAGE(SUM(BO211:BO216),SUM(BN211:BN216)))</f>
        <v>-0.6681113518919819</v>
      </c>
      <c r="BP242" s="349">
        <f>BP$72*4/(AVERAGE(SUM(BP211:BP216),SUM(BO211:BO216)))</f>
        <v>-0.76046511627906987</v>
      </c>
      <c r="BQ242" s="349">
        <f>BQ$72*2/(AVERAGE(SUM(BQ211:BQ216),SUM(BN211:BN216)))</f>
        <v>-0.95042172392511848</v>
      </c>
      <c r="BR242" s="349">
        <f>BR$72*4/(AVERAGE(SUM(BR211:BR216),SUM(BQ211:BQ216)))</f>
        <v>-0.76011730205278594</v>
      </c>
      <c r="BS242" s="349">
        <f>BS$72*4/(AVERAGE(SUM(BS211:BS216),SUM(BR211:BR216)))</f>
        <v>-1.073536299765808</v>
      </c>
      <c r="BT242" s="349">
        <f>BT$72*2/(AVERAGE(SUM(BT211:BT216),SUM(BQ211:BQ216)))</f>
        <v>-0.86501939963242813</v>
      </c>
      <c r="BU242" s="349">
        <f>BU$72/(AVERAGE(SUM(BU211:BU216),SUM(BN211:BN216)))</f>
        <v>-1.1025896414342626</v>
      </c>
      <c r="BV242" s="349">
        <f>BV$72*4/(AVERAGE(SUM(BV211:BV216),SUM(BU211:BU216)))</f>
        <v>-0.90606548577563051</v>
      </c>
      <c r="BW242" s="349">
        <f>BW$72*4/(AVERAGE(SUM(BW211:BW216),SUM(BV211:BV216)))</f>
        <v>-0.84346284056101939</v>
      </c>
      <c r="BX242" s="349">
        <f>BX$72*2/(AVERAGE(SUM(BX211:BX216),SUM(BU211:BU216)))</f>
        <v>-1.1033004714959282</v>
      </c>
      <c r="BY242" s="349">
        <f>BY$72*4/(AVERAGE(SUM(BY211:BY216),SUM(BX211:BX216)))</f>
        <v>-0.84622623753058557</v>
      </c>
      <c r="BZ242" s="349">
        <f>BZ$72*4/(AVERAGE(SUM(BZ211:BZ216),SUM(BY211:BY216)))</f>
        <v>-0.94538071065989826</v>
      </c>
      <c r="CA242" s="349">
        <f>CA$72*2/(AVERAGE(SUM(CA211:CA216),SUM(BX211:BX216)))</f>
        <v>-0.93540474243663141</v>
      </c>
      <c r="CB242" s="349">
        <f>CB$72/(AVERAGE(SUM(CB211:CB216),SUM(BU211:BU216)))</f>
        <v>-1.1266947171575508</v>
      </c>
      <c r="CC242" s="349">
        <f>CC$72*4/(AVERAGE(SUM(CC211:CC216),SUM(CB211:CB216)))</f>
        <v>-1.0775444264943457</v>
      </c>
      <c r="CD242" s="349">
        <f>CD$72*4/(AVERAGE(SUM(CD211:CD216),SUM(CC211:CC216)))</f>
        <v>-1.0407523510971788</v>
      </c>
      <c r="CE242" s="349">
        <f>CE$72*2/(AVERAGE(SUM(CE211:CE216),SUM(CB211:CB216)))</f>
        <v>-1.0683792973177184</v>
      </c>
      <c r="CF242" s="349">
        <f>CF$72*4/(AVERAGE(SUM(CF211:CF216),SUM(CE211:CE216)))</f>
        <v>-0.73322878550270099</v>
      </c>
      <c r="CG242" s="349">
        <f>CG$72*4/(AVERAGE(SUM(CG211:CG216),SUM(CF211:CF216)))</f>
        <v>-0.9130525005187794</v>
      </c>
      <c r="CH242" s="349">
        <f>CH$72*2/(AVERAGE(SUM(CH211:CH216),SUM(CE211:CE216)))</f>
        <v>-0.83346243222308269</v>
      </c>
      <c r="CI242" s="349">
        <f>CI$72/(AVERAGE(SUM(CI211:CI216),SUM(CB211:CB216)))</f>
        <v>-1.1385459533607685</v>
      </c>
      <c r="CJ242" s="349">
        <f>CJ$72*4/(AVERAGE(SUM(CJ211:CJ216),SUM(CI211:CI216)))</f>
        <v>-1.021873710276517</v>
      </c>
      <c r="CK242" s="349">
        <f>CK$72*4/(AVERAGE(SUM(CK211:CK216),SUM(CJ211:CJ216)))</f>
        <v>-1.244820295983087</v>
      </c>
      <c r="CL242" s="349">
        <f>CL$72*2/(AVERAGE(SUM(CL211:CL216),SUM(CI211:CI216)))</f>
        <v>-1.3129844961240309</v>
      </c>
      <c r="CM242" s="349">
        <f>CM$72*4/(AVERAGE(SUM(CM211:CM216),SUM(CL211:CL216)))</f>
        <v>-1.535398230088495</v>
      </c>
      <c r="CN242" s="349">
        <f>CN$72*4/(AVERAGE(SUM(CN211:CN216),SUM(CM211:CM216)))</f>
        <v>-1.7024836601307196</v>
      </c>
      <c r="CO242" s="349">
        <f>CO$72*2/(AVERAGE(SUM(CO211:CO216),SUM(CL211:CL216)))</f>
        <v>-1.4290452499407724</v>
      </c>
      <c r="CP242" s="349">
        <f>CP$72/(AVERAGE(SUM(CP211:CP216),SUM(CI211:CI216)))</f>
        <v>-1.320267465990316</v>
      </c>
      <c r="CQ242" s="349">
        <f>CQ$72*4/(AVERAGE(SUM(CQ211:CQ216),SUM(CP211:CP216)))</f>
        <v>0.96687339283013152</v>
      </c>
      <c r="CR242" s="349">
        <f>CR$72*4/(AVERAGE(SUM(CR211:CR216),SUM(CQ211:CQ216)))</f>
        <v>0.3533715533715534</v>
      </c>
      <c r="CS242" s="349">
        <f>CS$72*2/(AVERAGE(SUM(CS211:CS216),SUM(CP211:CP216)))</f>
        <v>0.884245257080011</v>
      </c>
      <c r="CT242" s="349">
        <f>CT$72*4/(AVERAGE(SUM(CT211:CT216),SUM(CS211:CS216)))</f>
        <v>0.27478369644532469</v>
      </c>
      <c r="CU242" s="349">
        <f>CU$72*4/(AVERAGE(SUM(CU211:CU216),SUM(CT211:CT216)))</f>
        <v>0.30368808188879165</v>
      </c>
      <c r="CV242" s="349">
        <f>CV$72*2/(AVERAGE(SUM(CV211:CV216),SUM(CS211:CS216)))</f>
        <v>0.29054229709353707</v>
      </c>
      <c r="CW242" s="349">
        <f>CW$72/(AVERAGE(SUM(CW211:CW216),SUM(CP211:CP216)))</f>
        <v>0.79824677912073305</v>
      </c>
      <c r="CX242" s="349">
        <f>CX$72*4/(AVERAGE(SUM(CX211:CX216),SUM(CW211:CW216)))</f>
        <v>0.3753446033810145</v>
      </c>
      <c r="CY242" s="349">
        <f>CY$72*4/(AVERAGE(SUM(CY211:CY216),SUM(CX211:CX216)))</f>
        <v>0.39690047297977243</v>
      </c>
      <c r="CZ242" s="349">
        <f>CZ$72*2/(AVERAGE(SUM(CZ211:CZ216),SUM(CW211:CW216)))</f>
        <v>0.37503103739385202</v>
      </c>
      <c r="DA242" s="349">
        <f>DA$72*4/(AVERAGE(SUM(DA211:DA216),SUM(CZ211:CZ216)))</f>
        <v>0.29382621951219517</v>
      </c>
      <c r="DB242" s="349">
        <f>DB$72*4/(AVERAGE(SUM(DB211:DB216),SUM(DA211:DA216)))</f>
        <v>0.33256968308514684</v>
      </c>
      <c r="DC242" s="349">
        <f>DC$72*2/(AVERAGE(SUM(DC211:DC216),SUM(CZ211:CZ216)))</f>
        <v>0.31659115010122429</v>
      </c>
      <c r="DD242" s="573">
        <f>DD$72/(AVERAGE(SUM(DD211:DD216),SUM(CW211:CW216)))</f>
        <v>0.35129621336517886</v>
      </c>
      <c r="DE242" s="350">
        <f>DE$72*4/(AVERAGE(SUM(DE211:DE216),SUM(DD211:DD216)))</f>
        <v>0.33865844986963739</v>
      </c>
      <c r="DF242" s="350">
        <f>DF$72*4/(AVERAGE(SUM(DF211:DF216),SUM(DE211:DE216)))</f>
        <v>0.4275892659126192</v>
      </c>
      <c r="DG242" s="349">
        <f>DG$72*2/(AVERAGE(SUM(DG211:DG216),SUM(DD211:DD216)))</f>
        <v>0.37876873081783713</v>
      </c>
      <c r="DH242" s="349">
        <f>DH$72*4/(AVERAGE(SUM(DH211:DH216),SUM(DG211:DG216)))</f>
        <v>0.40128554574671482</v>
      </c>
      <c r="DI242" s="349">
        <f>DI$72*4/(AVERAGE(SUM(DI211:DI216),SUM(DH211:DH216)))</f>
        <v>0.42726417514752413</v>
      </c>
      <c r="DJ242" s="349">
        <f>DJ$72*2/(AVERAGE(SUM(DJ211:DJ216),SUM(DG211:DG216)))</f>
        <v>0.4429967426710098</v>
      </c>
      <c r="DK242" s="573">
        <f>DK$72/(AVERAGE(SUM(DK211:DK216),SUM(DD211:DD216)))</f>
        <v>0.43700205142884413</v>
      </c>
      <c r="DL242" s="351">
        <f>DL$72*4/(AVERAGE(SUM(DL211:DL216),SUM(DK211:DK216)))</f>
        <v>0.477686318131257</v>
      </c>
      <c r="DM242" s="350">
        <f>DM$72*4/(AVERAGE(SUM(DM211:DM216),SUM(DL211:DL216)))</f>
        <v>0.49497687769095844</v>
      </c>
      <c r="DN242" s="349">
        <f>DN$72*2/(AVERAGE(SUM(DN211:DN216),SUM(DK211:DK216)))</f>
        <v>0.48587618048268633</v>
      </c>
      <c r="DO242" s="350">
        <f>DO$72*4/(AVERAGE(SUM(DO211:DO216),SUM(DN211:DN216)))</f>
        <v>0.47440430438124526</v>
      </c>
      <c r="DP242" s="349">
        <f>DP$72*4/(AVERAGE(SUM(DP211:DP216),SUM(DO211:DO216)))</f>
        <v>0.54278279504056337</v>
      </c>
      <c r="DQ242" s="349">
        <f>DQ$72*2/(AVERAGE(SUM(DQ211:DQ216),SUM(DN211:DN216)))</f>
        <v>0.49920892036465009</v>
      </c>
      <c r="DR242" s="573">
        <f>DR$72/(AVERAGE(SUM(DR211:DR216),SUM(DK211:DK216)))</f>
        <v>0.51861135480636655</v>
      </c>
      <c r="DS242" s="350">
        <f>DS$72*4/(AVERAGE(SUM(DS211:DS216),SUM(DR211:DR216)))</f>
        <v>0.4638508943333835</v>
      </c>
      <c r="DT242" s="350">
        <f>DT$72*4/(AVERAGE(SUM(DT211:DT216),SUM(DS211:DS216)))</f>
        <v>0.46546911901524374</v>
      </c>
      <c r="DU242" s="350">
        <f>DU$72*2/(AVERAGE(SUM(DU211:DU216),SUM(DR211:DR216)))</f>
        <v>0.45284366961989153</v>
      </c>
      <c r="DV242" s="350">
        <f>DV$72*4/(AVERAGE(SUM(DV211:DV216),SUM(DU211:DU216)))</f>
        <v>0.34436387607119306</v>
      </c>
      <c r="DW242" s="349">
        <f>DW$72*4/(AVERAGE(SUM(DW211:DW216),SUM(DV211:DV216)))</f>
        <v>0.36513478657481685</v>
      </c>
      <c r="DX242" s="349">
        <f>DX$72*2/(AVERAGE(SUM(DX211:DX216),SUM(DU211:DU216)))</f>
        <v>0.37508529096403148</v>
      </c>
      <c r="DY242" s="573">
        <f>DY$72/(AVERAGE(SUM(DY211:DY216),SUM(DR211:DR216)))</f>
        <v>0.41130319600584175</v>
      </c>
      <c r="DZ242" s="350">
        <f>DZ$72*4/(AVERAGE(SUM(DZ211:DZ216),SUM(DY211:DY216)))</f>
        <v>0.41839798246667476</v>
      </c>
      <c r="EA242" s="350">
        <f>EA$72*4/(AVERAGE(SUM(EA211:EA216),SUM(DZ211:DZ216)))</f>
        <v>0.40805154815532851</v>
      </c>
      <c r="EB242" s="350">
        <f>EB$72*2/(AVERAGE(SUM(EB211:EB216),SUM(DY211:DY216)))</f>
        <v>0.41548508560334169</v>
      </c>
      <c r="EC242" s="350">
        <f>EC$72*4/(AVERAGE(SUM(EC211:EC216),SUM(EB211:EB216)))</f>
        <v>0.39074717636837542</v>
      </c>
      <c r="ED242" s="349">
        <f>ED$72*4/(AVERAGE(SUM(ED211:ED216),SUM(EC211:EC216)))</f>
        <v>0.37186009962441074</v>
      </c>
      <c r="EE242" s="349">
        <f>EE$72*2/(AVERAGE(SUM(EE211:EE216),SUM(EB211:EB216)))</f>
        <v>0.38871370204831501</v>
      </c>
      <c r="EF242" s="573">
        <f>EF$72/(AVERAGE(SUM(EF211:EF216),SUM(DY211:DY216)))</f>
        <v>0.40774572803504033</v>
      </c>
      <c r="EG242" s="350">
        <f>EG$72*4/(AVERAGE(SUM(EG211:EG216),SUM(EF211:EF216)))</f>
        <v>0.37429858531573545</v>
      </c>
      <c r="EH242" s="350">
        <f>EH$72*4/(AVERAGE(SUM(EH211:EH216),SUM(EG211:EG216)))</f>
        <v>0.32091573406919094</v>
      </c>
      <c r="EI242" s="350">
        <f>EI$72*2/(AVERAGE(SUM(EI211:EI216),SUM(EF211:EF216)))</f>
        <v>0.34893239825846656</v>
      </c>
      <c r="EJ242" s="350">
        <f>EJ$72*4/(AVERAGE(SUM(EJ211:EJ216),SUM(EI211:EI216)))</f>
        <v>0.30139069436609356</v>
      </c>
      <c r="EK242" s="350">
        <f>EK$72*4/(AVERAGE(SUM(EK211:EK216),SUM(EJ211:EJ216)))</f>
        <v>0.29302172790839548</v>
      </c>
      <c r="EL242" s="349">
        <f>EL$72*2/(AVERAGE(SUM(EL211:EL216),SUM(EI211:EI216)))</f>
        <v>0.29934997462726232</v>
      </c>
      <c r="EM242" s="573">
        <f>EM$72/(AVERAGE(SUM(EM211:EM216),SUM(EF211:EF216)))</f>
        <v>0.32051537160481541</v>
      </c>
      <c r="EN242" s="350">
        <f>EN$72*4/(AVERAGE(SUM(EN211:EN216),SUM(EM211:EM216)))</f>
        <v>0.22979763683281276</v>
      </c>
      <c r="EO242" s="350">
        <f>EO$72*4/(AVERAGE(SUM(EO211:EO216),SUM(EN211:EN216)))</f>
        <v>0.1436165252261494</v>
      </c>
      <c r="EP242" s="350">
        <f>EP$72*2/(AVERAGE(SUM(EP211:EP216),SUM(EM211:EM216)))</f>
        <v>0.12735159602055732</v>
      </c>
      <c r="EQ242" s="351">
        <f>EQ$72*4/(AVERAGE(SUM(EQ211:EQ216),SUM(EP211:EP216)))</f>
        <v>8.9442400226436472E-2</v>
      </c>
      <c r="ER242" s="349">
        <f>ER$72*4/(AVERAGE(SUM(ER211:ER216),SUM(EQ211:EQ216)))</f>
        <v>0.10756967789674093</v>
      </c>
      <c r="ES242" s="349">
        <f>ES$72*2/(AVERAGE(SUM(ES211:ES216),SUM(EP211:EP216)))</f>
        <v>0.10284129299177042</v>
      </c>
      <c r="ET242" s="581">
        <f>ET$72/(AVERAGE(SUM(ET211:ET216),SUM(EM211:EM216)))</f>
        <v>0.13435606328804936</v>
      </c>
      <c r="EU242" s="349">
        <f>EU$72*4/(AVERAGE(SUM(EU211:EU216),SUM(ET211:ET216)))</f>
        <v>0.10852852543654067</v>
      </c>
      <c r="EV242" s="349">
        <f>EV$72*4/(AVERAGE(SUM(EV211:EV216),SUM(EU211:EU216)))</f>
        <v>0.10471042986668987</v>
      </c>
      <c r="EW242" s="349">
        <f>EW$72*2/(AVERAGE(SUM(EW211:EW216),SUM(ET211:ET216)))</f>
        <v>0.10660054927740292</v>
      </c>
      <c r="EX242" s="349">
        <f>EX$72*4/(AVERAGE(SUM(EX211:EX216),SUM(EW211:EW216)))</f>
        <v>0.10791147511399425</v>
      </c>
      <c r="EY242" s="349">
        <f>EY$72*4/(AVERAGE(SUM(EY211:EY216),SUM(EX211:EX216)))</f>
        <v>0.12285794049500867</v>
      </c>
      <c r="EZ242" s="349">
        <f>EZ$72*2/(AVERAGE(SUM(EZ211:EZ216),SUM(EW211:EW216)))</f>
        <v>0.11536081048529427</v>
      </c>
      <c r="FA242" s="581">
        <f>FA$72/(AVERAGE(SUM(FA211:FA216),SUM(ET211:ET216)))</f>
        <v>0.1108954461559685</v>
      </c>
      <c r="FB242" s="349">
        <f>FB$72*4/(AVERAGE(SUM(FB211:FB216),SUM(FA211:FA216)))</f>
        <v>0.1186000486378303</v>
      </c>
      <c r="FC242" s="349">
        <f>FC$72*4/(AVERAGE(SUM(FC211:FC216),SUM(FB211:FB216)))</f>
        <v>0.11739275677047492</v>
      </c>
      <c r="FD242" s="349">
        <f>FD$72*2/(AVERAGE(SUM(FD211:FD216),SUM(FA211:FA216)))</f>
        <v>0.11797073893179966</v>
      </c>
      <c r="FE242" s="349">
        <f>FE$72*4/(AVERAGE(SUM(FE211:FE216),SUM(FD211:FD216)))</f>
        <v>0.12340876250936976</v>
      </c>
      <c r="FF242" s="349">
        <f>FF$72*4/(AVERAGE(SUM(FF211:FF216),SUM(FE211:FE216)))</f>
        <v>0.1316983121399711</v>
      </c>
      <c r="FG242" s="349">
        <f>FG$72*2/(AVERAGE(SUM(FG211:FG216),SUM(FD211:FD216)))</f>
        <v>0.12752115347573806</v>
      </c>
      <c r="FH242" s="581">
        <f>FH$72/(AVERAGE(SUM(FH211:FH216),SUM(FA211:FA216)))</f>
        <v>0.12263064454363554</v>
      </c>
      <c r="FI242" s="349">
        <f>FI$72*4/(AVERAGE(SUM(FI211:FI216),SUM(FH211:FH216)))</f>
        <v>0.12545957297972815</v>
      </c>
      <c r="FJ242" s="349">
        <f>FJ$72*4/(AVERAGE(SUM(FJ211:FJ216),SUM(FI211:FI216)))</f>
        <v>0.12083034662483175</v>
      </c>
      <c r="FK242" s="349">
        <f>FK$72*2/(AVERAGE(SUM(FK211:FK216),SUM(FH211:FH216)))</f>
        <v>0.12311579804862312</v>
      </c>
      <c r="FL242" s="349">
        <f>FL$72*4/(AVERAGE(SUM(FL211:FL216),SUM(FK211:FK216)))</f>
        <v>0.12560413515547281</v>
      </c>
      <c r="FM242" s="349">
        <f>FM$72*4/(AVERAGE(SUM(FM211:FM216),SUM(FL211:FL216)))</f>
        <v>0.13189276695908411</v>
      </c>
      <c r="FN242" s="349">
        <f>FN$72*2/(AVERAGE(SUM(FN211:FN216),SUM(FK211:FK216)))</f>
        <v>0.12871513339252066</v>
      </c>
      <c r="FO242" s="581">
        <f>FO$72/(AVERAGE(SUM(FO211:FO216),SUM(FH211:FH216)))</f>
        <v>0.12579087876768352</v>
      </c>
      <c r="FP242" s="349">
        <f>FP$72*4/(AVERAGE(SUM(FP211:FP216),SUM(FO211:FO216)))</f>
        <v>0.12737731987958012</v>
      </c>
      <c r="FQ242" s="349">
        <f>FQ$72*4/(AVERAGE(SUM(FQ211:FQ216),SUM(FP211:FP216)))</f>
        <v>0.1253254373866359</v>
      </c>
      <c r="FR242" s="349">
        <f>FR$72*2/(AVERAGE(SUM(FR211:FR216),SUM(FO211:FO216)))</f>
        <v>0.12631987047374293</v>
      </c>
      <c r="FS242" s="349">
        <f>FS$72*4/(AVERAGE(SUM(FS211:FS216),SUM(FR211:FR216)))</f>
        <v>0.12895377444862591</v>
      </c>
      <c r="FT242" s="349">
        <f>FT$72*4/(AVERAGE(SUM(FT211:FT216),SUM(FS211:FS216)))</f>
        <v>0.13363195477595619</v>
      </c>
      <c r="FU242" s="349">
        <f>FU$72*2/(AVERAGE(SUM(FU211:FU216),SUM(FR211:FR216)))</f>
        <v>0.13125752281680422</v>
      </c>
      <c r="FV242" s="581">
        <f>FV$72/(AVERAGE(SUM(FV211:FV216),SUM(FO211:FO216)))</f>
        <v>0.12865537402994012</v>
      </c>
    </row>
    <row r="243" spans="1:280" x14ac:dyDescent="0.3">
      <c r="B243" s="279"/>
      <c r="C243" s="280"/>
      <c r="K243" s="349"/>
      <c r="L243" s="349"/>
      <c r="M243" s="349"/>
      <c r="N243" s="349"/>
      <c r="O243" s="349"/>
      <c r="P243" s="349"/>
      <c r="Q243" s="349"/>
      <c r="R243" s="349"/>
      <c r="S243" s="349"/>
      <c r="T243" s="349"/>
      <c r="U243" s="349"/>
      <c r="V243" s="349"/>
      <c r="W243" s="349"/>
      <c r="X243" s="349"/>
      <c r="Y243" s="349"/>
      <c r="Z243" s="349"/>
      <c r="AA243" s="349"/>
      <c r="AB243" s="349"/>
      <c r="AC243" s="349"/>
      <c r="AD243" s="349"/>
      <c r="AE243" s="349"/>
      <c r="AF243" s="349"/>
      <c r="AG243" s="349"/>
      <c r="AH243" s="349"/>
      <c r="AI243" s="349"/>
      <c r="AJ243" s="349"/>
      <c r="AK243" s="349"/>
      <c r="AL243" s="349"/>
      <c r="AM243" s="349"/>
      <c r="AN243" s="349"/>
      <c r="AO243" s="349"/>
      <c r="AP243" s="349"/>
      <c r="AQ243" s="349"/>
      <c r="AR243" s="349"/>
      <c r="AS243" s="349"/>
      <c r="AT243" s="349"/>
      <c r="AU243" s="349"/>
      <c r="AV243" s="349"/>
      <c r="AW243" s="349"/>
      <c r="AX243" s="349"/>
      <c r="AY243" s="349"/>
      <c r="AZ243" s="349"/>
      <c r="BA243" s="349"/>
      <c r="BB243" s="349"/>
      <c r="BC243" s="349"/>
      <c r="BD243" s="349"/>
      <c r="BE243" s="349"/>
      <c r="BF243" s="349"/>
      <c r="BG243" s="349"/>
      <c r="BH243" s="349"/>
      <c r="BI243" s="349"/>
      <c r="BJ243" s="349"/>
      <c r="BK243" s="349"/>
      <c r="BL243" s="349"/>
      <c r="BM243" s="349"/>
      <c r="BN243" s="349"/>
      <c r="BO243" s="349"/>
      <c r="BP243" s="349"/>
      <c r="BQ243" s="349"/>
      <c r="BR243" s="349"/>
      <c r="BS243" s="349"/>
      <c r="BT243" s="349"/>
      <c r="BU243" s="349"/>
      <c r="BV243" s="349"/>
      <c r="BW243" s="349"/>
      <c r="BX243" s="349"/>
      <c r="BY243" s="349"/>
      <c r="BZ243" s="349"/>
      <c r="CA243" s="349"/>
      <c r="CB243" s="349"/>
      <c r="CC243" s="349"/>
      <c r="CD243" s="349"/>
      <c r="CE243" s="349"/>
      <c r="CF243" s="349"/>
      <c r="CG243" s="349"/>
      <c r="CH243" s="349"/>
      <c r="CI243" s="349"/>
      <c r="CJ243" s="349"/>
      <c r="CK243" s="349"/>
      <c r="CL243" s="349"/>
      <c r="CM243" s="349"/>
      <c r="CN243" s="349"/>
      <c r="CO243" s="349"/>
      <c r="CP243" s="349"/>
      <c r="CQ243" s="349"/>
      <c r="CR243" s="349"/>
      <c r="CS243" s="349"/>
      <c r="CT243" s="349"/>
      <c r="CU243" s="349"/>
      <c r="CV243" s="349"/>
      <c r="CW243" s="349"/>
      <c r="CX243" s="349"/>
      <c r="CY243" s="349"/>
      <c r="CZ243" s="349"/>
      <c r="DA243" s="349"/>
      <c r="DB243" s="349"/>
      <c r="DC243" s="349"/>
      <c r="DD243" s="573"/>
      <c r="DE243" s="350"/>
      <c r="DF243" s="349"/>
      <c r="DG243" s="349"/>
      <c r="DH243" s="349"/>
      <c r="DI243" s="349"/>
      <c r="DJ243" s="349"/>
      <c r="DK243" s="573"/>
      <c r="DL243" s="351"/>
      <c r="DM243" s="349"/>
      <c r="DN243" s="349"/>
      <c r="DO243" s="350"/>
      <c r="DP243" s="349"/>
      <c r="DQ243" s="349"/>
      <c r="DR243" s="573"/>
      <c r="DS243" s="350"/>
      <c r="DT243" s="349"/>
      <c r="DU243" s="350"/>
      <c r="DV243" s="350"/>
      <c r="DW243" s="349"/>
      <c r="DX243" s="349"/>
      <c r="DY243" s="573"/>
      <c r="DZ243" s="350"/>
      <c r="EA243" s="350"/>
      <c r="EB243" s="350"/>
      <c r="EC243" s="350"/>
      <c r="ED243" s="349"/>
      <c r="EE243" s="349"/>
      <c r="EF243" s="573"/>
      <c r="EG243" s="350"/>
      <c r="EH243" s="350"/>
      <c r="EI243" s="350"/>
      <c r="EJ243" s="350"/>
      <c r="EK243" s="350"/>
      <c r="EL243" s="349"/>
      <c r="EM243" s="573"/>
      <c r="EN243" s="350"/>
      <c r="EO243" s="350"/>
      <c r="EP243" s="350"/>
      <c r="EQ243" s="351"/>
      <c r="ER243" s="349"/>
      <c r="ES243" s="349"/>
      <c r="ET243" s="581"/>
      <c r="EU243" s="349"/>
      <c r="EV243" s="349"/>
      <c r="EW243" s="349"/>
      <c r="EX243" s="349"/>
      <c r="EY243" s="349"/>
      <c r="EZ243" s="349"/>
      <c r="FA243" s="581"/>
      <c r="FB243" s="349"/>
      <c r="FC243" s="349"/>
      <c r="FD243" s="349"/>
      <c r="FE243" s="349"/>
      <c r="FF243" s="349"/>
      <c r="FG243" s="349"/>
      <c r="FH243" s="581"/>
      <c r="FI243" s="349"/>
      <c r="FJ243" s="349"/>
      <c r="FK243" s="349"/>
      <c r="FL243" s="349"/>
      <c r="FM243" s="349"/>
      <c r="FN243" s="349"/>
      <c r="FO243" s="581"/>
      <c r="FP243" s="349"/>
      <c r="FQ243" s="349"/>
      <c r="FR243" s="349"/>
      <c r="FS243" s="349"/>
      <c r="FT243" s="349"/>
      <c r="FU243" s="349"/>
      <c r="FV243" s="581"/>
    </row>
    <row r="244" spans="1:280" s="263" customFormat="1" ht="12.05" customHeight="1" x14ac:dyDescent="0.3">
      <c r="A244" s="260" t="s">
        <v>576</v>
      </c>
      <c r="B244" s="269"/>
      <c r="C244" s="414"/>
      <c r="D244" s="271"/>
      <c r="E244" s="271"/>
      <c r="F244" s="271"/>
      <c r="G244" s="271"/>
      <c r="H244" s="271"/>
      <c r="I244" s="271"/>
      <c r="J244" s="271"/>
      <c r="K244" s="271"/>
      <c r="L244" s="261"/>
      <c r="M244" s="261"/>
      <c r="N244" s="261"/>
      <c r="O244" s="261"/>
      <c r="P244" s="261"/>
      <c r="Q244" s="261"/>
      <c r="R244" s="261"/>
      <c r="S244" s="261"/>
      <c r="T244" s="261"/>
      <c r="U244" s="261"/>
      <c r="V244" s="261"/>
      <c r="W244" s="261"/>
      <c r="X244" s="261"/>
      <c r="Y244" s="261"/>
      <c r="Z244" s="261"/>
      <c r="AA244" s="261"/>
      <c r="AB244" s="261"/>
      <c r="AC244" s="261"/>
      <c r="AD244" s="261"/>
      <c r="AE244" s="261"/>
      <c r="AF244" s="261"/>
      <c r="AG244" s="261"/>
      <c r="AH244" s="261"/>
      <c r="AI244" s="261"/>
      <c r="AJ244" s="261"/>
      <c r="AK244" s="261"/>
      <c r="AL244" s="261"/>
      <c r="AM244" s="261"/>
      <c r="AN244" s="261"/>
      <c r="AO244" s="261"/>
      <c r="AP244" s="261"/>
      <c r="AQ244" s="261"/>
      <c r="AR244" s="261"/>
      <c r="AS244" s="261"/>
      <c r="AT244" s="261"/>
      <c r="AU244" s="261"/>
      <c r="AV244" s="261"/>
      <c r="AW244" s="261"/>
      <c r="AX244" s="261"/>
      <c r="AY244" s="261"/>
      <c r="AZ244" s="261"/>
      <c r="BA244" s="261"/>
      <c r="BB244" s="261"/>
      <c r="BC244" s="261"/>
      <c r="BD244" s="261"/>
      <c r="BE244" s="261"/>
      <c r="BF244" s="261"/>
      <c r="BG244" s="261"/>
      <c r="BH244" s="261"/>
      <c r="BI244" s="261"/>
      <c r="BJ244" s="261"/>
      <c r="BK244" s="261"/>
      <c r="BL244" s="261"/>
      <c r="BM244" s="261"/>
      <c r="BN244" s="261"/>
      <c r="BO244" s="261"/>
      <c r="BP244" s="261"/>
      <c r="BQ244" s="261"/>
      <c r="BR244" s="261"/>
      <c r="BS244" s="261"/>
      <c r="BT244" s="261"/>
      <c r="BU244" s="261"/>
      <c r="BV244" s="261"/>
      <c r="BW244" s="261"/>
      <c r="BX244" s="261"/>
      <c r="BY244" s="261"/>
      <c r="BZ244" s="261"/>
      <c r="CA244" s="261"/>
      <c r="CB244" s="271"/>
      <c r="CC244" s="271"/>
      <c r="CD244" s="271"/>
      <c r="CE244" s="271"/>
      <c r="CF244" s="271"/>
      <c r="CG244" s="271"/>
      <c r="CH244" s="271"/>
      <c r="CI244" s="271"/>
      <c r="CJ244" s="271"/>
      <c r="CK244" s="271"/>
      <c r="CL244" s="271"/>
      <c r="CM244" s="261"/>
      <c r="CN244" s="271"/>
      <c r="CO244" s="271"/>
      <c r="CP244" s="271"/>
      <c r="CQ244" s="271"/>
      <c r="CR244" s="271"/>
      <c r="CS244" s="271"/>
      <c r="CT244" s="271"/>
      <c r="CU244" s="271"/>
      <c r="CV244" s="271"/>
      <c r="CW244" s="271"/>
      <c r="CX244" s="271"/>
      <c r="CY244" s="271"/>
      <c r="CZ244" s="271"/>
      <c r="DA244" s="271"/>
      <c r="DB244" s="271"/>
      <c r="DC244" s="271"/>
      <c r="DD244" s="271"/>
      <c r="DE244" s="271"/>
      <c r="DF244" s="271"/>
      <c r="DG244" s="271"/>
      <c r="DH244" s="271"/>
      <c r="DI244" s="271"/>
      <c r="DJ244" s="271"/>
      <c r="DK244" s="271"/>
      <c r="DL244" s="272"/>
      <c r="DM244" s="271"/>
      <c r="DN244" s="271"/>
      <c r="DO244" s="271"/>
      <c r="DP244" s="271"/>
      <c r="DQ244" s="271"/>
      <c r="DR244" s="271"/>
      <c r="DS244" s="271"/>
      <c r="DT244" s="271"/>
      <c r="DU244" s="271"/>
      <c r="DV244" s="271"/>
      <c r="DW244" s="271"/>
      <c r="DX244" s="271"/>
      <c r="DY244" s="271"/>
      <c r="DZ244" s="271"/>
      <c r="EA244" s="271"/>
      <c r="EB244" s="271"/>
      <c r="EC244" s="271"/>
      <c r="ED244" s="271"/>
      <c r="EE244" s="271"/>
      <c r="EF244" s="271"/>
      <c r="EG244" s="271"/>
      <c r="EH244" s="271"/>
      <c r="EI244" s="271"/>
      <c r="EJ244" s="271"/>
      <c r="EK244" s="271"/>
      <c r="EL244" s="271"/>
      <c r="EM244" s="271"/>
      <c r="EN244" s="271"/>
      <c r="EO244" s="271"/>
      <c r="EP244" s="271"/>
      <c r="EQ244" s="272"/>
      <c r="ER244" s="271"/>
      <c r="ES244" s="271"/>
      <c r="ET244" s="271"/>
      <c r="EU244" s="271"/>
      <c r="EV244" s="271"/>
      <c r="EW244" s="271"/>
      <c r="EX244" s="271"/>
      <c r="EY244" s="271"/>
      <c r="EZ244" s="271"/>
      <c r="FA244" s="271"/>
      <c r="FB244" s="271"/>
      <c r="FC244" s="271"/>
      <c r="FD244" s="271"/>
      <c r="FE244" s="271"/>
      <c r="FF244" s="271"/>
      <c r="FG244" s="271"/>
      <c r="FH244" s="271"/>
      <c r="FI244" s="271"/>
      <c r="FJ244" s="271"/>
      <c r="FK244" s="271"/>
      <c r="FL244" s="271"/>
      <c r="FM244" s="271"/>
      <c r="FN244" s="271"/>
      <c r="FO244" s="271"/>
      <c r="FP244" s="271"/>
      <c r="FQ244" s="271"/>
      <c r="FR244" s="271"/>
      <c r="FS244" s="271"/>
      <c r="FT244" s="271"/>
      <c r="FU244" s="271"/>
      <c r="FV244" s="271"/>
      <c r="FW244" s="268"/>
      <c r="FX244" s="268"/>
      <c r="FY244" s="268"/>
      <c r="FZ244" s="268"/>
      <c r="GA244" s="268"/>
      <c r="GB244"/>
      <c r="GC244"/>
      <c r="GD244"/>
      <c r="GE244"/>
      <c r="GF244"/>
      <c r="GG244"/>
      <c r="GH244" s="268"/>
      <c r="GI244" s="268"/>
      <c r="GJ244" s="268"/>
      <c r="GK244" s="268"/>
      <c r="GL244" s="268"/>
      <c r="GM244" s="268"/>
      <c r="GN244" s="268"/>
      <c r="GO244" s="268"/>
      <c r="GP244" s="268"/>
      <c r="GQ244" s="268"/>
      <c r="GR244" s="268"/>
      <c r="GS244" s="268"/>
      <c r="GT244" s="268"/>
      <c r="GU244" s="268"/>
      <c r="GV244" s="268"/>
      <c r="GW244" s="268"/>
      <c r="GX244" s="268"/>
      <c r="GY244" s="268"/>
      <c r="GZ244" s="268"/>
      <c r="HA244" s="268"/>
      <c r="HB244" s="268"/>
      <c r="HC244" s="268"/>
      <c r="HD244" s="268"/>
      <c r="HE244" s="268"/>
      <c r="HF244" s="268"/>
      <c r="HG244" s="268"/>
      <c r="HH244" s="268"/>
      <c r="HI244" s="268"/>
      <c r="HJ244" s="268"/>
      <c r="HK244" s="268"/>
      <c r="HL244" s="268"/>
      <c r="HM244" s="268"/>
      <c r="HN244" s="268"/>
      <c r="HO244" s="268"/>
      <c r="HP244" s="268"/>
      <c r="HQ244" s="268"/>
      <c r="HR244" s="268"/>
      <c r="HS244" s="268"/>
      <c r="HT244" s="268"/>
      <c r="HU244" s="268"/>
      <c r="HV244" s="268"/>
      <c r="HW244" s="268"/>
      <c r="HX244" s="268"/>
      <c r="HY244" s="268"/>
      <c r="HZ244" s="268"/>
      <c r="IA244" s="268"/>
      <c r="IB244" s="268"/>
      <c r="IC244" s="268"/>
      <c r="ID244" s="268"/>
      <c r="IE244" s="268"/>
      <c r="IF244" s="268"/>
      <c r="IG244" s="268"/>
      <c r="IH244" s="268"/>
      <c r="II244" s="268"/>
      <c r="IJ244" s="268"/>
      <c r="IK244" s="268"/>
      <c r="IL244" s="268"/>
      <c r="IM244" s="268"/>
      <c r="IN244" s="268"/>
      <c r="IO244" s="268"/>
      <c r="IP244" s="268"/>
      <c r="IQ244" s="268"/>
      <c r="IR244" s="268"/>
      <c r="IS244" s="268"/>
      <c r="IT244" s="268"/>
      <c r="IU244" s="268"/>
      <c r="IV244" s="268"/>
      <c r="IW244" s="268"/>
      <c r="IX244" s="268"/>
      <c r="IY244" s="268"/>
      <c r="IZ244" s="268"/>
      <c r="JA244" s="268"/>
      <c r="JB244" s="268"/>
      <c r="JC244" s="268"/>
      <c r="JD244" s="268"/>
      <c r="JE244" s="268"/>
      <c r="JF244" s="268"/>
      <c r="JG244" s="268"/>
      <c r="JH244" s="268"/>
      <c r="JI244" s="268"/>
      <c r="JJ244" s="268"/>
      <c r="JK244" s="268"/>
      <c r="JL244" s="268"/>
      <c r="JM244" s="268"/>
      <c r="JN244" s="268"/>
      <c r="JO244" s="268"/>
      <c r="JP244" s="268"/>
      <c r="JQ244" s="268"/>
      <c r="JR244" s="268"/>
      <c r="JS244" s="268"/>
      <c r="JT244" s="268"/>
    </row>
    <row r="245" spans="1:280" s="263" customFormat="1" ht="12.05" customHeight="1" outlineLevel="1" x14ac:dyDescent="0.3">
      <c r="A245" s="264"/>
      <c r="B245" s="418" t="s">
        <v>577</v>
      </c>
      <c r="C245" s="507"/>
      <c r="D245" s="508"/>
      <c r="E245" s="508"/>
      <c r="F245" s="508"/>
      <c r="G245" s="508"/>
      <c r="H245" s="508"/>
      <c r="I245" s="508"/>
      <c r="J245" s="508"/>
      <c r="K245" s="508"/>
      <c r="L245" s="266"/>
      <c r="M245" s="266"/>
      <c r="N245" s="266"/>
      <c r="O245" s="266"/>
      <c r="P245" s="266"/>
      <c r="Q245" s="266"/>
      <c r="R245" s="266"/>
      <c r="S245" s="266"/>
      <c r="T245" s="266"/>
      <c r="U245" s="266"/>
      <c r="V245" s="266"/>
      <c r="W245" s="266"/>
      <c r="X245" s="266"/>
      <c r="Y245" s="266"/>
      <c r="Z245" s="266"/>
      <c r="AA245" s="266"/>
      <c r="AB245" s="266"/>
      <c r="AC245" s="266"/>
      <c r="AD245" s="266"/>
      <c r="AE245" s="266"/>
      <c r="AF245" s="266"/>
      <c r="AG245" s="266"/>
      <c r="AH245" s="266"/>
      <c r="AI245" s="266"/>
      <c r="AJ245" s="266"/>
      <c r="AK245" s="266"/>
      <c r="AL245" s="266"/>
      <c r="AM245" s="266"/>
      <c r="AN245" s="266"/>
      <c r="AO245" s="266"/>
      <c r="AP245" s="266"/>
      <c r="AQ245" s="266"/>
      <c r="AR245" s="266"/>
      <c r="AS245" s="266"/>
      <c r="AT245" s="266"/>
      <c r="AU245" s="266"/>
      <c r="AV245" s="266"/>
      <c r="AW245" s="266"/>
      <c r="AX245" s="266"/>
      <c r="AY245" s="266"/>
      <c r="AZ245" s="266"/>
      <c r="BA245" s="266"/>
      <c r="BB245" s="266"/>
      <c r="BC245" s="266"/>
      <c r="BD245" s="266"/>
      <c r="BE245" s="266"/>
      <c r="BF245" s="266"/>
      <c r="BG245" s="266"/>
      <c r="BH245" s="266"/>
      <c r="BI245" s="266"/>
      <c r="BJ245" s="266"/>
      <c r="BK245" s="266"/>
      <c r="BL245" s="266"/>
      <c r="BM245" s="266"/>
      <c r="BN245" s="266"/>
      <c r="BO245" s="266"/>
      <c r="BP245" s="266"/>
      <c r="BQ245" s="266"/>
      <c r="BR245" s="266"/>
      <c r="BS245" s="266"/>
      <c r="BT245" s="266"/>
      <c r="BU245" s="266"/>
      <c r="BV245" s="266"/>
      <c r="BW245" s="266"/>
      <c r="BX245" s="266"/>
      <c r="BY245" s="266"/>
      <c r="BZ245" s="266"/>
      <c r="CA245" s="266"/>
      <c r="CB245" s="508"/>
      <c r="CC245" s="508"/>
      <c r="CD245" s="508"/>
      <c r="CE245" s="508"/>
      <c r="CF245" s="508"/>
      <c r="CG245" s="508"/>
      <c r="CH245" s="508"/>
      <c r="CI245" s="508"/>
      <c r="CJ245" s="508"/>
      <c r="CK245" s="508"/>
      <c r="CL245" s="508"/>
      <c r="CM245" s="266"/>
      <c r="CN245" s="508"/>
      <c r="CO245" s="508"/>
      <c r="CP245" s="508"/>
      <c r="CQ245" s="508"/>
      <c r="CR245" s="508"/>
      <c r="CS245" s="508"/>
      <c r="CT245" s="508"/>
      <c r="CU245" s="508"/>
      <c r="CV245" s="508"/>
      <c r="CW245" s="508"/>
      <c r="CX245" s="508"/>
      <c r="CY245" s="508"/>
      <c r="CZ245" s="508"/>
      <c r="DA245" s="508"/>
      <c r="DB245" s="508"/>
      <c r="DC245" s="508"/>
      <c r="DD245" s="589"/>
      <c r="DE245" s="508"/>
      <c r="DF245" s="508"/>
      <c r="DG245" s="508"/>
      <c r="DH245" s="508"/>
      <c r="DI245" s="508"/>
      <c r="DJ245" s="508"/>
      <c r="DK245" s="589"/>
      <c r="DL245" s="509"/>
      <c r="DM245" s="508"/>
      <c r="DN245" s="508"/>
      <c r="DO245" s="508"/>
      <c r="DP245" s="508"/>
      <c r="DQ245" s="508"/>
      <c r="DR245" s="589"/>
      <c r="DS245" s="508"/>
      <c r="DT245" s="508"/>
      <c r="DU245" s="508"/>
      <c r="DV245" s="508"/>
      <c r="DW245" s="508"/>
      <c r="DX245" s="508"/>
      <c r="DY245" s="589"/>
      <c r="DZ245" s="508"/>
      <c r="EA245" s="508"/>
      <c r="EB245" s="508"/>
      <c r="EC245" s="508"/>
      <c r="ED245" s="508"/>
      <c r="EE245" s="508"/>
      <c r="EF245" s="589"/>
      <c r="EG245" s="508"/>
      <c r="EH245" s="508"/>
      <c r="EI245" s="508"/>
      <c r="EJ245" s="508"/>
      <c r="EK245" s="508"/>
      <c r="EL245" s="508"/>
      <c r="EM245" s="589"/>
      <c r="EN245" s="508"/>
      <c r="EO245" s="508"/>
      <c r="EP245" s="508"/>
      <c r="EQ245" s="509"/>
      <c r="ER245" s="508"/>
      <c r="ES245" s="508"/>
      <c r="ET245" s="589"/>
      <c r="EU245" s="508"/>
      <c r="EV245" s="508"/>
      <c r="EW245" s="508"/>
      <c r="EX245" s="508"/>
      <c r="EY245" s="508"/>
      <c r="EZ245" s="508"/>
      <c r="FA245" s="589"/>
      <c r="FB245" s="508"/>
      <c r="FC245" s="508"/>
      <c r="FD245" s="508"/>
      <c r="FE245" s="508"/>
      <c r="FF245" s="508"/>
      <c r="FG245" s="508"/>
      <c r="FH245" s="589"/>
      <c r="FI245" s="508"/>
      <c r="FJ245" s="508"/>
      <c r="FK245" s="508"/>
      <c r="FL245" s="508"/>
      <c r="FM245" s="508"/>
      <c r="FN245" s="508"/>
      <c r="FO245" s="589"/>
      <c r="FP245" s="508"/>
      <c r="FQ245" s="508"/>
      <c r="FR245" s="508"/>
      <c r="FS245" s="508"/>
      <c r="FT245" s="508"/>
      <c r="FU245" s="508"/>
      <c r="FV245" s="589"/>
      <c r="FW245" s="268"/>
      <c r="FX245" s="268"/>
      <c r="FY245" s="268"/>
      <c r="FZ245" s="268"/>
      <c r="GA245" s="268"/>
      <c r="GB245"/>
      <c r="GC245"/>
      <c r="GD245"/>
      <c r="GE245"/>
      <c r="GF245"/>
      <c r="GG245"/>
      <c r="GH245" s="268"/>
      <c r="GI245" s="268"/>
      <c r="GJ245" s="268"/>
      <c r="GK245" s="268"/>
      <c r="GL245" s="268"/>
      <c r="GM245" s="268"/>
      <c r="GN245" s="268"/>
      <c r="GO245" s="268"/>
      <c r="GP245" s="268"/>
      <c r="GQ245" s="268"/>
      <c r="GR245" s="268"/>
      <c r="GS245" s="268"/>
      <c r="GT245" s="268"/>
      <c r="GU245" s="268"/>
      <c r="GV245" s="268"/>
      <c r="GW245" s="268"/>
      <c r="GX245" s="268"/>
      <c r="GY245" s="268"/>
      <c r="GZ245" s="268"/>
      <c r="HA245" s="268"/>
      <c r="HB245" s="268"/>
      <c r="HC245" s="268"/>
      <c r="HD245" s="268"/>
      <c r="HE245" s="268"/>
      <c r="HF245" s="268"/>
      <c r="HG245" s="268"/>
      <c r="HH245" s="268"/>
      <c r="HI245" s="268"/>
      <c r="HJ245" s="268"/>
      <c r="HK245" s="268"/>
      <c r="HL245" s="268"/>
      <c r="HM245" s="268"/>
      <c r="HN245" s="268"/>
      <c r="HO245" s="268"/>
      <c r="HP245" s="268"/>
      <c r="HQ245" s="268"/>
      <c r="HR245" s="268"/>
      <c r="HS245" s="268"/>
      <c r="HT245" s="268"/>
      <c r="HU245" s="268"/>
      <c r="HV245" s="268"/>
      <c r="HW245" s="268"/>
      <c r="HX245" s="268"/>
      <c r="HY245" s="268"/>
      <c r="HZ245" s="268"/>
      <c r="IA245" s="268"/>
      <c r="IB245" s="268"/>
      <c r="IC245" s="268"/>
      <c r="ID245" s="268"/>
      <c r="IE245" s="268"/>
      <c r="IF245" s="268"/>
      <c r="IG245" s="268"/>
      <c r="IH245" s="268"/>
      <c r="II245" s="268"/>
      <c r="IJ245" s="268"/>
      <c r="IK245" s="268"/>
      <c r="IL245" s="268"/>
      <c r="IM245" s="268"/>
      <c r="IN245" s="268"/>
      <c r="IO245" s="268"/>
      <c r="IP245" s="268"/>
      <c r="IQ245" s="268"/>
      <c r="IR245" s="268"/>
      <c r="IS245" s="268"/>
      <c r="IT245" s="268"/>
      <c r="IU245" s="268"/>
      <c r="IV245" s="268"/>
      <c r="IW245" s="268"/>
      <c r="IX245" s="268"/>
      <c r="IY245" s="268"/>
      <c r="IZ245" s="268"/>
      <c r="JA245" s="268"/>
      <c r="JB245" s="268"/>
      <c r="JC245" s="268"/>
      <c r="JD245" s="268"/>
      <c r="JE245" s="268"/>
      <c r="JF245" s="268"/>
      <c r="JG245" s="268"/>
      <c r="JH245" s="268"/>
      <c r="JI245" s="268"/>
      <c r="JJ245" s="268"/>
      <c r="JK245" s="268"/>
      <c r="JL245" s="268"/>
      <c r="JM245" s="268"/>
      <c r="JN245" s="268"/>
      <c r="JO245" s="268"/>
      <c r="JP245" s="268"/>
      <c r="JQ245" s="268"/>
      <c r="JR245" s="268"/>
      <c r="JS245" s="268"/>
      <c r="JT245" s="268"/>
    </row>
    <row r="246" spans="1:280" outlineLevel="1" x14ac:dyDescent="0.3">
      <c r="B246" s="279" t="s">
        <v>578</v>
      </c>
      <c r="C246" s="280" t="s">
        <v>579</v>
      </c>
      <c r="D246" s="281"/>
      <c r="E246" s="281"/>
      <c r="K246" s="281">
        <f>J249</f>
        <v>463.306511</v>
      </c>
      <c r="L246" s="281">
        <f>K249</f>
        <v>463.32601099999999</v>
      </c>
      <c r="M246" s="281">
        <f>J249</f>
        <v>463.306511</v>
      </c>
      <c r="N246" s="281">
        <f>M249</f>
        <v>463.73544500000003</v>
      </c>
      <c r="O246" s="281">
        <f>N249</f>
        <v>466.63352900000001</v>
      </c>
      <c r="P246" s="281">
        <f>M249</f>
        <v>463.73544500000003</v>
      </c>
      <c r="Q246" s="281">
        <f>J249</f>
        <v>463.306511</v>
      </c>
      <c r="R246" s="281">
        <f>Q249</f>
        <v>467.295391</v>
      </c>
      <c r="S246" s="281">
        <f>R249</f>
        <v>467.69575099999997</v>
      </c>
      <c r="T246" s="281">
        <f>Q249</f>
        <v>467.295391</v>
      </c>
      <c r="U246" s="281">
        <f>T249</f>
        <v>467.701751</v>
      </c>
      <c r="V246" s="281">
        <f>U249</f>
        <v>434.33415200000002</v>
      </c>
      <c r="W246" s="281">
        <f>T249</f>
        <v>467.701751</v>
      </c>
      <c r="X246" s="281">
        <f>Q249</f>
        <v>467.295391</v>
      </c>
      <c r="Y246" s="281">
        <f>X249</f>
        <v>432.21466800000002</v>
      </c>
      <c r="Z246" s="281">
        <f>Y249</f>
        <v>432.23966799999999</v>
      </c>
      <c r="AA246" s="281">
        <f>X249</f>
        <v>432.21466800000002</v>
      </c>
      <c r="AB246" s="281">
        <f>AA249</f>
        <v>432.23966799999999</v>
      </c>
      <c r="AC246" s="281">
        <f>AB249</f>
        <v>432.23966799999999</v>
      </c>
      <c r="AD246" s="281">
        <f>AA249</f>
        <v>432.23966799999999</v>
      </c>
      <c r="AE246" s="281">
        <f>X249</f>
        <v>432.21466800000002</v>
      </c>
      <c r="AF246" s="281">
        <f>AE249</f>
        <v>432.26371999999998</v>
      </c>
      <c r="AG246" s="281">
        <f>AF249</f>
        <v>432.26371999999998</v>
      </c>
      <c r="AH246" s="281">
        <f>AE249</f>
        <v>432.26371999999998</v>
      </c>
      <c r="AI246" s="281">
        <f>AH249</f>
        <v>432.88476000000003</v>
      </c>
      <c r="AJ246" s="281">
        <f>AI249</f>
        <v>434.40047399999997</v>
      </c>
      <c r="AK246" s="281">
        <f>AH249</f>
        <v>432.88476000000003</v>
      </c>
      <c r="AL246" s="281">
        <f>AE249</f>
        <v>432.26371999999998</v>
      </c>
      <c r="AM246" s="281">
        <f>AL249</f>
        <v>434.524879</v>
      </c>
      <c r="AN246" s="281">
        <f>AM249</f>
        <v>435.43878999999998</v>
      </c>
      <c r="AO246" s="281">
        <f>AL249</f>
        <v>434.524879</v>
      </c>
      <c r="AP246" s="281">
        <f>AO249</f>
        <v>435.726268</v>
      </c>
      <c r="AQ246" s="281">
        <f>AP249</f>
        <v>435.726268</v>
      </c>
      <c r="AR246" s="281">
        <f>AO249</f>
        <v>435.726268</v>
      </c>
      <c r="AS246" s="281">
        <f>AL249</f>
        <v>434.524879</v>
      </c>
      <c r="AT246" s="281">
        <f>AS249</f>
        <v>435.726268</v>
      </c>
      <c r="AU246" s="281">
        <f>AT249</f>
        <v>434.52626800000002</v>
      </c>
      <c r="AV246" s="281">
        <f>AS249</f>
        <v>435.726268</v>
      </c>
      <c r="AW246" s="281">
        <f>AV249</f>
        <v>433.32626800000003</v>
      </c>
      <c r="AX246" s="281">
        <f>AW249</f>
        <v>433.69119175000003</v>
      </c>
      <c r="AY246" s="281">
        <f>AV249</f>
        <v>433.32626800000003</v>
      </c>
      <c r="AZ246" s="281">
        <f>AS249</f>
        <v>435.726268</v>
      </c>
      <c r="BA246" s="281">
        <f>AZ249</f>
        <v>437.18596300000002</v>
      </c>
      <c r="BB246" s="281">
        <f>BA249</f>
        <v>437.9</v>
      </c>
      <c r="BC246" s="281">
        <f>AZ249</f>
        <v>437.18596300000002</v>
      </c>
      <c r="BD246" s="281">
        <f>BC249</f>
        <v>439.54277500000001</v>
      </c>
      <c r="BE246" s="281">
        <f>BD249</f>
        <v>440.91772700000001</v>
      </c>
      <c r="BF246" s="281">
        <f>BC249</f>
        <v>439.54277500000001</v>
      </c>
      <c r="BG246" s="281">
        <f>AZ249</f>
        <v>437.18596300000002</v>
      </c>
      <c r="BH246" s="281">
        <f>BG249</f>
        <v>441.64448399999998</v>
      </c>
      <c r="BI246" s="281">
        <f>BH249</f>
        <v>442.09154699999999</v>
      </c>
      <c r="BJ246" s="281">
        <f>BG249</f>
        <v>441.64448399999998</v>
      </c>
      <c r="BK246" s="281">
        <f>BJ249</f>
        <v>442.2</v>
      </c>
      <c r="BL246" s="281">
        <f>BK249</f>
        <v>442.2</v>
      </c>
      <c r="BM246" s="281">
        <f>BJ249</f>
        <v>442.2</v>
      </c>
      <c r="BN246" s="281">
        <f>BG249</f>
        <v>441.64448399999998</v>
      </c>
      <c r="BO246" s="281">
        <f>BN249</f>
        <v>442.6</v>
      </c>
      <c r="BP246" s="281">
        <f>BO249</f>
        <v>442.6</v>
      </c>
      <c r="BQ246" s="281">
        <f>BN249</f>
        <v>442.6</v>
      </c>
      <c r="BR246" s="281">
        <f>BQ249</f>
        <v>444.93299999999999</v>
      </c>
      <c r="BS246" s="281">
        <f>BR249</f>
        <v>445</v>
      </c>
      <c r="BT246" s="281">
        <f>BQ249</f>
        <v>444.93299999999999</v>
      </c>
      <c r="BU246" s="281">
        <f>BN249</f>
        <v>442.6</v>
      </c>
      <c r="BV246" s="281">
        <f>BV250</f>
        <v>445.7</v>
      </c>
      <c r="BW246" s="289">
        <v>445.83373599999999</v>
      </c>
      <c r="BX246" s="281">
        <f>BU249</f>
        <v>442.6</v>
      </c>
      <c r="BY246" s="281">
        <f>BX249</f>
        <v>440.6</v>
      </c>
      <c r="BZ246" s="281">
        <f>BY249</f>
        <v>445.3</v>
      </c>
      <c r="CA246" s="281">
        <f>BX249</f>
        <v>440.6</v>
      </c>
      <c r="CB246" s="281">
        <f>BU249</f>
        <v>442.6</v>
      </c>
      <c r="CC246" s="281">
        <f>CB249</f>
        <v>445.3</v>
      </c>
      <c r="CD246" s="281">
        <f>CD249-CD247</f>
        <v>446.70912600000003</v>
      </c>
      <c r="CE246" s="281">
        <f>CB249</f>
        <v>445.3</v>
      </c>
      <c r="CF246" s="281">
        <f>CE249</f>
        <v>440.609126</v>
      </c>
      <c r="CG246" s="281">
        <f>CF249</f>
        <v>440.84147899999999</v>
      </c>
      <c r="CH246" s="281">
        <f>CE249</f>
        <v>440.609126</v>
      </c>
      <c r="CI246" s="281">
        <f>CB249</f>
        <v>445.3</v>
      </c>
      <c r="CJ246" s="281">
        <f>CI249</f>
        <v>440.84327500000001</v>
      </c>
      <c r="CK246" s="281">
        <f>CJ249</f>
        <v>440.87131699999998</v>
      </c>
      <c r="CL246" s="281">
        <f>CI249</f>
        <v>440.84327500000001</v>
      </c>
      <c r="CM246" s="281">
        <f>CL249</f>
        <v>440.84327500000001</v>
      </c>
      <c r="CN246" s="281">
        <f>CM249</f>
        <v>441.3</v>
      </c>
      <c r="CO246" s="281">
        <f>CL249</f>
        <v>440.84327500000001</v>
      </c>
      <c r="CP246" s="320">
        <f>CI249</f>
        <v>440.84327500000001</v>
      </c>
      <c r="CQ246" s="320">
        <f>CP249</f>
        <v>441.52411799999999</v>
      </c>
      <c r="CR246" s="320">
        <f>CQ249</f>
        <v>441.52411799999999</v>
      </c>
      <c r="CS246" s="320">
        <f>CR249</f>
        <v>441.52411799999999</v>
      </c>
      <c r="CT246" s="320">
        <f>CS249</f>
        <v>441.52411799999999</v>
      </c>
      <c r="CU246" s="320">
        <f>CT249</f>
        <v>442.1</v>
      </c>
      <c r="CV246" s="320">
        <f>CS249</f>
        <v>441.52411799999999</v>
      </c>
      <c r="CW246" s="320">
        <f>CP249</f>
        <v>441.52411799999999</v>
      </c>
      <c r="CX246" s="320">
        <f>CW249</f>
        <v>442.26990499999999</v>
      </c>
      <c r="CY246" s="320">
        <f>CX249</f>
        <v>442.27033399999999</v>
      </c>
      <c r="CZ246" s="320">
        <f>CW249</f>
        <v>442.26990499999999</v>
      </c>
      <c r="DA246" s="320">
        <f>CZ249</f>
        <v>442.26990499999999</v>
      </c>
      <c r="DB246" s="320">
        <f>DA249</f>
        <v>443.000471</v>
      </c>
      <c r="DC246" s="320">
        <f>CZ249</f>
        <v>442.26990499999999</v>
      </c>
      <c r="DD246" s="583">
        <f>CW249</f>
        <v>442.26990499999999</v>
      </c>
      <c r="DE246" s="320">
        <f>DD249</f>
        <v>443.14474000000001</v>
      </c>
      <c r="DF246" s="320">
        <f>DE249</f>
        <v>443.14474000000001</v>
      </c>
      <c r="DG246" s="320">
        <f>DD249</f>
        <v>443.14474000000001</v>
      </c>
      <c r="DH246" s="320">
        <f>DG249</f>
        <v>443.14474000000001</v>
      </c>
      <c r="DI246" s="320">
        <f>DH249</f>
        <v>444.16748899999999</v>
      </c>
      <c r="DJ246" s="320">
        <f>DG249</f>
        <v>443.14474000000001</v>
      </c>
      <c r="DK246" s="583">
        <f>DD249</f>
        <v>443.14474000000001</v>
      </c>
      <c r="DL246" s="344">
        <f>DK249</f>
        <v>444.28887400000002</v>
      </c>
      <c r="DM246" s="320">
        <f>DL249</f>
        <v>444.366491</v>
      </c>
      <c r="DN246" s="320">
        <f>DK249</f>
        <v>444.28887400000002</v>
      </c>
      <c r="DO246" s="320">
        <f>DN249</f>
        <v>445.12745999999999</v>
      </c>
      <c r="DP246" s="320">
        <f>DO249</f>
        <v>445.34376200000003</v>
      </c>
      <c r="DQ246" s="320">
        <f>DN249</f>
        <v>445.12745999999999</v>
      </c>
      <c r="DR246" s="583">
        <f>DK249</f>
        <v>444.28887400000002</v>
      </c>
      <c r="DS246" s="320">
        <f>DR249</f>
        <v>445.34893299999999</v>
      </c>
      <c r="DT246" s="320">
        <f>DS249</f>
        <v>444.366491</v>
      </c>
      <c r="DU246" s="320">
        <f>DR249</f>
        <v>445.34893299999999</v>
      </c>
      <c r="DV246" s="320">
        <f>DU249</f>
        <v>445.56006400000001</v>
      </c>
      <c r="DW246" s="320">
        <f>DV249</f>
        <v>446.34376200000003</v>
      </c>
      <c r="DX246" s="320">
        <f>DU249</f>
        <v>445.56006400000001</v>
      </c>
      <c r="DY246" s="583">
        <f>DR249</f>
        <v>445.34893299999999</v>
      </c>
      <c r="DZ246" s="320">
        <f>DY249</f>
        <v>442.05629599999997</v>
      </c>
      <c r="EA246" s="320">
        <f>DZ249</f>
        <v>445.366491</v>
      </c>
      <c r="EB246" s="320">
        <f>DY249</f>
        <v>442.05629599999997</v>
      </c>
      <c r="EC246" s="320">
        <f>EB249</f>
        <v>440.7</v>
      </c>
      <c r="ED246" s="320">
        <f>EC249</f>
        <v>435.68675400000001</v>
      </c>
      <c r="EE246" s="320">
        <f>EB249</f>
        <v>440.7</v>
      </c>
      <c r="EF246" s="583">
        <f>DY249</f>
        <v>442.05629599999997</v>
      </c>
      <c r="EG246" s="320">
        <f>EF249</f>
        <v>433.78463399999998</v>
      </c>
      <c r="EH246" s="320">
        <f>EG249</f>
        <v>431.42949700000003</v>
      </c>
      <c r="EI246" s="320">
        <f>EF249</f>
        <v>433.78463399999998</v>
      </c>
      <c r="EJ246" s="320">
        <f>EI249</f>
        <v>432</v>
      </c>
      <c r="EK246" s="320">
        <f>EJ249</f>
        <v>429.78709900000001</v>
      </c>
      <c r="EL246" s="320">
        <f>EI249</f>
        <v>432</v>
      </c>
      <c r="EM246" s="583">
        <f>EF249</f>
        <v>433.78463399999998</v>
      </c>
      <c r="EN246" s="320">
        <f>EM249</f>
        <v>429.818781</v>
      </c>
      <c r="EO246" s="320">
        <f>EN249</f>
        <v>429.818781</v>
      </c>
      <c r="EP246" s="320">
        <f>EM249</f>
        <v>429.818781</v>
      </c>
      <c r="EQ246" s="344">
        <f>EP249</f>
        <v>579.18575899999996</v>
      </c>
      <c r="ER246" s="320">
        <f>EQ249</f>
        <v>579.88325399999997</v>
      </c>
      <c r="ES246" s="320">
        <f>EP249</f>
        <v>579.18575899999996</v>
      </c>
      <c r="ET246" s="583">
        <f>EM249</f>
        <v>429.818781</v>
      </c>
      <c r="EU246" s="320">
        <f>ET249</f>
        <v>579.88325399999997</v>
      </c>
      <c r="EV246" s="320">
        <f>EU249</f>
        <v>579.88325399999997</v>
      </c>
      <c r="EW246" s="320">
        <f>ET249</f>
        <v>579.88325399999997</v>
      </c>
      <c r="EX246" s="320">
        <f>EW249</f>
        <v>579.88325399999997</v>
      </c>
      <c r="EY246" s="320">
        <f>EX249</f>
        <v>579.88325399999997</v>
      </c>
      <c r="EZ246" s="320">
        <f>EW249</f>
        <v>579.88325399999997</v>
      </c>
      <c r="FA246" s="583">
        <f>ET249</f>
        <v>579.88325399999997</v>
      </c>
      <c r="FB246" s="320">
        <f>FA249</f>
        <v>579.88325399999997</v>
      </c>
      <c r="FC246" s="320">
        <f>FB249</f>
        <v>579.88325399999997</v>
      </c>
      <c r="FD246" s="320">
        <f>FA249</f>
        <v>579.88325399999997</v>
      </c>
      <c r="FE246" s="320">
        <f>FD249</f>
        <v>579.88325399999997</v>
      </c>
      <c r="FF246" s="320">
        <f>FE249</f>
        <v>579.88325399999997</v>
      </c>
      <c r="FG246" s="320">
        <f>FD249</f>
        <v>579.88325399999997</v>
      </c>
      <c r="FH246" s="583">
        <f>FA249</f>
        <v>579.88325399999997</v>
      </c>
      <c r="FI246" s="320">
        <f>FH249</f>
        <v>579.88325399999997</v>
      </c>
      <c r="FJ246" s="320">
        <f>FI249</f>
        <v>579.88325399999997</v>
      </c>
      <c r="FK246" s="320">
        <f>FH249</f>
        <v>579.88325399999997</v>
      </c>
      <c r="FL246" s="320">
        <f>FK249</f>
        <v>579.88325399999997</v>
      </c>
      <c r="FM246" s="320">
        <f>FL249</f>
        <v>579.88325399999997</v>
      </c>
      <c r="FN246" s="320">
        <f>FK249</f>
        <v>579.88325399999997</v>
      </c>
      <c r="FO246" s="583">
        <f>FH249</f>
        <v>579.88325399999997</v>
      </c>
      <c r="FP246" s="320">
        <f>FO249</f>
        <v>579.88325399999997</v>
      </c>
      <c r="FQ246" s="320">
        <f>FP249</f>
        <v>579.88325399999997</v>
      </c>
      <c r="FR246" s="320">
        <f>FO249</f>
        <v>579.88325399999997</v>
      </c>
      <c r="FS246" s="320">
        <f>FR249</f>
        <v>579.88325399999997</v>
      </c>
      <c r="FT246" s="320">
        <f>FS249</f>
        <v>579.88325399999997</v>
      </c>
      <c r="FU246" s="320">
        <f>FR249</f>
        <v>579.88325399999997</v>
      </c>
      <c r="FV246" s="583">
        <f>FO249</f>
        <v>579.88325399999997</v>
      </c>
    </row>
    <row r="247" spans="1:280" outlineLevel="1" x14ac:dyDescent="0.3">
      <c r="B247" s="279" t="s">
        <v>580</v>
      </c>
      <c r="C247" s="280" t="s">
        <v>579</v>
      </c>
      <c r="AM247" s="251"/>
      <c r="AN247" s="251"/>
      <c r="AT247" s="251">
        <f>AU247</f>
        <v>-1.2</v>
      </c>
      <c r="AU247" s="251">
        <f>AV247/2</f>
        <v>-1.2</v>
      </c>
      <c r="AV247" s="289">
        <v>-2.4</v>
      </c>
      <c r="AW247" s="281">
        <f>AX247</f>
        <v>0.36492375000000266</v>
      </c>
      <c r="AX247" s="281">
        <f>AY247/2</f>
        <v>0.36492375000000266</v>
      </c>
      <c r="AY247" s="281">
        <f>AZ247/2</f>
        <v>0.72984750000000531</v>
      </c>
      <c r="AZ247" s="281">
        <f>+AZ249-AZ246</f>
        <v>1.4596950000000106</v>
      </c>
      <c r="BA247" s="281">
        <f>+BA249-BA246</f>
        <v>0.71403699999996206</v>
      </c>
      <c r="BB247" s="281">
        <f>+BB249-BB246</f>
        <v>1.6427750000000287</v>
      </c>
      <c r="BC247" s="281">
        <f>+BB247+BA247</f>
        <v>2.3568119999999908</v>
      </c>
      <c r="BD247" s="281">
        <f>+BD249-BD246</f>
        <v>1.3749520000000075</v>
      </c>
      <c r="BE247" s="281">
        <f>+BF247-BD247</f>
        <v>0.72675699999996368</v>
      </c>
      <c r="BF247" s="281">
        <f>+BG247-BC247</f>
        <v>2.1017089999999712</v>
      </c>
      <c r="BG247" s="281">
        <f>+BG249-BG246</f>
        <v>4.458520999999962</v>
      </c>
      <c r="BH247" s="281">
        <f>+BH249-BH246</f>
        <v>0.4470630000000142</v>
      </c>
      <c r="BI247" s="281">
        <f>+BI249-BI246</f>
        <v>0.10845299999999725</v>
      </c>
      <c r="BJ247" s="281">
        <f>+BI247+BH247</f>
        <v>0.55551600000001145</v>
      </c>
      <c r="BL247" s="281">
        <f>BN247-BK247-BJ247</f>
        <v>2.4444839999999886</v>
      </c>
      <c r="BM247" s="281">
        <f>BL247+BK247</f>
        <v>2.4444839999999886</v>
      </c>
      <c r="BN247" s="289">
        <v>3</v>
      </c>
      <c r="BO247" s="289">
        <v>0</v>
      </c>
      <c r="BP247" s="281">
        <f>+BP249-BP246</f>
        <v>2.33299999999997</v>
      </c>
      <c r="BQ247" s="281">
        <f>+BQ249-BQ246</f>
        <v>2.33299999999997</v>
      </c>
      <c r="BW247" s="288">
        <v>-2</v>
      </c>
      <c r="BX247" s="250">
        <f>BW247+BV247</f>
        <v>-2</v>
      </c>
      <c r="BY247" s="281"/>
      <c r="CA247" s="281">
        <f>BZ247+BY247</f>
        <v>0</v>
      </c>
      <c r="CB247" s="281">
        <f>CA247+BX247</f>
        <v>-2</v>
      </c>
      <c r="CC247" s="281"/>
      <c r="CD247" s="289">
        <v>-6.1</v>
      </c>
      <c r="CE247" s="281">
        <f>CD247+CC247</f>
        <v>-6.1</v>
      </c>
      <c r="CF247" s="281"/>
      <c r="CG247" s="281"/>
      <c r="CH247" s="281">
        <f>CG247+CF247</f>
        <v>0</v>
      </c>
      <c r="CI247" s="281">
        <f>CH247+CE247</f>
        <v>-6.1</v>
      </c>
      <c r="CJ247" s="281">
        <f>CJ249-CJ246</f>
        <v>2.8041999999970812E-2</v>
      </c>
      <c r="CM247" s="281">
        <f>CM249-CM246</f>
        <v>0.45672500000000582</v>
      </c>
      <c r="CN247" s="281">
        <f>CN249-CN246</f>
        <v>0.22411799999997584</v>
      </c>
      <c r="CO247" s="281">
        <f>CN247+CM247</f>
        <v>0.68084299999998166</v>
      </c>
      <c r="CP247" s="320">
        <f>CO247+CL247</f>
        <v>0.68084299999998166</v>
      </c>
      <c r="CQ247" s="320"/>
      <c r="CR247" s="320"/>
      <c r="CS247" s="320">
        <f>CS249-CS246</f>
        <v>0</v>
      </c>
      <c r="CT247" s="320">
        <v>1</v>
      </c>
      <c r="CU247" s="320"/>
      <c r="CV247" s="320"/>
      <c r="CW247" s="320"/>
      <c r="CX247" s="320"/>
      <c r="CY247" s="320"/>
      <c r="CZ247" s="320"/>
      <c r="DA247" s="320"/>
      <c r="DB247" s="320"/>
      <c r="DC247" s="320"/>
      <c r="DD247" s="583"/>
      <c r="DE247" s="320"/>
      <c r="DF247" s="320"/>
      <c r="DG247" s="320"/>
      <c r="DH247" s="320"/>
      <c r="DI247" s="320"/>
      <c r="DJ247" s="320"/>
      <c r="DK247" s="583"/>
      <c r="DL247" s="344"/>
      <c r="DM247" s="320"/>
      <c r="DN247" s="320"/>
      <c r="DO247" s="320"/>
      <c r="DP247" s="320"/>
      <c r="DQ247" s="320"/>
      <c r="DR247" s="583"/>
      <c r="DS247" s="320"/>
      <c r="DT247" s="320"/>
      <c r="DU247" s="320"/>
      <c r="DV247" s="320"/>
      <c r="DW247" s="320"/>
      <c r="DX247" s="320"/>
      <c r="DY247" s="583"/>
      <c r="DZ247" s="340">
        <v>-2</v>
      </c>
      <c r="EA247" s="320"/>
      <c r="EB247" s="320">
        <f t="shared" ref="EB247:EG247" si="919">EB249-EB246</f>
        <v>-1.3562959999999862</v>
      </c>
      <c r="EC247" s="320">
        <f t="shared" si="919"/>
        <v>-5.013245999999981</v>
      </c>
      <c r="ED247" s="320">
        <f t="shared" si="919"/>
        <v>-1.9021200000000249</v>
      </c>
      <c r="EE247" s="320">
        <f t="shared" si="919"/>
        <v>-6.9153660000000059</v>
      </c>
      <c r="EF247" s="583">
        <f t="shared" si="919"/>
        <v>-8.2716619999999921</v>
      </c>
      <c r="EG247" s="320">
        <f t="shared" si="919"/>
        <v>-2.3551369999999565</v>
      </c>
      <c r="EH247" s="320"/>
      <c r="EI247" s="320">
        <f>EI249-EI246</f>
        <v>-1.7846339999999827</v>
      </c>
      <c r="EJ247" s="320">
        <f>EJ249-EJ246</f>
        <v>-2.212900999999988</v>
      </c>
      <c r="EK247" s="320">
        <f>EK249-EK246</f>
        <v>3.168199999998933E-2</v>
      </c>
      <c r="EL247" s="320">
        <f>EL249-EL246</f>
        <v>-2.1812189999999987</v>
      </c>
      <c r="EM247" s="583">
        <f>EM249-EM246</f>
        <v>-3.9658529999999814</v>
      </c>
      <c r="EN247" s="320">
        <f t="shared" ref="EN247" si="920">EN249-EN246</f>
        <v>0</v>
      </c>
      <c r="EO247" s="320"/>
      <c r="EP247" s="320">
        <f>EP249-EP246</f>
        <v>149.36697799999996</v>
      </c>
      <c r="EQ247" s="344">
        <f t="shared" ref="EQ247" si="921">EQ249-EQ246</f>
        <v>0.69749500000000353</v>
      </c>
      <c r="ER247" s="555">
        <f>ER253</f>
        <v>0</v>
      </c>
      <c r="ES247" s="320">
        <f>ER247+EQ247</f>
        <v>0.69749500000000353</v>
      </c>
      <c r="ET247" s="583">
        <f>ES247+EP247</f>
        <v>150.06447299999996</v>
      </c>
      <c r="EU247" s="555">
        <f>EU253</f>
        <v>0</v>
      </c>
      <c r="EV247" s="555">
        <f>EV253</f>
        <v>0</v>
      </c>
      <c r="EW247" s="320">
        <f>EV247+EU247</f>
        <v>0</v>
      </c>
      <c r="EX247" s="555">
        <f>EX253</f>
        <v>0</v>
      </c>
      <c r="EY247" s="555">
        <f>EY253</f>
        <v>0</v>
      </c>
      <c r="EZ247" s="320">
        <f>EY247+EX247</f>
        <v>0</v>
      </c>
      <c r="FA247" s="583">
        <f>EZ247+EW247</f>
        <v>0</v>
      </c>
      <c r="FB247" s="555">
        <f>FB253</f>
        <v>0</v>
      </c>
      <c r="FC247" s="555">
        <f>FC253</f>
        <v>0</v>
      </c>
      <c r="FD247" s="320">
        <f>FC247+FB247</f>
        <v>0</v>
      </c>
      <c r="FE247" s="555">
        <f>FE253</f>
        <v>0</v>
      </c>
      <c r="FF247" s="555">
        <f>FF253</f>
        <v>0</v>
      </c>
      <c r="FG247" s="320">
        <f>FF247+FE247</f>
        <v>0</v>
      </c>
      <c r="FH247" s="583">
        <f>FG247+FD247</f>
        <v>0</v>
      </c>
      <c r="FI247" s="555">
        <f>FI253</f>
        <v>0</v>
      </c>
      <c r="FJ247" s="555">
        <f>FJ253</f>
        <v>0</v>
      </c>
      <c r="FK247" s="320">
        <f>FJ247+FI247</f>
        <v>0</v>
      </c>
      <c r="FL247" s="555">
        <f>FL253</f>
        <v>0</v>
      </c>
      <c r="FM247" s="555">
        <f>FM253</f>
        <v>0</v>
      </c>
      <c r="FN247" s="320">
        <f>FM247+FL247</f>
        <v>0</v>
      </c>
      <c r="FO247" s="583">
        <f>FN247+FK247</f>
        <v>0</v>
      </c>
      <c r="FP247" s="555">
        <f>FP253</f>
        <v>0</v>
      </c>
      <c r="FQ247" s="555">
        <f>FQ253</f>
        <v>0</v>
      </c>
      <c r="FR247" s="320">
        <f>FQ247+FP247</f>
        <v>0</v>
      </c>
      <c r="FS247" s="555">
        <f>FS253</f>
        <v>0</v>
      </c>
      <c r="FT247" s="555">
        <f>FT253</f>
        <v>0</v>
      </c>
      <c r="FU247" s="320">
        <f>FT247+FS247</f>
        <v>0</v>
      </c>
      <c r="FV247" s="583">
        <f>FU247+FR247</f>
        <v>0</v>
      </c>
    </row>
    <row r="248" spans="1:280" outlineLevel="1" x14ac:dyDescent="0.3">
      <c r="B248" s="279" t="s">
        <v>581</v>
      </c>
      <c r="C248" s="280" t="s">
        <v>579</v>
      </c>
      <c r="BY248" s="281">
        <f>BY250-BY246</f>
        <v>4.6999999999999886</v>
      </c>
      <c r="CA248" s="281">
        <f>BZ248+BY248</f>
        <v>4.6999999999999886</v>
      </c>
      <c r="CB248" s="281">
        <f>CA248+BX248</f>
        <v>4.6999999999999886</v>
      </c>
      <c r="CE248" s="281">
        <f>CD248+CC248</f>
        <v>0</v>
      </c>
      <c r="CH248" s="281">
        <f>CG248+CF248</f>
        <v>0</v>
      </c>
      <c r="CI248" s="281">
        <f>CH248+CE248</f>
        <v>0</v>
      </c>
      <c r="CP248" s="320"/>
      <c r="CQ248" s="320"/>
      <c r="CR248" s="320"/>
      <c r="CS248" s="320"/>
      <c r="CT248" s="320"/>
      <c r="CU248" s="320"/>
      <c r="CV248" s="320"/>
      <c r="CW248" s="320"/>
      <c r="CX248" s="320"/>
      <c r="CY248" s="320"/>
      <c r="CZ248" s="320"/>
      <c r="DA248" s="320"/>
      <c r="DB248" s="320"/>
      <c r="DC248" s="320"/>
      <c r="DD248" s="583"/>
      <c r="DE248" s="320"/>
      <c r="DF248" s="320"/>
      <c r="DG248" s="320"/>
      <c r="DH248" s="320"/>
      <c r="DI248" s="320"/>
      <c r="DJ248" s="320"/>
      <c r="DK248" s="583"/>
      <c r="DL248" s="344"/>
      <c r="DM248" s="320"/>
      <c r="DN248" s="320"/>
      <c r="DO248" s="320"/>
      <c r="DP248" s="320"/>
      <c r="DQ248" s="320"/>
      <c r="DR248" s="583"/>
      <c r="DS248" s="320"/>
      <c r="DT248" s="320"/>
      <c r="DU248" s="320"/>
      <c r="DV248" s="320"/>
      <c r="DW248" s="320"/>
      <c r="DX248" s="320"/>
      <c r="DY248" s="583"/>
      <c r="DZ248" s="320">
        <f>DZ249-DZ246-DZ247</f>
        <v>5.3101950000000215</v>
      </c>
      <c r="EA248" s="320"/>
      <c r="EB248" s="320"/>
      <c r="EC248" s="320"/>
      <c r="ED248" s="320"/>
      <c r="EE248" s="320"/>
      <c r="EF248" s="583"/>
      <c r="EG248" s="320">
        <f>EG249-EG246-EG247</f>
        <v>0</v>
      </c>
      <c r="EH248" s="320"/>
      <c r="EI248" s="320"/>
      <c r="EJ248" s="320"/>
      <c r="EK248" s="320"/>
      <c r="EL248" s="320"/>
      <c r="EM248" s="583"/>
      <c r="EN248" s="320">
        <f>EN249-EN246-EN247</f>
        <v>0</v>
      </c>
      <c r="EO248" s="320"/>
      <c r="EP248" s="320"/>
      <c r="EQ248" s="344">
        <f>EQ249-EQ246-EQ247</f>
        <v>0</v>
      </c>
      <c r="ER248" s="320"/>
      <c r="ES248" s="320"/>
      <c r="ET248" s="583"/>
      <c r="EU248" s="320"/>
      <c r="EV248" s="320"/>
      <c r="EW248" s="320"/>
      <c r="EX248" s="320"/>
      <c r="EY248" s="320"/>
      <c r="EZ248" s="320"/>
      <c r="FA248" s="583"/>
      <c r="FB248" s="320"/>
      <c r="FC248" s="320"/>
      <c r="FD248" s="320"/>
      <c r="FE248" s="320"/>
      <c r="FF248" s="320"/>
      <c r="FG248" s="320"/>
      <c r="FH248" s="583"/>
      <c r="FI248" s="320"/>
      <c r="FJ248" s="320"/>
      <c r="FK248" s="320"/>
      <c r="FL248" s="320"/>
      <c r="FM248" s="320"/>
      <c r="FN248" s="320"/>
      <c r="FO248" s="583"/>
      <c r="FP248" s="320"/>
      <c r="FQ248" s="320"/>
      <c r="FR248" s="320"/>
      <c r="FS248" s="320"/>
      <c r="FT248" s="320"/>
      <c r="FU248" s="320"/>
      <c r="FV248" s="583"/>
    </row>
    <row r="249" spans="1:280" outlineLevel="1" x14ac:dyDescent="0.3">
      <c r="B249" s="418" t="s">
        <v>582</v>
      </c>
      <c r="C249" s="419" t="s">
        <v>579</v>
      </c>
      <c r="D249" s="420">
        <v>461.02158800000001</v>
      </c>
      <c r="E249" s="383">
        <f>F249</f>
        <v>462.10161299999999</v>
      </c>
      <c r="F249" s="420">
        <v>462.10161299999999</v>
      </c>
      <c r="G249" s="420">
        <v>462.20234299999998</v>
      </c>
      <c r="H249" s="383">
        <f t="shared" ref="H249:I251" si="922">I249</f>
        <v>463.306511</v>
      </c>
      <c r="I249" s="383">
        <f t="shared" si="922"/>
        <v>463.306511</v>
      </c>
      <c r="J249" s="420">
        <v>463.306511</v>
      </c>
      <c r="K249" s="420">
        <v>463.32601099999999</v>
      </c>
      <c r="L249" s="383">
        <f>M249</f>
        <v>463.73544500000003</v>
      </c>
      <c r="M249" s="420">
        <v>463.73544500000003</v>
      </c>
      <c r="N249" s="420">
        <v>466.63352900000001</v>
      </c>
      <c r="O249" s="383">
        <f t="shared" ref="O249:P251" si="923">P249</f>
        <v>467.295391</v>
      </c>
      <c r="P249" s="383">
        <f t="shared" si="923"/>
        <v>467.295391</v>
      </c>
      <c r="Q249" s="420">
        <v>467.295391</v>
      </c>
      <c r="R249" s="420">
        <v>467.69575099999997</v>
      </c>
      <c r="S249" s="383">
        <f>T249</f>
        <v>467.701751</v>
      </c>
      <c r="T249" s="420">
        <v>467.701751</v>
      </c>
      <c r="U249" s="420">
        <v>434.33415200000002</v>
      </c>
      <c r="V249" s="383">
        <f t="shared" ref="V249:W251" si="924">W249</f>
        <v>432.21466800000002</v>
      </c>
      <c r="W249" s="383">
        <f t="shared" si="924"/>
        <v>432.21466800000002</v>
      </c>
      <c r="X249" s="420">
        <v>432.21466800000002</v>
      </c>
      <c r="Y249" s="420">
        <v>432.23966799999999</v>
      </c>
      <c r="Z249" s="383">
        <f>AA249</f>
        <v>432.23966799999999</v>
      </c>
      <c r="AA249" s="420">
        <v>432.23966799999999</v>
      </c>
      <c r="AB249" s="420">
        <v>432.23966799999999</v>
      </c>
      <c r="AC249" s="383">
        <f t="shared" ref="AC249:AD251" si="925">AD249</f>
        <v>432.26371999999998</v>
      </c>
      <c r="AD249" s="383">
        <f t="shared" si="925"/>
        <v>432.26371999999998</v>
      </c>
      <c r="AE249" s="420">
        <v>432.26371999999998</v>
      </c>
      <c r="AF249" s="420">
        <v>432.26371999999998</v>
      </c>
      <c r="AG249" s="383">
        <f>AH249</f>
        <v>432.88476000000003</v>
      </c>
      <c r="AH249" s="420">
        <v>432.88476000000003</v>
      </c>
      <c r="AI249" s="420">
        <v>434.40047399999997</v>
      </c>
      <c r="AJ249" s="383">
        <f t="shared" ref="AJ249:AK251" si="926">AK249</f>
        <v>434.524879</v>
      </c>
      <c r="AK249" s="383">
        <f t="shared" si="926"/>
        <v>434.524879</v>
      </c>
      <c r="AL249" s="420">
        <v>434.524879</v>
      </c>
      <c r="AM249" s="420">
        <v>435.43878999999998</v>
      </c>
      <c r="AN249" s="383">
        <f>AO249</f>
        <v>435.726268</v>
      </c>
      <c r="AO249" s="420">
        <v>435.726268</v>
      </c>
      <c r="AP249" s="383">
        <f>SUM(AP246:AP248)</f>
        <v>435.726268</v>
      </c>
      <c r="AQ249" s="383">
        <f>SUM(AQ246:AQ248)</f>
        <v>435.726268</v>
      </c>
      <c r="AR249" s="383">
        <f>AS249</f>
        <v>435.726268</v>
      </c>
      <c r="AS249" s="383">
        <f>AQ249</f>
        <v>435.726268</v>
      </c>
      <c r="AT249" s="383">
        <f>SUM(AT246:AT248)</f>
        <v>434.52626800000002</v>
      </c>
      <c r="AU249" s="383">
        <f>SUM(AU246:AU248)</f>
        <v>433.32626800000003</v>
      </c>
      <c r="AV249" s="383">
        <f>SUM(AV246:AV248)</f>
        <v>433.32626800000003</v>
      </c>
      <c r="AW249" s="383">
        <f>SUM(AW246:AW248)</f>
        <v>433.69119175000003</v>
      </c>
      <c r="AX249" s="383">
        <f>SUM(AX246:AX248)</f>
        <v>434.05611550000003</v>
      </c>
      <c r="AY249" s="383">
        <f>AZ249</f>
        <v>437.18596300000002</v>
      </c>
      <c r="AZ249" s="420">
        <v>437.18596300000002</v>
      </c>
      <c r="BA249" s="420">
        <v>437.9</v>
      </c>
      <c r="BB249" s="383">
        <f>+BC249</f>
        <v>439.54277500000001</v>
      </c>
      <c r="BC249" s="420">
        <v>439.54277500000001</v>
      </c>
      <c r="BD249" s="420">
        <v>440.91772700000001</v>
      </c>
      <c r="BE249" s="383">
        <f>+BF249</f>
        <v>441.64448399999998</v>
      </c>
      <c r="BF249" s="383">
        <f>+BG249</f>
        <v>441.64448399999998</v>
      </c>
      <c r="BG249" s="420">
        <v>441.64448399999998</v>
      </c>
      <c r="BH249" s="420">
        <v>442.09154699999999</v>
      </c>
      <c r="BI249" s="420">
        <v>442.2</v>
      </c>
      <c r="BJ249" s="383">
        <f>SUM(BJ246:BJ248)</f>
        <v>442.2</v>
      </c>
      <c r="BK249" s="383">
        <f>SUM(BK246:BK248)</f>
        <v>442.2</v>
      </c>
      <c r="BL249" s="383">
        <f>BM249</f>
        <v>442.6</v>
      </c>
      <c r="BM249" s="383">
        <f>BN249</f>
        <v>442.6</v>
      </c>
      <c r="BN249" s="420">
        <v>442.6</v>
      </c>
      <c r="BO249" s="383">
        <f>SUM(BO246:BO248)</f>
        <v>442.6</v>
      </c>
      <c r="BP249" s="420">
        <v>444.93299999999999</v>
      </c>
      <c r="BQ249" s="383">
        <f>+BP249</f>
        <v>444.93299999999999</v>
      </c>
      <c r="BR249" s="420">
        <v>445</v>
      </c>
      <c r="BS249" s="383">
        <f>SUM(BS246:BS248)</f>
        <v>445</v>
      </c>
      <c r="BT249" s="383">
        <f>BU249</f>
        <v>442.6</v>
      </c>
      <c r="BU249" s="383">
        <f>SUM(BU246:BU248)</f>
        <v>442.6</v>
      </c>
      <c r="BV249" s="383">
        <f>SUM(BV246:BV248)</f>
        <v>445.7</v>
      </c>
      <c r="BW249" s="383">
        <f>SUM(BW246:BW248)</f>
        <v>443.83373599999999</v>
      </c>
      <c r="BX249" s="383">
        <f>SUM(BX246:BX248)</f>
        <v>440.6</v>
      </c>
      <c r="BY249" s="383">
        <f>SUM(BY246:BY248)</f>
        <v>445.3</v>
      </c>
      <c r="BZ249" s="420">
        <v>445.3</v>
      </c>
      <c r="CA249" s="383">
        <f>BZ249</f>
        <v>445.3</v>
      </c>
      <c r="CB249" s="383">
        <f>CA249</f>
        <v>445.3</v>
      </c>
      <c r="CC249" s="383">
        <f>SUM(CC246:CC248)</f>
        <v>445.3</v>
      </c>
      <c r="CD249" s="420">
        <v>440.609126</v>
      </c>
      <c r="CE249" s="383">
        <f>CD249</f>
        <v>440.609126</v>
      </c>
      <c r="CF249" s="420">
        <v>440.84147899999999</v>
      </c>
      <c r="CG249" s="420">
        <v>440.84327500000001</v>
      </c>
      <c r="CH249" s="383">
        <f>CG249</f>
        <v>440.84327500000001</v>
      </c>
      <c r="CI249" s="383">
        <f>CH249</f>
        <v>440.84327500000001</v>
      </c>
      <c r="CJ249" s="420">
        <v>440.87131699999998</v>
      </c>
      <c r="CK249" s="420">
        <v>440.9</v>
      </c>
      <c r="CL249" s="383">
        <f>SUM(CL246:CL248)</f>
        <v>440.84327500000001</v>
      </c>
      <c r="CM249" s="420">
        <v>441.3</v>
      </c>
      <c r="CN249" s="420">
        <v>441.52411799999999</v>
      </c>
      <c r="CO249" s="383">
        <f>CN249</f>
        <v>441.52411799999999</v>
      </c>
      <c r="CP249" s="384">
        <f>CO249</f>
        <v>441.52411799999999</v>
      </c>
      <c r="CQ249" s="510">
        <v>441.52411799999999</v>
      </c>
      <c r="CR249" s="384">
        <f>SUM(CR246:CR248)</f>
        <v>441.52411799999999</v>
      </c>
      <c r="CS249" s="384">
        <v>441.52411799999999</v>
      </c>
      <c r="CT249" s="510">
        <v>442.1</v>
      </c>
      <c r="CU249" s="510">
        <v>442.26990499999999</v>
      </c>
      <c r="CV249" s="384">
        <f>CU249</f>
        <v>442.26990499999999</v>
      </c>
      <c r="CW249" s="384">
        <f>CV249</f>
        <v>442.26990499999999</v>
      </c>
      <c r="CX249" s="511">
        <v>442.27033399999999</v>
      </c>
      <c r="CY249" s="510">
        <v>442.66972700000002</v>
      </c>
      <c r="CZ249" s="384">
        <f>SUM(CZ246:CZ248)</f>
        <v>442.26990499999999</v>
      </c>
      <c r="DA249" s="510">
        <v>443.000471</v>
      </c>
      <c r="DB249" s="510">
        <v>443.14474000000001</v>
      </c>
      <c r="DC249" s="384">
        <f>DB249</f>
        <v>443.14474000000001</v>
      </c>
      <c r="DD249" s="678">
        <f>DC249</f>
        <v>443.14474000000001</v>
      </c>
      <c r="DE249" s="384">
        <f>SUM(DE246:DE248)</f>
        <v>443.14474000000001</v>
      </c>
      <c r="DF249" s="384">
        <f>SUM(DF246:DF248)</f>
        <v>443.14474000000001</v>
      </c>
      <c r="DG249" s="384">
        <f>SUM(DG246:DG248)</f>
        <v>443.14474000000001</v>
      </c>
      <c r="DH249" s="510">
        <v>444.16748899999999</v>
      </c>
      <c r="DI249" s="384">
        <f>+DK249</f>
        <v>444.28887400000002</v>
      </c>
      <c r="DJ249" s="384">
        <f>+DK249</f>
        <v>444.28887400000002</v>
      </c>
      <c r="DK249" s="678">
        <v>444.28887400000002</v>
      </c>
      <c r="DL249" s="512">
        <v>444.366491</v>
      </c>
      <c r="DM249" s="384">
        <f>+DN249</f>
        <v>445.12745999999999</v>
      </c>
      <c r="DN249" s="384">
        <v>445.12745999999999</v>
      </c>
      <c r="DO249" s="384">
        <v>445.34376200000003</v>
      </c>
      <c r="DP249" s="384">
        <f>+DR249</f>
        <v>445.34893299999999</v>
      </c>
      <c r="DQ249" s="384">
        <f>+DR249</f>
        <v>445.34893299999999</v>
      </c>
      <c r="DR249" s="678">
        <v>445.34893299999999</v>
      </c>
      <c r="DS249" s="384">
        <v>444.366491</v>
      </c>
      <c r="DT249" s="384">
        <f>+DU249</f>
        <v>445.56006400000001</v>
      </c>
      <c r="DU249" s="510">
        <v>445.56006400000001</v>
      </c>
      <c r="DV249" s="366">
        <v>446.34376200000003</v>
      </c>
      <c r="DW249" s="384">
        <f>+DY249</f>
        <v>442.05629599999997</v>
      </c>
      <c r="DX249" s="384">
        <f>+DY249</f>
        <v>442.05629599999997</v>
      </c>
      <c r="DY249" s="678">
        <v>442.05629599999997</v>
      </c>
      <c r="DZ249" s="510">
        <v>445.366491</v>
      </c>
      <c r="EA249" s="384">
        <f>+EB249</f>
        <v>440.7</v>
      </c>
      <c r="EB249" s="510">
        <v>440.7</v>
      </c>
      <c r="EC249" s="510">
        <v>435.68675400000001</v>
      </c>
      <c r="ED249" s="384">
        <f>+EF249</f>
        <v>433.78463399999998</v>
      </c>
      <c r="EE249" s="384">
        <f>+EF249</f>
        <v>433.78463399999998</v>
      </c>
      <c r="EF249" s="678">
        <v>433.78463399999998</v>
      </c>
      <c r="EG249" s="510">
        <v>431.42949700000003</v>
      </c>
      <c r="EH249" s="384">
        <f>+EI249</f>
        <v>432</v>
      </c>
      <c r="EI249" s="510">
        <v>432</v>
      </c>
      <c r="EJ249" s="510">
        <v>429.78709900000001</v>
      </c>
      <c r="EK249" s="384">
        <f>+EM249</f>
        <v>429.818781</v>
      </c>
      <c r="EL249" s="384">
        <f>+EM249</f>
        <v>429.818781</v>
      </c>
      <c r="EM249" s="678">
        <v>429.818781</v>
      </c>
      <c r="EN249" s="510">
        <v>429.818781</v>
      </c>
      <c r="EO249" s="384">
        <f>+EP249</f>
        <v>579.18575899999996</v>
      </c>
      <c r="EP249" s="510">
        <v>579.18575899999996</v>
      </c>
      <c r="EQ249" s="570">
        <v>579.88325399999997</v>
      </c>
      <c r="ER249" s="384">
        <f>SUM(ER246:ER248)</f>
        <v>579.88325399999997</v>
      </c>
      <c r="ES249" s="384">
        <f>ET249</f>
        <v>579.88325399999997</v>
      </c>
      <c r="ET249" s="598">
        <f t="shared" ref="ET249:EY249" si="927">SUM(ET246:ET248)</f>
        <v>579.88325399999997</v>
      </c>
      <c r="EU249" s="384">
        <f t="shared" si="927"/>
        <v>579.88325399999997</v>
      </c>
      <c r="EV249" s="384">
        <f t="shared" si="927"/>
        <v>579.88325399999997</v>
      </c>
      <c r="EW249" s="384">
        <f t="shared" si="927"/>
        <v>579.88325399999997</v>
      </c>
      <c r="EX249" s="384">
        <f t="shared" si="927"/>
        <v>579.88325399999997</v>
      </c>
      <c r="EY249" s="384">
        <f t="shared" si="927"/>
        <v>579.88325399999997</v>
      </c>
      <c r="EZ249" s="384">
        <f>FA249</f>
        <v>579.88325399999997</v>
      </c>
      <c r="FA249" s="598">
        <f t="shared" ref="FA249:FF249" si="928">SUM(FA246:FA248)</f>
        <v>579.88325399999997</v>
      </c>
      <c r="FB249" s="384">
        <f t="shared" si="928"/>
        <v>579.88325399999997</v>
      </c>
      <c r="FC249" s="384">
        <f t="shared" si="928"/>
        <v>579.88325399999997</v>
      </c>
      <c r="FD249" s="384">
        <f t="shared" si="928"/>
        <v>579.88325399999997</v>
      </c>
      <c r="FE249" s="384">
        <f t="shared" si="928"/>
        <v>579.88325399999997</v>
      </c>
      <c r="FF249" s="384">
        <f t="shared" si="928"/>
        <v>579.88325399999997</v>
      </c>
      <c r="FG249" s="384">
        <f>FH249</f>
        <v>579.88325399999997</v>
      </c>
      <c r="FH249" s="598">
        <f t="shared" ref="FH249:FM249" si="929">SUM(FH246:FH248)</f>
        <v>579.88325399999997</v>
      </c>
      <c r="FI249" s="384">
        <f t="shared" si="929"/>
        <v>579.88325399999997</v>
      </c>
      <c r="FJ249" s="384">
        <f t="shared" si="929"/>
        <v>579.88325399999997</v>
      </c>
      <c r="FK249" s="384">
        <f t="shared" si="929"/>
        <v>579.88325399999997</v>
      </c>
      <c r="FL249" s="384">
        <f t="shared" si="929"/>
        <v>579.88325399999997</v>
      </c>
      <c r="FM249" s="384">
        <f t="shared" si="929"/>
        <v>579.88325399999997</v>
      </c>
      <c r="FN249" s="384">
        <f>FO249</f>
        <v>579.88325399999997</v>
      </c>
      <c r="FO249" s="598">
        <f t="shared" ref="FO249:FT249" si="930">SUM(FO246:FO248)</f>
        <v>579.88325399999997</v>
      </c>
      <c r="FP249" s="384">
        <f t="shared" si="930"/>
        <v>579.88325399999997</v>
      </c>
      <c r="FQ249" s="384">
        <f t="shared" si="930"/>
        <v>579.88325399999997</v>
      </c>
      <c r="FR249" s="384">
        <f t="shared" si="930"/>
        <v>579.88325399999997</v>
      </c>
      <c r="FS249" s="384">
        <f t="shared" si="930"/>
        <v>579.88325399999997</v>
      </c>
      <c r="FT249" s="384">
        <f t="shared" si="930"/>
        <v>579.88325399999997</v>
      </c>
      <c r="FU249" s="384">
        <f>FV249</f>
        <v>579.88325399999997</v>
      </c>
      <c r="FV249" s="598">
        <f>SUM(FV246:FV248)</f>
        <v>579.88325399999997</v>
      </c>
    </row>
    <row r="250" spans="1:280" outlineLevel="1" x14ac:dyDescent="0.3">
      <c r="B250" s="279" t="s">
        <v>583</v>
      </c>
      <c r="C250" s="280" t="s">
        <v>579</v>
      </c>
      <c r="D250" s="289">
        <v>460.6</v>
      </c>
      <c r="E250" s="289">
        <v>461.4</v>
      </c>
      <c r="F250" s="289">
        <v>461</v>
      </c>
      <c r="G250" s="289">
        <v>462.1</v>
      </c>
      <c r="H250" s="281">
        <f t="shared" si="922"/>
        <v>461.7</v>
      </c>
      <c r="I250" s="281">
        <f t="shared" si="922"/>
        <v>461.7</v>
      </c>
      <c r="J250" s="289">
        <v>461.7</v>
      </c>
      <c r="K250" s="289">
        <v>463.3</v>
      </c>
      <c r="L250" s="289">
        <v>463.4</v>
      </c>
      <c r="M250" s="289">
        <v>463.4</v>
      </c>
      <c r="N250" s="289">
        <v>464.7</v>
      </c>
      <c r="O250" s="281">
        <f t="shared" si="923"/>
        <v>464.6</v>
      </c>
      <c r="P250" s="281">
        <f t="shared" si="923"/>
        <v>464.6</v>
      </c>
      <c r="Q250" s="289">
        <v>464.6</v>
      </c>
      <c r="R250" s="289">
        <v>467.4</v>
      </c>
      <c r="S250" s="289">
        <v>467.2</v>
      </c>
      <c r="T250" s="289">
        <v>467.3</v>
      </c>
      <c r="U250" s="289">
        <v>451.3</v>
      </c>
      <c r="V250" s="281">
        <f t="shared" si="924"/>
        <v>455</v>
      </c>
      <c r="W250" s="281">
        <f t="shared" si="924"/>
        <v>455</v>
      </c>
      <c r="X250" s="289">
        <v>455</v>
      </c>
      <c r="Y250" s="289">
        <v>432.2</v>
      </c>
      <c r="Z250" s="289">
        <v>432.2</v>
      </c>
      <c r="AA250" s="289">
        <v>432.2</v>
      </c>
      <c r="AB250" s="289">
        <v>432.2</v>
      </c>
      <c r="AC250" s="281">
        <f t="shared" si="925"/>
        <v>432.3</v>
      </c>
      <c r="AD250" s="281">
        <f t="shared" si="925"/>
        <v>432.3</v>
      </c>
      <c r="AE250" s="289">
        <v>432.3</v>
      </c>
      <c r="AF250" s="289">
        <v>432.3</v>
      </c>
      <c r="AG250" s="289">
        <v>432.5</v>
      </c>
      <c r="AH250" s="289">
        <v>432.4</v>
      </c>
      <c r="AI250" s="289">
        <v>433.3</v>
      </c>
      <c r="AJ250" s="281">
        <f t="shared" si="926"/>
        <v>433.1</v>
      </c>
      <c r="AK250" s="281">
        <f t="shared" si="926"/>
        <v>433.1</v>
      </c>
      <c r="AL250" s="289">
        <v>433.1</v>
      </c>
      <c r="AM250" s="289">
        <v>434.7</v>
      </c>
      <c r="AN250" s="289">
        <v>435.5</v>
      </c>
      <c r="AO250" s="289">
        <v>435.1</v>
      </c>
      <c r="AP250" s="289">
        <v>435.8</v>
      </c>
      <c r="AQ250" s="289">
        <v>437.7</v>
      </c>
      <c r="AR250" s="281">
        <f>AVERAGE(AP250:AQ250)</f>
        <v>436.75</v>
      </c>
      <c r="AS250" s="289">
        <v>437.5</v>
      </c>
      <c r="AT250" s="289">
        <v>436.7</v>
      </c>
      <c r="AU250" s="289">
        <v>437.1</v>
      </c>
      <c r="AV250" s="289">
        <v>436.9</v>
      </c>
      <c r="AW250" s="289">
        <v>435</v>
      </c>
      <c r="AX250" s="281">
        <f>(AX249+AX$246)/2</f>
        <v>433.87365362500003</v>
      </c>
      <c r="AY250" s="281">
        <f>AZ250</f>
        <v>436.2</v>
      </c>
      <c r="AZ250" s="289">
        <v>436.2</v>
      </c>
      <c r="BA250" s="289">
        <v>437.4</v>
      </c>
      <c r="BB250" s="289">
        <v>438.4</v>
      </c>
      <c r="BC250" s="289">
        <v>437.9</v>
      </c>
      <c r="BD250" s="289">
        <v>440</v>
      </c>
      <c r="BE250" s="281">
        <f>(BE249+BE$246)/2</f>
        <v>441.28110549999997</v>
      </c>
      <c r="BF250" s="281">
        <f>BG250</f>
        <v>439.41522350000002</v>
      </c>
      <c r="BG250" s="281">
        <f t="shared" ref="BG250:BL250" si="931">(BG249+BG$246)/2</f>
        <v>439.41522350000002</v>
      </c>
      <c r="BH250" s="281">
        <f t="shared" si="931"/>
        <v>441.86801549999996</v>
      </c>
      <c r="BI250" s="289">
        <v>442.2</v>
      </c>
      <c r="BJ250" s="289">
        <v>441.9</v>
      </c>
      <c r="BK250" s="289">
        <v>442.9</v>
      </c>
      <c r="BL250" s="281">
        <f t="shared" si="931"/>
        <v>442.4</v>
      </c>
      <c r="BM250" s="281">
        <f>BN250</f>
        <v>442.6</v>
      </c>
      <c r="BN250" s="281">
        <f>BN249</f>
        <v>442.6</v>
      </c>
      <c r="BO250" s="289">
        <v>444.7</v>
      </c>
      <c r="BP250" s="289">
        <v>444.9</v>
      </c>
      <c r="BQ250" s="289">
        <v>444.8</v>
      </c>
      <c r="BR250" s="289">
        <v>445</v>
      </c>
      <c r="BS250" s="281">
        <f>(BS249+BS$246)/2</f>
        <v>445</v>
      </c>
      <c r="BT250" s="281">
        <f>BU250</f>
        <v>442.6</v>
      </c>
      <c r="BU250" s="281">
        <f t="shared" ref="BU250:BZ250" si="932">(BU249+BU$246)/2</f>
        <v>442.6</v>
      </c>
      <c r="BV250" s="289">
        <f>445.7</f>
        <v>445.7</v>
      </c>
      <c r="BW250" s="289">
        <v>444.5</v>
      </c>
      <c r="BX250" s="281">
        <f t="shared" si="932"/>
        <v>441.6</v>
      </c>
      <c r="BY250" s="289">
        <v>445.3</v>
      </c>
      <c r="BZ250" s="281">
        <f t="shared" si="932"/>
        <v>445.3</v>
      </c>
      <c r="CA250" s="281">
        <f>CB250</f>
        <v>443.95000000000005</v>
      </c>
      <c r="CB250" s="281">
        <f t="shared" ref="CB250:CG250" si="933">(CB249+CB$246)/2</f>
        <v>443.95000000000005</v>
      </c>
      <c r="CC250" s="289">
        <v>445.6</v>
      </c>
      <c r="CD250" s="289">
        <v>443.6</v>
      </c>
      <c r="CE250" s="281">
        <f t="shared" si="933"/>
        <v>442.95456300000001</v>
      </c>
      <c r="CF250" s="289">
        <v>440.7</v>
      </c>
      <c r="CG250" s="281">
        <f t="shared" si="933"/>
        <v>440.842377</v>
      </c>
      <c r="CH250" s="281">
        <f>CI250</f>
        <v>442.7</v>
      </c>
      <c r="CI250" s="289">
        <v>442.7</v>
      </c>
      <c r="CJ250" s="289">
        <f>440.9</f>
        <v>440.9</v>
      </c>
      <c r="CK250" s="289">
        <v>440.9</v>
      </c>
      <c r="CL250" s="281">
        <f>(CL249+CL$246)/2</f>
        <v>440.84327500000001</v>
      </c>
      <c r="CM250" s="289">
        <v>441.3</v>
      </c>
      <c r="CN250" s="281">
        <f>(CN249+CN$246)/2</f>
        <v>441.412059</v>
      </c>
      <c r="CO250" s="281">
        <f>CP250</f>
        <v>441.2</v>
      </c>
      <c r="CP250" s="340">
        <v>441.2</v>
      </c>
      <c r="CQ250" s="340">
        <v>441.52411799999999</v>
      </c>
      <c r="CR250" s="340">
        <v>441.52411799999999</v>
      </c>
      <c r="CS250" s="320">
        <f>(CS249+CS$246)/2</f>
        <v>441.52411799999999</v>
      </c>
      <c r="CT250" s="340">
        <v>442.1</v>
      </c>
      <c r="CU250" s="320">
        <f>(CU249+CU$246)/2</f>
        <v>442.18495250000001</v>
      </c>
      <c r="CV250" s="320">
        <f>CW250</f>
        <v>441.9</v>
      </c>
      <c r="CW250" s="340">
        <v>441.9</v>
      </c>
      <c r="CX250" s="342">
        <v>442.3</v>
      </c>
      <c r="CY250" s="340">
        <v>442.3</v>
      </c>
      <c r="CZ250" s="340">
        <f>(CZ249+CZ$246)/2</f>
        <v>442.26990499999999</v>
      </c>
      <c r="DA250" s="340">
        <v>442.8</v>
      </c>
      <c r="DB250" s="320">
        <f>(DB249+DB$246)/2</f>
        <v>443.07260550000001</v>
      </c>
      <c r="DC250" s="320">
        <f>DD250</f>
        <v>442.6</v>
      </c>
      <c r="DD250" s="585">
        <v>442.6</v>
      </c>
      <c r="DE250" s="340">
        <v>443.1</v>
      </c>
      <c r="DF250" s="340">
        <v>443.4</v>
      </c>
      <c r="DG250" s="340">
        <f>(DG249+DG$246)/2</f>
        <v>443.14474000000001</v>
      </c>
      <c r="DH250" s="340">
        <v>444</v>
      </c>
      <c r="DI250" s="320">
        <f>+DK250</f>
        <v>443.7</v>
      </c>
      <c r="DJ250" s="320">
        <f>+DK250</f>
        <v>443.7</v>
      </c>
      <c r="DK250" s="585">
        <v>443.7</v>
      </c>
      <c r="DL250" s="343">
        <v>444.3</v>
      </c>
      <c r="DM250" s="320">
        <f>+DN250</f>
        <v>444.7</v>
      </c>
      <c r="DN250" s="340">
        <v>444.7</v>
      </c>
      <c r="DO250" s="340">
        <v>445.2</v>
      </c>
      <c r="DP250" s="320">
        <f>+DR250</f>
        <v>444.9</v>
      </c>
      <c r="DQ250" s="320">
        <f>+DR250</f>
        <v>444.9</v>
      </c>
      <c r="DR250" s="585">
        <v>444.9</v>
      </c>
      <c r="DS250" s="340">
        <v>445.4</v>
      </c>
      <c r="DT250" s="320">
        <f>+DU250</f>
        <v>445.5</v>
      </c>
      <c r="DU250" s="340">
        <v>445.5</v>
      </c>
      <c r="DV250" s="340">
        <v>445.4</v>
      </c>
      <c r="DW250" s="320">
        <f>+DY250</f>
        <v>445.1</v>
      </c>
      <c r="DX250" s="320">
        <f>+DY250</f>
        <v>445.1</v>
      </c>
      <c r="DY250" s="585">
        <v>445.1</v>
      </c>
      <c r="DZ250" s="340">
        <v>441.8</v>
      </c>
      <c r="EA250" s="320">
        <f>+EB250</f>
        <v>440.7</v>
      </c>
      <c r="EB250" s="340">
        <v>440.7</v>
      </c>
      <c r="EC250" s="340">
        <v>437</v>
      </c>
      <c r="ED250" s="320">
        <f>+EF250</f>
        <v>438.4</v>
      </c>
      <c r="EE250" s="320">
        <f>+EF250</f>
        <v>438.4</v>
      </c>
      <c r="EF250" s="585">
        <v>438.4</v>
      </c>
      <c r="EG250" s="340">
        <v>433.1</v>
      </c>
      <c r="EH250" s="320">
        <f>+EI250</f>
        <v>432</v>
      </c>
      <c r="EI250" s="340">
        <v>432</v>
      </c>
      <c r="EJ250" s="340">
        <v>429.5</v>
      </c>
      <c r="EK250" s="320">
        <f>+EM250</f>
        <v>430.8</v>
      </c>
      <c r="EL250" s="320">
        <f>+EM250</f>
        <v>430.8</v>
      </c>
      <c r="EM250" s="585">
        <v>430.8</v>
      </c>
      <c r="EN250" s="340">
        <v>429.9</v>
      </c>
      <c r="EO250" s="320">
        <f>+EP250</f>
        <v>577.4</v>
      </c>
      <c r="EP250" s="340">
        <v>577.4</v>
      </c>
      <c r="EQ250" s="343">
        <v>579.4</v>
      </c>
      <c r="ER250" s="320">
        <f>(ER249+ER$246)/2</f>
        <v>579.88325399999997</v>
      </c>
      <c r="ES250" s="320">
        <f>ET250</f>
        <v>544.64581349999992</v>
      </c>
      <c r="ET250" s="583">
        <f>AVERAGE(EN250,EO250,EQ250,ER250)+3</f>
        <v>544.64581349999992</v>
      </c>
      <c r="EU250" s="320">
        <f t="shared" ref="EU250:EY250" si="934">(EU249+EU$246)/2</f>
        <v>579.88325399999997</v>
      </c>
      <c r="EV250" s="320">
        <f t="shared" si="934"/>
        <v>579.88325399999997</v>
      </c>
      <c r="EW250" s="320">
        <f t="shared" si="934"/>
        <v>579.88325399999997</v>
      </c>
      <c r="EX250" s="320">
        <f t="shared" si="934"/>
        <v>579.88325399999997</v>
      </c>
      <c r="EY250" s="320">
        <f t="shared" si="934"/>
        <v>579.88325399999997</v>
      </c>
      <c r="EZ250" s="320">
        <f>FA250</f>
        <v>579.88325399999997</v>
      </c>
      <c r="FA250" s="583">
        <f t="shared" ref="FA250:FF250" si="935">(FA249+FA$246)/2</f>
        <v>579.88325399999997</v>
      </c>
      <c r="FB250" s="320">
        <f t="shared" si="935"/>
        <v>579.88325399999997</v>
      </c>
      <c r="FC250" s="320">
        <f t="shared" si="935"/>
        <v>579.88325399999997</v>
      </c>
      <c r="FD250" s="320">
        <f t="shared" si="935"/>
        <v>579.88325399999997</v>
      </c>
      <c r="FE250" s="320">
        <f t="shared" si="935"/>
        <v>579.88325399999997</v>
      </c>
      <c r="FF250" s="320">
        <f t="shared" si="935"/>
        <v>579.88325399999997</v>
      </c>
      <c r="FG250" s="320">
        <f>FH250</f>
        <v>579.88325399999997</v>
      </c>
      <c r="FH250" s="583">
        <f t="shared" ref="FH250:FM250" si="936">(FH249+FH$246)/2</f>
        <v>579.88325399999997</v>
      </c>
      <c r="FI250" s="320">
        <f t="shared" si="936"/>
        <v>579.88325399999997</v>
      </c>
      <c r="FJ250" s="320">
        <f t="shared" si="936"/>
        <v>579.88325399999997</v>
      </c>
      <c r="FK250" s="320">
        <f t="shared" si="936"/>
        <v>579.88325399999997</v>
      </c>
      <c r="FL250" s="320">
        <f t="shared" si="936"/>
        <v>579.88325399999997</v>
      </c>
      <c r="FM250" s="320">
        <f t="shared" si="936"/>
        <v>579.88325399999997</v>
      </c>
      <c r="FN250" s="320">
        <f>FO250</f>
        <v>579.88325399999997</v>
      </c>
      <c r="FO250" s="583">
        <f t="shared" ref="FO250:FT250" si="937">(FO249+FO$246)/2</f>
        <v>579.88325399999997</v>
      </c>
      <c r="FP250" s="320">
        <f t="shared" si="937"/>
        <v>579.88325399999997</v>
      </c>
      <c r="FQ250" s="320">
        <f t="shared" si="937"/>
        <v>579.88325399999997</v>
      </c>
      <c r="FR250" s="320">
        <f t="shared" si="937"/>
        <v>579.88325399999997</v>
      </c>
      <c r="FS250" s="320">
        <f t="shared" si="937"/>
        <v>579.88325399999997</v>
      </c>
      <c r="FT250" s="320">
        <f t="shared" si="937"/>
        <v>579.88325399999997</v>
      </c>
      <c r="FU250" s="320">
        <f>FV250</f>
        <v>579.88325399999997</v>
      </c>
      <c r="FV250" s="583">
        <f>(FV249+FV$246)/2</f>
        <v>579.88325399999997</v>
      </c>
    </row>
    <row r="251" spans="1:280" outlineLevel="1" x14ac:dyDescent="0.3">
      <c r="B251" s="279" t="s">
        <v>584</v>
      </c>
      <c r="C251" s="280" t="s">
        <v>579</v>
      </c>
      <c r="D251" s="289">
        <v>462.7</v>
      </c>
      <c r="E251" s="289">
        <v>466.8</v>
      </c>
      <c r="F251" s="289">
        <v>465</v>
      </c>
      <c r="G251" s="289">
        <v>466.8</v>
      </c>
      <c r="H251" s="281">
        <f t="shared" si="922"/>
        <v>461.7</v>
      </c>
      <c r="I251" s="281">
        <f t="shared" si="922"/>
        <v>461.7</v>
      </c>
      <c r="J251" s="289">
        <v>461.7</v>
      </c>
      <c r="K251" s="289">
        <v>466.9</v>
      </c>
      <c r="L251" s="289">
        <v>465.1</v>
      </c>
      <c r="M251" s="289">
        <v>466</v>
      </c>
      <c r="N251" s="289">
        <v>464.7</v>
      </c>
      <c r="O251" s="281">
        <f t="shared" si="923"/>
        <v>466.4</v>
      </c>
      <c r="P251" s="281">
        <f t="shared" si="923"/>
        <v>466.4</v>
      </c>
      <c r="Q251" s="289">
        <v>466.4</v>
      </c>
      <c r="R251" s="289">
        <v>469.4</v>
      </c>
      <c r="S251" s="289">
        <v>468.3</v>
      </c>
      <c r="T251" s="289">
        <v>468.5</v>
      </c>
      <c r="U251" s="289">
        <v>451.8</v>
      </c>
      <c r="V251" s="281">
        <f t="shared" si="924"/>
        <v>455</v>
      </c>
      <c r="W251" s="281">
        <f t="shared" si="924"/>
        <v>455</v>
      </c>
      <c r="X251" s="289">
        <v>455</v>
      </c>
      <c r="Y251" s="289">
        <v>432.2</v>
      </c>
      <c r="Z251" s="289">
        <v>433</v>
      </c>
      <c r="AA251" s="289">
        <v>433.1</v>
      </c>
      <c r="AB251" s="289">
        <v>433.5</v>
      </c>
      <c r="AC251" s="281">
        <f t="shared" si="925"/>
        <v>434.5</v>
      </c>
      <c r="AD251" s="281">
        <f t="shared" si="925"/>
        <v>434.5</v>
      </c>
      <c r="AE251" s="289">
        <v>434.5</v>
      </c>
      <c r="AF251" s="289">
        <v>432.3</v>
      </c>
      <c r="AG251" s="289">
        <v>432.5</v>
      </c>
      <c r="AH251" s="289">
        <v>432.4</v>
      </c>
      <c r="AI251" s="289">
        <v>438.8</v>
      </c>
      <c r="AJ251" s="281">
        <f t="shared" si="926"/>
        <v>433.1</v>
      </c>
      <c r="AK251" s="281">
        <f t="shared" si="926"/>
        <v>433.1</v>
      </c>
      <c r="AL251" s="289">
        <v>433.1</v>
      </c>
      <c r="AM251" s="289">
        <v>438.6</v>
      </c>
      <c r="AN251" s="289">
        <v>435.5</v>
      </c>
      <c r="AO251" s="289">
        <v>435.1</v>
      </c>
      <c r="AP251" s="289">
        <v>435.8</v>
      </c>
      <c r="AQ251" s="281">
        <f>AQ250</f>
        <v>437.7</v>
      </c>
      <c r="AR251" s="281">
        <f>AVERAGE(AP251:AQ251)</f>
        <v>436.75</v>
      </c>
      <c r="AS251" s="289">
        <v>437.5</v>
      </c>
      <c r="AT251" s="289">
        <v>438.7</v>
      </c>
      <c r="AU251" s="289">
        <v>440</v>
      </c>
      <c r="AV251" s="289">
        <v>440</v>
      </c>
      <c r="AW251" s="289">
        <v>435</v>
      </c>
      <c r="AX251" s="281">
        <f>(AX249+AX$246)/2</f>
        <v>433.87365362500003</v>
      </c>
      <c r="AY251" s="281">
        <f>AZ251</f>
        <v>437.9</v>
      </c>
      <c r="AZ251" s="289">
        <v>437.9</v>
      </c>
      <c r="BA251" s="289">
        <v>438.5</v>
      </c>
      <c r="BB251" s="289">
        <v>439.7</v>
      </c>
      <c r="BC251" s="289">
        <v>439.3</v>
      </c>
      <c r="BD251" s="289">
        <v>440.3</v>
      </c>
      <c r="BE251" s="289">
        <v>442.6</v>
      </c>
      <c r="BF251" s="281">
        <f>BG251</f>
        <v>440.6</v>
      </c>
      <c r="BG251" s="289">
        <v>440.6</v>
      </c>
      <c r="BH251" s="289">
        <v>443.1</v>
      </c>
      <c r="BI251" s="289">
        <v>443.5</v>
      </c>
      <c r="BJ251" s="289">
        <v>443.2</v>
      </c>
      <c r="BK251" s="289">
        <v>445.2</v>
      </c>
      <c r="BL251" s="281">
        <f>(BL249+BL$246)/2</f>
        <v>442.4</v>
      </c>
      <c r="BM251" s="281">
        <f>BN251</f>
        <v>444.6</v>
      </c>
      <c r="BN251" s="289">
        <v>444.6</v>
      </c>
      <c r="BO251" s="289">
        <v>446</v>
      </c>
      <c r="BP251" s="289">
        <v>445.8</v>
      </c>
      <c r="BQ251" s="289">
        <v>445.7</v>
      </c>
      <c r="BR251" s="289">
        <v>445.9</v>
      </c>
      <c r="BS251" s="289">
        <v>446.4</v>
      </c>
      <c r="BT251" s="281">
        <f>BU251</f>
        <v>442.6</v>
      </c>
      <c r="BU251" s="281">
        <f t="shared" ref="BU251:BZ251" si="938">(BU249+BU$246)/2</f>
        <v>442.6</v>
      </c>
      <c r="BV251" s="289">
        <f>447.4</f>
        <v>447.4</v>
      </c>
      <c r="BW251" s="289">
        <v>446.7</v>
      </c>
      <c r="BX251" s="281">
        <f t="shared" si="938"/>
        <v>441.6</v>
      </c>
      <c r="BY251" s="289">
        <v>447.1</v>
      </c>
      <c r="BZ251" s="281">
        <f t="shared" si="938"/>
        <v>445.3</v>
      </c>
      <c r="CA251" s="281">
        <f>CB251</f>
        <v>443.95000000000005</v>
      </c>
      <c r="CB251" s="281">
        <f t="shared" ref="CB251:CG251" si="939">(CB249+CB$246)/2</f>
        <v>443.95000000000005</v>
      </c>
      <c r="CC251" s="289">
        <v>447.3</v>
      </c>
      <c r="CD251" s="289">
        <v>445.4</v>
      </c>
      <c r="CE251" s="281">
        <f t="shared" si="939"/>
        <v>442.95456300000001</v>
      </c>
      <c r="CF251" s="289">
        <v>441.6</v>
      </c>
      <c r="CG251" s="281">
        <f t="shared" si="939"/>
        <v>440.842377</v>
      </c>
      <c r="CH251" s="281">
        <f>CI251</f>
        <v>443.9</v>
      </c>
      <c r="CI251" s="289">
        <v>443.9</v>
      </c>
      <c r="CJ251" s="289">
        <f>441.6</f>
        <v>441.6</v>
      </c>
      <c r="CK251" s="289">
        <v>441.5</v>
      </c>
      <c r="CL251" s="281">
        <f>(CL249+CL$246)/2</f>
        <v>440.84327500000001</v>
      </c>
      <c r="CM251" s="289">
        <v>442</v>
      </c>
      <c r="CN251" s="281">
        <f>(CN249+CN$246)/2</f>
        <v>441.412059</v>
      </c>
      <c r="CO251" s="281">
        <f>CP251</f>
        <v>442.3</v>
      </c>
      <c r="CP251" s="340">
        <v>442.3</v>
      </c>
      <c r="CQ251" s="340">
        <v>443</v>
      </c>
      <c r="CR251" s="340">
        <v>443.1</v>
      </c>
      <c r="CS251" s="320">
        <f>(CS249+CS$246)/2</f>
        <v>441.52411799999999</v>
      </c>
      <c r="CT251" s="340">
        <v>443.1</v>
      </c>
      <c r="CU251" s="320">
        <f>(CU249+CU$246)/2</f>
        <v>442.18495250000001</v>
      </c>
      <c r="CV251" s="320">
        <f>CW251</f>
        <v>443</v>
      </c>
      <c r="CW251" s="340">
        <v>443</v>
      </c>
      <c r="CX251" s="342">
        <v>443.3</v>
      </c>
      <c r="CY251" s="340">
        <v>444.5</v>
      </c>
      <c r="CZ251" s="340">
        <f>(CZ249+CZ$246)/2</f>
        <v>442.26990499999999</v>
      </c>
      <c r="DA251" s="340">
        <v>444.9</v>
      </c>
      <c r="DB251" s="340">
        <v>444.5</v>
      </c>
      <c r="DC251" s="320">
        <f>DD251</f>
        <v>444.1</v>
      </c>
      <c r="DD251" s="585">
        <v>444.1</v>
      </c>
      <c r="DE251" s="340">
        <v>445.2</v>
      </c>
      <c r="DF251" s="340">
        <v>444.8</v>
      </c>
      <c r="DG251" s="340">
        <f>(DG249+DG$246)/2</f>
        <v>443.14474000000001</v>
      </c>
      <c r="DH251" s="340">
        <v>445.5</v>
      </c>
      <c r="DI251" s="320">
        <f>+DK251</f>
        <v>445.4</v>
      </c>
      <c r="DJ251" s="320">
        <f>+DK251</f>
        <v>445.4</v>
      </c>
      <c r="DK251" s="585">
        <v>445.4</v>
      </c>
      <c r="DL251" s="343">
        <v>445.7</v>
      </c>
      <c r="DM251" s="320">
        <f>+DN251</f>
        <v>446</v>
      </c>
      <c r="DN251" s="340">
        <v>446</v>
      </c>
      <c r="DO251" s="340">
        <v>446.3</v>
      </c>
      <c r="DP251" s="320">
        <f>+DR251</f>
        <v>445.9</v>
      </c>
      <c r="DQ251" s="320">
        <f>+DR251</f>
        <v>445.9</v>
      </c>
      <c r="DR251" s="585">
        <v>445.9</v>
      </c>
      <c r="DS251" s="340">
        <v>445.9</v>
      </c>
      <c r="DT251" s="320">
        <f>+DU251</f>
        <v>446.1</v>
      </c>
      <c r="DU251" s="340">
        <v>446.1</v>
      </c>
      <c r="DV251" s="340">
        <v>445.9</v>
      </c>
      <c r="DW251" s="320">
        <f>+DY251</f>
        <v>445.6</v>
      </c>
      <c r="DX251" s="320">
        <f>+DY251</f>
        <v>445.6</v>
      </c>
      <c r="DY251" s="585">
        <v>445.6</v>
      </c>
      <c r="DZ251" s="340">
        <v>442.8</v>
      </c>
      <c r="EA251" s="320">
        <f>+EB251</f>
        <v>441.8</v>
      </c>
      <c r="EB251" s="340">
        <v>441.8</v>
      </c>
      <c r="EC251" s="340">
        <v>438.3</v>
      </c>
      <c r="ED251" s="320">
        <f>+EF251</f>
        <v>439.6</v>
      </c>
      <c r="EE251" s="320">
        <f>+EF251</f>
        <v>439.6</v>
      </c>
      <c r="EF251" s="585">
        <v>439.6</v>
      </c>
      <c r="EG251" s="340">
        <v>434.5</v>
      </c>
      <c r="EH251" s="320">
        <f>+EI251</f>
        <v>433.4</v>
      </c>
      <c r="EI251" s="340">
        <v>433.4</v>
      </c>
      <c r="EJ251" s="340">
        <v>430.9</v>
      </c>
      <c r="EK251" s="320">
        <f>+EM251</f>
        <v>432.1</v>
      </c>
      <c r="EL251" s="320">
        <f>+EM251</f>
        <v>432.1</v>
      </c>
      <c r="EM251" s="585">
        <v>432.1</v>
      </c>
      <c r="EN251" s="340">
        <v>431.1</v>
      </c>
      <c r="EO251" s="320">
        <f>+EP251</f>
        <v>577.4</v>
      </c>
      <c r="EP251" s="340">
        <v>577.4</v>
      </c>
      <c r="EQ251" s="343">
        <v>583.1</v>
      </c>
      <c r="ER251" s="320">
        <f>(ER249+ER$246)/2</f>
        <v>579.88325399999997</v>
      </c>
      <c r="ES251" s="320">
        <f>ET251</f>
        <v>544.87081349999994</v>
      </c>
      <c r="ET251" s="583">
        <f>AVERAGE(EN251,EO251,EQ251,ER251)+2</f>
        <v>544.87081349999994</v>
      </c>
      <c r="EU251" s="320">
        <f t="shared" ref="EU251:EY251" si="940">(EU249+EU$246)/2</f>
        <v>579.88325399999997</v>
      </c>
      <c r="EV251" s="320">
        <f t="shared" si="940"/>
        <v>579.88325399999997</v>
      </c>
      <c r="EW251" s="320">
        <f t="shared" si="940"/>
        <v>579.88325399999997</v>
      </c>
      <c r="EX251" s="320">
        <f t="shared" si="940"/>
        <v>579.88325399999997</v>
      </c>
      <c r="EY251" s="320">
        <f t="shared" si="940"/>
        <v>579.88325399999997</v>
      </c>
      <c r="EZ251" s="320">
        <f>FA251</f>
        <v>579.88325399999997</v>
      </c>
      <c r="FA251" s="583">
        <f t="shared" ref="FA251:FF251" si="941">(FA249+FA$246)/2</f>
        <v>579.88325399999997</v>
      </c>
      <c r="FB251" s="320">
        <f t="shared" si="941"/>
        <v>579.88325399999997</v>
      </c>
      <c r="FC251" s="320">
        <f t="shared" si="941"/>
        <v>579.88325399999997</v>
      </c>
      <c r="FD251" s="320">
        <f t="shared" si="941"/>
        <v>579.88325399999997</v>
      </c>
      <c r="FE251" s="320">
        <f t="shared" si="941"/>
        <v>579.88325399999997</v>
      </c>
      <c r="FF251" s="320">
        <f t="shared" si="941"/>
        <v>579.88325399999997</v>
      </c>
      <c r="FG251" s="320">
        <f>FH251</f>
        <v>579.88325399999997</v>
      </c>
      <c r="FH251" s="583">
        <f t="shared" ref="FH251:FM251" si="942">(FH249+FH$246)/2</f>
        <v>579.88325399999997</v>
      </c>
      <c r="FI251" s="320">
        <f t="shared" si="942"/>
        <v>579.88325399999997</v>
      </c>
      <c r="FJ251" s="320">
        <f t="shared" si="942"/>
        <v>579.88325399999997</v>
      </c>
      <c r="FK251" s="320">
        <f t="shared" si="942"/>
        <v>579.88325399999997</v>
      </c>
      <c r="FL251" s="320">
        <f t="shared" si="942"/>
        <v>579.88325399999997</v>
      </c>
      <c r="FM251" s="320">
        <f t="shared" si="942"/>
        <v>579.88325399999997</v>
      </c>
      <c r="FN251" s="320">
        <f>FO251</f>
        <v>579.88325399999997</v>
      </c>
      <c r="FO251" s="583">
        <f t="shared" ref="FO251:FT251" si="943">(FO249+FO$246)/2</f>
        <v>579.88325399999997</v>
      </c>
      <c r="FP251" s="320">
        <f t="shared" si="943"/>
        <v>579.88325399999997</v>
      </c>
      <c r="FQ251" s="320">
        <f t="shared" si="943"/>
        <v>579.88325399999997</v>
      </c>
      <c r="FR251" s="320">
        <f t="shared" si="943"/>
        <v>579.88325399999997</v>
      </c>
      <c r="FS251" s="320">
        <f t="shared" si="943"/>
        <v>579.88325399999997</v>
      </c>
      <c r="FT251" s="320">
        <f t="shared" si="943"/>
        <v>579.88325399999997</v>
      </c>
      <c r="FU251" s="320">
        <f>FV251</f>
        <v>579.88325399999997</v>
      </c>
      <c r="FV251" s="583">
        <f>(FV249+FV$246)/2</f>
        <v>579.88325399999997</v>
      </c>
      <c r="FW251" s="649">
        <f>EN249+150</f>
        <v>579.81878099999994</v>
      </c>
    </row>
    <row r="252" spans="1:280" outlineLevel="1" x14ac:dyDescent="0.3">
      <c r="B252" s="247" t="s">
        <v>478</v>
      </c>
      <c r="C252" s="280"/>
      <c r="CP252" s="320"/>
      <c r="CQ252" s="320"/>
      <c r="CR252" s="320"/>
      <c r="CS252" s="320"/>
      <c r="CT252" s="320"/>
      <c r="CU252" s="320"/>
      <c r="CV252" s="320"/>
      <c r="CW252" s="320"/>
      <c r="CX252" s="320"/>
      <c r="CY252" s="320"/>
      <c r="CZ252" s="320"/>
      <c r="DA252" s="320"/>
      <c r="DB252" s="320"/>
      <c r="DC252" s="320"/>
      <c r="DD252" s="583"/>
      <c r="DE252" s="320"/>
      <c r="DF252" s="320"/>
      <c r="DG252" s="320"/>
      <c r="DH252" s="320"/>
      <c r="DI252" s="320"/>
      <c r="DJ252" s="320"/>
      <c r="DK252" s="583"/>
      <c r="DL252" s="344"/>
      <c r="DM252" s="320"/>
      <c r="DN252" s="320"/>
      <c r="DO252" s="320"/>
      <c r="DP252" s="320"/>
      <c r="DQ252" s="320"/>
      <c r="DR252" s="583"/>
      <c r="DS252" s="320"/>
      <c r="DT252" s="320"/>
      <c r="DU252" s="320"/>
      <c r="DV252" s="320"/>
      <c r="DW252" s="320"/>
      <c r="DX252" s="320"/>
      <c r="DY252" s="583"/>
      <c r="DZ252" s="320"/>
      <c r="EA252" s="320"/>
      <c r="EB252" s="320"/>
      <c r="EC252" s="320"/>
      <c r="ED252" s="320"/>
      <c r="EE252" s="320"/>
      <c r="EF252" s="583"/>
      <c r="EG252" s="320"/>
      <c r="EH252" s="320"/>
      <c r="EI252" s="320"/>
      <c r="EJ252" s="320"/>
      <c r="EK252" s="320"/>
      <c r="EL252" s="320"/>
      <c r="EM252" s="583"/>
      <c r="EN252" s="320"/>
      <c r="EO252" s="320"/>
      <c r="EP252" s="320"/>
      <c r="EQ252" s="344"/>
      <c r="ER252" s="320"/>
      <c r="ES252" s="320"/>
      <c r="ET252" s="583"/>
      <c r="EU252" s="320"/>
      <c r="EV252" s="320"/>
      <c r="EW252" s="320"/>
      <c r="EX252" s="320"/>
      <c r="EY252" s="320"/>
      <c r="EZ252" s="320"/>
      <c r="FA252" s="583"/>
      <c r="FB252" s="320"/>
      <c r="FC252" s="320"/>
      <c r="FD252" s="320"/>
      <c r="FE252" s="320"/>
      <c r="FF252" s="320"/>
      <c r="FG252" s="320"/>
      <c r="FH252" s="583"/>
      <c r="FI252" s="320"/>
      <c r="FJ252" s="320"/>
      <c r="FK252" s="320"/>
      <c r="FL252" s="320"/>
      <c r="FM252" s="320"/>
      <c r="FN252" s="320"/>
      <c r="FO252" s="583"/>
      <c r="FP252" s="320"/>
      <c r="FQ252" s="320"/>
      <c r="FR252" s="320"/>
      <c r="FS252" s="320"/>
      <c r="FT252" s="320"/>
      <c r="FU252" s="320"/>
      <c r="FV252" s="583"/>
    </row>
    <row r="253" spans="1:280" outlineLevel="1" x14ac:dyDescent="0.3">
      <c r="B253" s="279" t="s">
        <v>585</v>
      </c>
      <c r="C253" s="280" t="s">
        <v>579</v>
      </c>
      <c r="X253" s="289">
        <v>-35.700000000000003</v>
      </c>
      <c r="AM253" s="281"/>
      <c r="AN253" s="289">
        <v>0</v>
      </c>
      <c r="AO253" s="289">
        <v>0</v>
      </c>
      <c r="AP253" s="289">
        <v>0</v>
      </c>
      <c r="AQ253" s="289">
        <v>0</v>
      </c>
      <c r="AR253" s="289">
        <v>0</v>
      </c>
      <c r="AS253" s="320">
        <f t="shared" ref="AS253:DD253" si="944">AS247</f>
        <v>0</v>
      </c>
      <c r="AT253" s="320">
        <f t="shared" si="944"/>
        <v>-1.2</v>
      </c>
      <c r="AU253" s="320">
        <f t="shared" si="944"/>
        <v>-1.2</v>
      </c>
      <c r="AV253" s="320">
        <f t="shared" si="944"/>
        <v>-2.4</v>
      </c>
      <c r="AW253" s="320">
        <f t="shared" si="944"/>
        <v>0.36492375000000266</v>
      </c>
      <c r="AX253" s="320">
        <f t="shared" si="944"/>
        <v>0.36492375000000266</v>
      </c>
      <c r="AY253" s="320">
        <f t="shared" si="944"/>
        <v>0.72984750000000531</v>
      </c>
      <c r="AZ253" s="320">
        <f t="shared" si="944"/>
        <v>1.4596950000000106</v>
      </c>
      <c r="BA253" s="320">
        <f t="shared" si="944"/>
        <v>0.71403699999996206</v>
      </c>
      <c r="BB253" s="320">
        <f t="shared" si="944"/>
        <v>1.6427750000000287</v>
      </c>
      <c r="BC253" s="320">
        <f t="shared" si="944"/>
        <v>2.3568119999999908</v>
      </c>
      <c r="BD253" s="320">
        <f t="shared" si="944"/>
        <v>1.3749520000000075</v>
      </c>
      <c r="BE253" s="320">
        <f t="shared" si="944"/>
        <v>0.72675699999996368</v>
      </c>
      <c r="BF253" s="320">
        <f t="shared" si="944"/>
        <v>2.1017089999999712</v>
      </c>
      <c r="BG253" s="320">
        <f t="shared" si="944"/>
        <v>4.458520999999962</v>
      </c>
      <c r="BH253" s="320">
        <f t="shared" si="944"/>
        <v>0.4470630000000142</v>
      </c>
      <c r="BI253" s="320">
        <f t="shared" si="944"/>
        <v>0.10845299999999725</v>
      </c>
      <c r="BJ253" s="320">
        <f t="shared" si="944"/>
        <v>0.55551600000001145</v>
      </c>
      <c r="BK253" s="320">
        <f t="shared" si="944"/>
        <v>0</v>
      </c>
      <c r="BL253" s="320">
        <f t="shared" si="944"/>
        <v>2.4444839999999886</v>
      </c>
      <c r="BM253" s="320">
        <f t="shared" si="944"/>
        <v>2.4444839999999886</v>
      </c>
      <c r="BN253" s="320">
        <f t="shared" si="944"/>
        <v>3</v>
      </c>
      <c r="BO253" s="320">
        <f t="shared" si="944"/>
        <v>0</v>
      </c>
      <c r="BP253" s="320">
        <f t="shared" si="944"/>
        <v>2.33299999999997</v>
      </c>
      <c r="BQ253" s="320">
        <f t="shared" si="944"/>
        <v>2.33299999999997</v>
      </c>
      <c r="BR253" s="320">
        <f t="shared" si="944"/>
        <v>0</v>
      </c>
      <c r="BS253" s="320">
        <f t="shared" si="944"/>
        <v>0</v>
      </c>
      <c r="BT253" s="320">
        <f t="shared" si="944"/>
        <v>0</v>
      </c>
      <c r="BU253" s="320">
        <f t="shared" si="944"/>
        <v>0</v>
      </c>
      <c r="BV253" s="320">
        <f t="shared" si="944"/>
        <v>0</v>
      </c>
      <c r="BW253" s="320">
        <f t="shared" si="944"/>
        <v>-2</v>
      </c>
      <c r="BX253" s="320">
        <f t="shared" si="944"/>
        <v>-2</v>
      </c>
      <c r="BY253" s="320">
        <f t="shared" si="944"/>
        <v>0</v>
      </c>
      <c r="BZ253" s="320">
        <f t="shared" si="944"/>
        <v>0</v>
      </c>
      <c r="CA253" s="320">
        <f t="shared" si="944"/>
        <v>0</v>
      </c>
      <c r="CB253" s="320">
        <f t="shared" si="944"/>
        <v>-2</v>
      </c>
      <c r="CC253" s="320">
        <f t="shared" si="944"/>
        <v>0</v>
      </c>
      <c r="CD253" s="320">
        <f t="shared" si="944"/>
        <v>-6.1</v>
      </c>
      <c r="CE253" s="320">
        <f t="shared" si="944"/>
        <v>-6.1</v>
      </c>
      <c r="CF253" s="320">
        <f t="shared" si="944"/>
        <v>0</v>
      </c>
      <c r="CG253" s="320">
        <f t="shared" si="944"/>
        <v>0</v>
      </c>
      <c r="CH253" s="320">
        <f t="shared" si="944"/>
        <v>0</v>
      </c>
      <c r="CI253" s="320">
        <f t="shared" si="944"/>
        <v>-6.1</v>
      </c>
      <c r="CJ253" s="320">
        <f t="shared" si="944"/>
        <v>2.8041999999970812E-2</v>
      </c>
      <c r="CK253" s="320">
        <f t="shared" si="944"/>
        <v>0</v>
      </c>
      <c r="CL253" s="320">
        <f t="shared" si="944"/>
        <v>0</v>
      </c>
      <c r="CM253" s="320">
        <f t="shared" si="944"/>
        <v>0.45672500000000582</v>
      </c>
      <c r="CN253" s="320">
        <f t="shared" si="944"/>
        <v>0.22411799999997584</v>
      </c>
      <c r="CO253" s="320">
        <f t="shared" si="944"/>
        <v>0.68084299999998166</v>
      </c>
      <c r="CP253" s="320">
        <f t="shared" si="944"/>
        <v>0.68084299999998166</v>
      </c>
      <c r="CQ253" s="320">
        <f t="shared" si="944"/>
        <v>0</v>
      </c>
      <c r="CR253" s="320">
        <f t="shared" si="944"/>
        <v>0</v>
      </c>
      <c r="CS253" s="320">
        <f t="shared" si="944"/>
        <v>0</v>
      </c>
      <c r="CT253" s="320">
        <f t="shared" si="944"/>
        <v>1</v>
      </c>
      <c r="CU253" s="320">
        <f t="shared" si="944"/>
        <v>0</v>
      </c>
      <c r="CV253" s="320">
        <f t="shared" si="944"/>
        <v>0</v>
      </c>
      <c r="CW253" s="320">
        <f t="shared" si="944"/>
        <v>0</v>
      </c>
      <c r="CX253" s="320">
        <f t="shared" si="944"/>
        <v>0</v>
      </c>
      <c r="CY253" s="320">
        <f t="shared" si="944"/>
        <v>0</v>
      </c>
      <c r="CZ253" s="320">
        <f t="shared" si="944"/>
        <v>0</v>
      </c>
      <c r="DA253" s="320">
        <f t="shared" si="944"/>
        <v>0</v>
      </c>
      <c r="DB253" s="320">
        <f t="shared" si="944"/>
        <v>0</v>
      </c>
      <c r="DC253" s="320">
        <f t="shared" si="944"/>
        <v>0</v>
      </c>
      <c r="DD253" s="583">
        <f t="shared" si="944"/>
        <v>0</v>
      </c>
      <c r="DE253" s="320">
        <f t="shared" ref="DE253:DY253" si="945">DE247</f>
        <v>0</v>
      </c>
      <c r="DF253" s="320">
        <f t="shared" si="945"/>
        <v>0</v>
      </c>
      <c r="DG253" s="320">
        <f t="shared" si="945"/>
        <v>0</v>
      </c>
      <c r="DH253" s="320">
        <f t="shared" si="945"/>
        <v>0</v>
      </c>
      <c r="DI253" s="320">
        <f t="shared" si="945"/>
        <v>0</v>
      </c>
      <c r="DJ253" s="320">
        <f t="shared" si="945"/>
        <v>0</v>
      </c>
      <c r="DK253" s="583">
        <f t="shared" si="945"/>
        <v>0</v>
      </c>
      <c r="DL253" s="320">
        <f t="shared" si="945"/>
        <v>0</v>
      </c>
      <c r="DM253" s="320">
        <f t="shared" si="945"/>
        <v>0</v>
      </c>
      <c r="DN253" s="320">
        <f t="shared" si="945"/>
        <v>0</v>
      </c>
      <c r="DO253" s="320">
        <f t="shared" si="945"/>
        <v>0</v>
      </c>
      <c r="DP253" s="320">
        <f t="shared" si="945"/>
        <v>0</v>
      </c>
      <c r="DQ253" s="320">
        <f t="shared" si="945"/>
        <v>0</v>
      </c>
      <c r="DR253" s="583">
        <f t="shared" si="945"/>
        <v>0</v>
      </c>
      <c r="DS253" s="320">
        <f t="shared" si="945"/>
        <v>0</v>
      </c>
      <c r="DT253" s="320">
        <f t="shared" si="945"/>
        <v>0</v>
      </c>
      <c r="DU253" s="320">
        <f t="shared" si="945"/>
        <v>0</v>
      </c>
      <c r="DV253" s="320">
        <f t="shared" si="945"/>
        <v>0</v>
      </c>
      <c r="DW253" s="320">
        <f t="shared" si="945"/>
        <v>0</v>
      </c>
      <c r="DX253" s="320">
        <f t="shared" si="945"/>
        <v>0</v>
      </c>
      <c r="DY253" s="583">
        <f t="shared" si="945"/>
        <v>0</v>
      </c>
      <c r="DZ253" s="320">
        <f t="shared" ref="DZ253:EF253" si="946">DZ247</f>
        <v>-2</v>
      </c>
      <c r="EA253" s="320">
        <f t="shared" si="946"/>
        <v>0</v>
      </c>
      <c r="EB253" s="320">
        <f t="shared" si="946"/>
        <v>-1.3562959999999862</v>
      </c>
      <c r="EC253" s="320">
        <f t="shared" si="946"/>
        <v>-5.013245999999981</v>
      </c>
      <c r="ED253" s="320">
        <f t="shared" si="946"/>
        <v>-1.9021200000000249</v>
      </c>
      <c r="EE253" s="320">
        <f t="shared" si="946"/>
        <v>-6.9153660000000059</v>
      </c>
      <c r="EF253" s="583">
        <f t="shared" si="946"/>
        <v>-8.2716619999999921</v>
      </c>
      <c r="EG253" s="320">
        <f>EG247</f>
        <v>-2.3551369999999565</v>
      </c>
      <c r="EH253" s="320">
        <f t="shared" ref="EH253:EM253" si="947">EH247</f>
        <v>0</v>
      </c>
      <c r="EI253" s="320">
        <f t="shared" si="947"/>
        <v>-1.7846339999999827</v>
      </c>
      <c r="EJ253" s="320">
        <f t="shared" si="947"/>
        <v>-2.212900999999988</v>
      </c>
      <c r="EK253" s="320">
        <f t="shared" si="947"/>
        <v>3.168199999998933E-2</v>
      </c>
      <c r="EL253" s="320">
        <f t="shared" si="947"/>
        <v>-2.1812189999999987</v>
      </c>
      <c r="EM253" s="583">
        <f t="shared" si="947"/>
        <v>-3.9658529999999814</v>
      </c>
      <c r="EN253" s="320">
        <f>EN247</f>
        <v>0</v>
      </c>
      <c r="EO253" s="320">
        <f t="shared" ref="EO253:EP253" si="948">EO247</f>
        <v>0</v>
      </c>
      <c r="EP253" s="320">
        <f t="shared" si="948"/>
        <v>149.36697799999996</v>
      </c>
      <c r="EQ253" s="344">
        <f>EQ247</f>
        <v>0.69749500000000353</v>
      </c>
      <c r="ER253" s="320">
        <f t="shared" ref="ER253:FV253" si="949">ER121/ER254</f>
        <v>0</v>
      </c>
      <c r="ES253" s="320">
        <f t="shared" si="949"/>
        <v>0</v>
      </c>
      <c r="ET253" s="583">
        <f t="shared" si="949"/>
        <v>0</v>
      </c>
      <c r="EU253" s="320">
        <f t="shared" si="949"/>
        <v>0</v>
      </c>
      <c r="EV253" s="320">
        <f t="shared" si="949"/>
        <v>0</v>
      </c>
      <c r="EW253" s="320">
        <f t="shared" si="949"/>
        <v>0</v>
      </c>
      <c r="EX253" s="320">
        <f t="shared" si="949"/>
        <v>0</v>
      </c>
      <c r="EY253" s="320">
        <f t="shared" si="949"/>
        <v>0</v>
      </c>
      <c r="EZ253" s="320">
        <f t="shared" si="949"/>
        <v>0</v>
      </c>
      <c r="FA253" s="583">
        <f t="shared" si="949"/>
        <v>0</v>
      </c>
      <c r="FB253" s="320">
        <f t="shared" si="949"/>
        <v>0</v>
      </c>
      <c r="FC253" s="320">
        <f t="shared" si="949"/>
        <v>0</v>
      </c>
      <c r="FD253" s="320">
        <f t="shared" si="949"/>
        <v>0</v>
      </c>
      <c r="FE253" s="320">
        <f t="shared" si="949"/>
        <v>0</v>
      </c>
      <c r="FF253" s="320">
        <f t="shared" si="949"/>
        <v>0</v>
      </c>
      <c r="FG253" s="320">
        <f t="shared" si="949"/>
        <v>0</v>
      </c>
      <c r="FH253" s="583">
        <f t="shared" si="949"/>
        <v>0</v>
      </c>
      <c r="FI253" s="320">
        <f t="shared" si="949"/>
        <v>0</v>
      </c>
      <c r="FJ253" s="320">
        <f t="shared" si="949"/>
        <v>0</v>
      </c>
      <c r="FK253" s="320">
        <f t="shared" si="949"/>
        <v>0</v>
      </c>
      <c r="FL253" s="320">
        <f t="shared" si="949"/>
        <v>0</v>
      </c>
      <c r="FM253" s="320">
        <f t="shared" si="949"/>
        <v>0</v>
      </c>
      <c r="FN253" s="320">
        <f t="shared" si="949"/>
        <v>0</v>
      </c>
      <c r="FO253" s="583">
        <f t="shared" si="949"/>
        <v>0</v>
      </c>
      <c r="FP253" s="320">
        <f t="shared" si="949"/>
        <v>0</v>
      </c>
      <c r="FQ253" s="320">
        <f t="shared" si="949"/>
        <v>0</v>
      </c>
      <c r="FR253" s="320">
        <f t="shared" si="949"/>
        <v>0</v>
      </c>
      <c r="FS253" s="320">
        <f t="shared" si="949"/>
        <v>0</v>
      </c>
      <c r="FT253" s="320">
        <f t="shared" si="949"/>
        <v>0</v>
      </c>
      <c r="FU253" s="320">
        <f t="shared" si="949"/>
        <v>0</v>
      </c>
      <c r="FV253" s="583">
        <f t="shared" si="949"/>
        <v>0</v>
      </c>
    </row>
    <row r="254" spans="1:280" outlineLevel="1" x14ac:dyDescent="0.3">
      <c r="A254" s="568">
        <v>45</v>
      </c>
      <c r="B254" s="279" t="s">
        <v>586</v>
      </c>
      <c r="C254" s="280" t="s">
        <v>675</v>
      </c>
      <c r="X254" s="289">
        <v>5.83</v>
      </c>
      <c r="AM254" s="281"/>
      <c r="AN254" s="289">
        <v>0</v>
      </c>
      <c r="AO254" s="289">
        <v>0</v>
      </c>
      <c r="AP254" s="289">
        <v>0</v>
      </c>
      <c r="AQ254" s="289">
        <v>0</v>
      </c>
      <c r="AR254" s="289">
        <v>0</v>
      </c>
      <c r="AS254" s="289">
        <v>0</v>
      </c>
      <c r="AT254" s="289">
        <v>5.33</v>
      </c>
      <c r="AU254" s="289">
        <v>5.33</v>
      </c>
      <c r="AV254" s="281">
        <f>AV255/AV253</f>
        <v>5.33</v>
      </c>
      <c r="AW254" s="289">
        <v>5.4</v>
      </c>
      <c r="AX254" s="289">
        <v>6</v>
      </c>
      <c r="AY254" s="281">
        <f>AY255/AY253</f>
        <v>-4.3988059149342309</v>
      </c>
      <c r="AZ254" s="281">
        <f>AZ255/AZ253</f>
        <v>-10.962877518933659</v>
      </c>
      <c r="BA254" s="289">
        <v>6.95</v>
      </c>
      <c r="BB254" s="289">
        <v>6.95</v>
      </c>
      <c r="BC254" s="289">
        <v>0</v>
      </c>
      <c r="BD254" s="289">
        <v>0</v>
      </c>
      <c r="BE254" s="289">
        <v>0</v>
      </c>
      <c r="BF254" s="281"/>
      <c r="BG254" s="289">
        <v>0</v>
      </c>
      <c r="BH254" s="281">
        <f>+BH255/BH253</f>
        <v>5.5920530216097522</v>
      </c>
      <c r="BI254" s="289">
        <v>8.1999999999999993</v>
      </c>
      <c r="BJ254" s="289">
        <v>0</v>
      </c>
      <c r="BK254" s="289">
        <v>0</v>
      </c>
      <c r="BL254" s="281">
        <f>BL255/BL253</f>
        <v>7.6542474403596472</v>
      </c>
      <c r="BM254" s="289">
        <v>0</v>
      </c>
      <c r="BN254" s="281">
        <f>BN255/BN253</f>
        <v>7.3666666666666671</v>
      </c>
      <c r="BO254" s="289">
        <v>0</v>
      </c>
      <c r="BP254" s="289">
        <v>0</v>
      </c>
      <c r="BQ254" s="289">
        <v>0</v>
      </c>
      <c r="BR254" s="289">
        <v>0</v>
      </c>
      <c r="BS254" s="289">
        <v>0</v>
      </c>
      <c r="BT254" s="289">
        <v>0</v>
      </c>
      <c r="BU254" s="289">
        <v>0</v>
      </c>
      <c r="BV254" s="289">
        <v>0</v>
      </c>
      <c r="BW254" s="289">
        <v>18</v>
      </c>
      <c r="BX254" s="281">
        <f>BX255/BX253</f>
        <v>18</v>
      </c>
      <c r="BY254" s="289">
        <v>18.14</v>
      </c>
      <c r="BZ254" s="289">
        <v>20</v>
      </c>
      <c r="CA254" s="289">
        <v>0</v>
      </c>
      <c r="CB254" s="281">
        <f>CB255/CB253</f>
        <v>18</v>
      </c>
      <c r="CC254" s="281">
        <f>20*CC286</f>
        <v>14.913723076923077</v>
      </c>
      <c r="CD254" s="281">
        <f>20*CD286</f>
        <v>15.166303030303025</v>
      </c>
      <c r="CE254" s="289">
        <v>0</v>
      </c>
      <c r="CF254" s="281">
        <f>20*CF286</f>
        <v>14.983476923076919</v>
      </c>
      <c r="CG254" s="281">
        <f>20*CG286</f>
        <v>15.16206153846154</v>
      </c>
      <c r="CH254" s="289">
        <v>0</v>
      </c>
      <c r="CI254" s="289">
        <v>0</v>
      </c>
      <c r="CJ254" s="289">
        <v>0</v>
      </c>
      <c r="CK254" s="401">
        <v>0</v>
      </c>
      <c r="CL254" s="401">
        <v>0</v>
      </c>
      <c r="CM254" s="401">
        <v>0</v>
      </c>
      <c r="CN254" s="401">
        <v>0</v>
      </c>
      <c r="CO254" s="401">
        <v>0</v>
      </c>
      <c r="CP254" s="513"/>
      <c r="CQ254" s="513"/>
      <c r="CR254" s="513"/>
      <c r="CS254" s="513"/>
      <c r="CT254" s="513"/>
      <c r="CU254" s="513"/>
      <c r="CV254" s="513"/>
      <c r="CW254" s="513"/>
      <c r="CX254" s="513"/>
      <c r="CY254" s="513"/>
      <c r="CZ254" s="513"/>
      <c r="DA254" s="513"/>
      <c r="DB254" s="513"/>
      <c r="DC254" s="513"/>
      <c r="DD254" s="618"/>
      <c r="DE254" s="513"/>
      <c r="DF254" s="513"/>
      <c r="DG254" s="513"/>
      <c r="DH254" s="513"/>
      <c r="DI254" s="513"/>
      <c r="DJ254" s="513"/>
      <c r="DK254" s="618"/>
      <c r="DL254" s="514"/>
      <c r="DM254" s="513"/>
      <c r="DN254" s="513"/>
      <c r="DO254" s="513"/>
      <c r="DP254" s="513"/>
      <c r="DQ254" s="513"/>
      <c r="DR254" s="618"/>
      <c r="DS254" s="513"/>
      <c r="DT254" s="513"/>
      <c r="DU254" s="513"/>
      <c r="DV254" s="513"/>
      <c r="DW254" s="513"/>
      <c r="DX254" s="513"/>
      <c r="DY254" s="618"/>
      <c r="DZ254" s="513"/>
      <c r="EA254" s="513"/>
      <c r="EB254" s="513"/>
      <c r="EC254" s="513"/>
      <c r="ED254" s="513"/>
      <c r="EE254" s="513"/>
      <c r="EF254" s="618"/>
      <c r="EG254" s="513"/>
      <c r="EH254" s="513"/>
      <c r="EI254" s="513"/>
      <c r="EJ254" s="513"/>
      <c r="EK254" s="513"/>
      <c r="EL254" s="513"/>
      <c r="EM254" s="618"/>
      <c r="EN254" s="513"/>
      <c r="EO254" s="513"/>
      <c r="EP254" s="513"/>
      <c r="EQ254" s="514"/>
      <c r="ER254" s="513">
        <f>$A$254*'Financial Summary'!$BB$14</f>
        <v>30.6</v>
      </c>
      <c r="ES254" s="513">
        <f>$A$254*'Financial Summary'!$BB$14</f>
        <v>30.6</v>
      </c>
      <c r="ET254" s="618">
        <f>$A$254*'Financial Summary'!$BB$14</f>
        <v>30.6</v>
      </c>
      <c r="EU254" s="513">
        <f>$A$254*'Financial Summary'!$BB$14</f>
        <v>30.6</v>
      </c>
      <c r="EV254" s="513">
        <f>$A$254*'Financial Summary'!$BB$14</f>
        <v>30.6</v>
      </c>
      <c r="EW254" s="513">
        <f>$A$254*'Financial Summary'!$BB$14</f>
        <v>30.6</v>
      </c>
      <c r="EX254" s="513">
        <f>$A$254*'Financial Summary'!$BB$14</f>
        <v>30.6</v>
      </c>
      <c r="EY254" s="513">
        <f>$A$254*'Financial Summary'!$BB$14</f>
        <v>30.6</v>
      </c>
      <c r="EZ254" s="513">
        <f>$A$254*'Financial Summary'!$BB$14</f>
        <v>30.6</v>
      </c>
      <c r="FA254" s="618">
        <f>$A$254*'Financial Summary'!$BB$14</f>
        <v>30.6</v>
      </c>
      <c r="FB254" s="513">
        <f>$A$254*'Financial Summary'!$BB$14</f>
        <v>30.6</v>
      </c>
      <c r="FC254" s="513">
        <f>$A$254*'Financial Summary'!$BB$14</f>
        <v>30.6</v>
      </c>
      <c r="FD254" s="513">
        <f>$A$254*'Financial Summary'!$BB$14</f>
        <v>30.6</v>
      </c>
      <c r="FE254" s="513">
        <f>$A$254*'Financial Summary'!$BB$14</f>
        <v>30.6</v>
      </c>
      <c r="FF254" s="513">
        <f>$A$254*'Financial Summary'!$BB$14</f>
        <v>30.6</v>
      </c>
      <c r="FG254" s="513">
        <f>$A$254*'Financial Summary'!$BB$14</f>
        <v>30.6</v>
      </c>
      <c r="FH254" s="618">
        <f>$A$254*'Financial Summary'!$BB$14</f>
        <v>30.6</v>
      </c>
      <c r="FI254" s="513">
        <f>$A$254*'Financial Summary'!$BB$14</f>
        <v>30.6</v>
      </c>
      <c r="FJ254" s="513">
        <f>$A$254*'Financial Summary'!$BB$14</f>
        <v>30.6</v>
      </c>
      <c r="FK254" s="513">
        <f>$A$254*'Financial Summary'!$BB$14</f>
        <v>30.6</v>
      </c>
      <c r="FL254" s="513">
        <f>$A$254*'Financial Summary'!$BB$14</f>
        <v>30.6</v>
      </c>
      <c r="FM254" s="513">
        <f>$A$254*'Financial Summary'!$BB$14</f>
        <v>30.6</v>
      </c>
      <c r="FN254" s="513">
        <f>$A$254*'Financial Summary'!$BB$14</f>
        <v>30.6</v>
      </c>
      <c r="FO254" s="618">
        <f>$A$254*'Financial Summary'!$BB$14</f>
        <v>30.6</v>
      </c>
      <c r="FP254" s="513">
        <f>$A$254*'Financial Summary'!$BB$14</f>
        <v>30.6</v>
      </c>
      <c r="FQ254" s="513">
        <f>$A$254*'Financial Summary'!$BB$14</f>
        <v>30.6</v>
      </c>
      <c r="FR254" s="513">
        <f>$A$254*'Financial Summary'!$BB$14</f>
        <v>30.6</v>
      </c>
      <c r="FS254" s="513">
        <f>$A$254*'Financial Summary'!$BB$14</f>
        <v>30.6</v>
      </c>
      <c r="FT254" s="513">
        <f>$A$254*'Financial Summary'!$BB$14</f>
        <v>30.6</v>
      </c>
      <c r="FU254" s="513">
        <f>$A$254*'Financial Summary'!$BB$14</f>
        <v>30.6</v>
      </c>
      <c r="FV254" s="618">
        <f>$A$254*'Financial Summary'!$BB$14</f>
        <v>30.6</v>
      </c>
    </row>
    <row r="255" spans="1:280" outlineLevel="1" x14ac:dyDescent="0.3">
      <c r="B255" s="247" t="s">
        <v>587</v>
      </c>
      <c r="C255" s="280" t="s">
        <v>226</v>
      </c>
      <c r="X255" s="250">
        <f>X254*X253</f>
        <v>-208.13100000000003</v>
      </c>
      <c r="AM255" s="281"/>
      <c r="AN255" s="281">
        <f>AN254*AN253</f>
        <v>0</v>
      </c>
      <c r="AO255" s="289">
        <v>0.4</v>
      </c>
      <c r="AP255" s="281">
        <f>1-AO255</f>
        <v>0.6</v>
      </c>
      <c r="AQ255" s="281">
        <f>AQ254*AQ253</f>
        <v>0</v>
      </c>
      <c r="AR255" s="281">
        <f>AR254*AR253</f>
        <v>0</v>
      </c>
      <c r="AS255" s="281">
        <f>AS254*AS253</f>
        <v>0</v>
      </c>
      <c r="AT255" s="281">
        <f>AT254*AT253</f>
        <v>-6.3959999999999999</v>
      </c>
      <c r="AU255" s="281">
        <f>AU254*AU253</f>
        <v>-6.3959999999999999</v>
      </c>
      <c r="AV255" s="281">
        <f>AU255+AT255</f>
        <v>-12.792</v>
      </c>
      <c r="AW255" s="289">
        <v>-5.4</v>
      </c>
      <c r="AX255" s="281">
        <f>AX254*AX253</f>
        <v>2.1895425000000159</v>
      </c>
      <c r="AY255" s="281">
        <f>AX255+AW255</f>
        <v>-3.2104574999999844</v>
      </c>
      <c r="AZ255" s="281">
        <f>AY255+AV255</f>
        <v>-16.002457499999984</v>
      </c>
      <c r="BA255" s="281">
        <f>BA254*BA253</f>
        <v>4.9625571499997365</v>
      </c>
      <c r="BB255" s="281">
        <f>BB254*BB253</f>
        <v>11.417286250000201</v>
      </c>
      <c r="BC255" s="281">
        <f>+BB255+BA255</f>
        <v>16.379843399999938</v>
      </c>
      <c r="BD255" s="289">
        <v>0</v>
      </c>
      <c r="BE255" s="289">
        <v>0</v>
      </c>
      <c r="BF255" s="281">
        <f>+BE255+BD255</f>
        <v>0</v>
      </c>
      <c r="BG255" s="281">
        <f>+BF255+BC255</f>
        <v>16.379843399999938</v>
      </c>
      <c r="BH255" s="281">
        <f>+BH121</f>
        <v>2.5</v>
      </c>
      <c r="BI255" s="281">
        <f>BI254*BI253</f>
        <v>0.88931459999997731</v>
      </c>
      <c r="BJ255" s="281">
        <f>BI255+BH255</f>
        <v>3.3893145999999774</v>
      </c>
      <c r="BK255" s="281">
        <f>BK254*BK253</f>
        <v>0</v>
      </c>
      <c r="BL255" s="281">
        <f>BN255-BK255-BJ255</f>
        <v>18.710685400000024</v>
      </c>
      <c r="BM255" s="281">
        <f>BM254*BM253</f>
        <v>0</v>
      </c>
      <c r="BN255" s="289">
        <v>22.1</v>
      </c>
      <c r="BO255" s="281">
        <f t="shared" ref="BO255:BW255" si="950">BO254*BO253</f>
        <v>0</v>
      </c>
      <c r="BP255" s="281">
        <f t="shared" si="950"/>
        <v>0</v>
      </c>
      <c r="BQ255" s="281">
        <f t="shared" si="950"/>
        <v>0</v>
      </c>
      <c r="BR255" s="281">
        <f t="shared" si="950"/>
        <v>0</v>
      </c>
      <c r="BS255" s="281">
        <f t="shared" si="950"/>
        <v>0</v>
      </c>
      <c r="BT255" s="281">
        <f t="shared" si="950"/>
        <v>0</v>
      </c>
      <c r="BU255" s="281">
        <f t="shared" si="950"/>
        <v>0</v>
      </c>
      <c r="BV255" s="281">
        <f t="shared" si="950"/>
        <v>0</v>
      </c>
      <c r="BW255" s="281">
        <f t="shared" si="950"/>
        <v>-36</v>
      </c>
      <c r="BX255" s="281">
        <f>BW255+BV255</f>
        <v>-36</v>
      </c>
      <c r="BY255" s="281">
        <f>BY254*BY253</f>
        <v>0</v>
      </c>
      <c r="BZ255" s="281">
        <f>BZ254*BZ253</f>
        <v>0</v>
      </c>
      <c r="CA255" s="281">
        <f>BZ255+BY255</f>
        <v>0</v>
      </c>
      <c r="CB255" s="281">
        <f>CA255+BX255</f>
        <v>-36</v>
      </c>
      <c r="CC255" s="281">
        <f>-CC121</f>
        <v>-0.1</v>
      </c>
      <c r="CD255" s="281">
        <f>-CD121</f>
        <v>99.6</v>
      </c>
      <c r="CE255" s="281">
        <f>CD255+CC255</f>
        <v>99.5</v>
      </c>
      <c r="CF255" s="281">
        <f>-CF121</f>
        <v>0</v>
      </c>
      <c r="CG255" s="281">
        <f>CG254*CG253</f>
        <v>0</v>
      </c>
      <c r="CH255" s="281">
        <f>CG255+CF255</f>
        <v>0</v>
      </c>
      <c r="CI255" s="281">
        <f>CH255+CE255</f>
        <v>99.5</v>
      </c>
      <c r="CJ255" s="281">
        <f>CJ121</f>
        <v>0.2</v>
      </c>
      <c r="CK255" s="281">
        <f>CK254*CK253</f>
        <v>0</v>
      </c>
      <c r="CL255" s="281">
        <f>CK255+CJ255</f>
        <v>0.2</v>
      </c>
      <c r="CM255" s="281">
        <f>CM254*CM253</f>
        <v>0</v>
      </c>
      <c r="CN255" s="281">
        <f>CN254*CN253</f>
        <v>0</v>
      </c>
      <c r="CO255" s="281">
        <f>CN255+CM255</f>
        <v>0</v>
      </c>
      <c r="CP255" s="320">
        <f>CO255+CL255</f>
        <v>0.2</v>
      </c>
      <c r="CQ255" s="320">
        <f>CQ121</f>
        <v>0</v>
      </c>
      <c r="CR255" s="320">
        <f>CR254*CR253</f>
        <v>0</v>
      </c>
      <c r="CS255" s="320">
        <f>CR255+CQ255</f>
        <v>0</v>
      </c>
      <c r="CT255" s="320">
        <f>CT254*CT253</f>
        <v>0</v>
      </c>
      <c r="CU255" s="320">
        <f>CU254*CU253</f>
        <v>0</v>
      </c>
      <c r="CV255" s="320">
        <f>CU255+CT255</f>
        <v>0</v>
      </c>
      <c r="CW255" s="320">
        <f>CV255+CS255</f>
        <v>0</v>
      </c>
      <c r="CX255" s="320">
        <f>CX254*CX253</f>
        <v>0</v>
      </c>
      <c r="CY255" s="320">
        <f>CY254*CY253</f>
        <v>0</v>
      </c>
      <c r="CZ255" s="320">
        <f>CY255+CX255</f>
        <v>0</v>
      </c>
      <c r="DA255" s="320">
        <f>DA254*DA253</f>
        <v>0</v>
      </c>
      <c r="DB255" s="320">
        <f>DB254*DB253</f>
        <v>0</v>
      </c>
      <c r="DC255" s="320">
        <f>DB255+DA255</f>
        <v>0</v>
      </c>
      <c r="DD255" s="583">
        <f>DC255+CZ255</f>
        <v>0</v>
      </c>
      <c r="DE255" s="320">
        <f>DE254*DE253</f>
        <v>0</v>
      </c>
      <c r="DF255" s="320">
        <f>DF254*DF253</f>
        <v>0</v>
      </c>
      <c r="DG255" s="320">
        <f>DF255+DE255</f>
        <v>0</v>
      </c>
      <c r="DH255" s="320">
        <f>DH254*DH253</f>
        <v>0</v>
      </c>
      <c r="DI255" s="320">
        <f>DI254*DI253</f>
        <v>0</v>
      </c>
      <c r="DJ255" s="320">
        <f>DI255+DH255</f>
        <v>0</v>
      </c>
      <c r="DK255" s="583">
        <f>DJ255+DG255</f>
        <v>0</v>
      </c>
      <c r="DL255" s="344">
        <f>DL254*DL253</f>
        <v>0</v>
      </c>
      <c r="DM255" s="320">
        <f>DM254*DM253</f>
        <v>0</v>
      </c>
      <c r="DN255" s="320">
        <f>DM255+DL255</f>
        <v>0</v>
      </c>
      <c r="DO255" s="320">
        <f>DO254*DO253</f>
        <v>0</v>
      </c>
      <c r="DP255" s="320">
        <f>DP254*DP253</f>
        <v>0</v>
      </c>
      <c r="DQ255" s="320">
        <f>DP255+DO255</f>
        <v>0</v>
      </c>
      <c r="DR255" s="583">
        <f>DQ255+DN255</f>
        <v>0</v>
      </c>
      <c r="DS255" s="320">
        <f>DS254*DS253</f>
        <v>0</v>
      </c>
      <c r="DT255" s="320">
        <f>DT254*DT253</f>
        <v>0</v>
      </c>
      <c r="DU255" s="320">
        <f>DT255+DS255</f>
        <v>0</v>
      </c>
      <c r="DV255" s="320">
        <f>DV254*DV253</f>
        <v>0</v>
      </c>
      <c r="DW255" s="320">
        <f>DW254*DW253</f>
        <v>0</v>
      </c>
      <c r="DX255" s="320">
        <f>DW255+DV255</f>
        <v>0</v>
      </c>
      <c r="DY255" s="583">
        <f>DX255+DU255</f>
        <v>0</v>
      </c>
      <c r="DZ255" s="320">
        <f>DZ254*DZ253</f>
        <v>0</v>
      </c>
      <c r="EA255" s="320">
        <f>EA254*EA253</f>
        <v>0</v>
      </c>
      <c r="EB255" s="320">
        <f>EA255+DZ255</f>
        <v>0</v>
      </c>
      <c r="EC255" s="320">
        <f>EC254*EC253</f>
        <v>0</v>
      </c>
      <c r="ED255" s="320">
        <f>ED254*ED253</f>
        <v>0</v>
      </c>
      <c r="EE255" s="320">
        <f>ED255+EC255</f>
        <v>0</v>
      </c>
      <c r="EF255" s="583">
        <f>EE255+EB255</f>
        <v>0</v>
      </c>
      <c r="EG255" s="320">
        <f>EG254*EG253</f>
        <v>0</v>
      </c>
      <c r="EH255" s="320">
        <f>EH254*EH253</f>
        <v>0</v>
      </c>
      <c r="EI255" s="320">
        <f>EH255+EG255</f>
        <v>0</v>
      </c>
      <c r="EJ255" s="320">
        <f>EJ254*EJ253</f>
        <v>0</v>
      </c>
      <c r="EK255" s="320">
        <f>EK254*EK253</f>
        <v>0</v>
      </c>
      <c r="EL255" s="320">
        <f>EK255+EJ255</f>
        <v>0</v>
      </c>
      <c r="EM255" s="583">
        <f>EL255+EI255</f>
        <v>0</v>
      </c>
      <c r="EN255" s="320">
        <f>EN254*EN253</f>
        <v>0</v>
      </c>
      <c r="EO255" s="320">
        <f>EO254*EO253</f>
        <v>0</v>
      </c>
      <c r="EP255" s="320">
        <f>EO255+EN255</f>
        <v>0</v>
      </c>
      <c r="EQ255" s="344">
        <f>EQ254*EQ253</f>
        <v>0</v>
      </c>
      <c r="ER255" s="320">
        <f>ER254*ER253</f>
        <v>0</v>
      </c>
      <c r="ES255" s="320">
        <f>ER255+EQ255</f>
        <v>0</v>
      </c>
      <c r="ET255" s="583">
        <f>ES255+EP255</f>
        <v>0</v>
      </c>
      <c r="EU255" s="320">
        <f>EU254*EU253</f>
        <v>0</v>
      </c>
      <c r="EV255" s="320">
        <f>EV254*EV253</f>
        <v>0</v>
      </c>
      <c r="EW255" s="320">
        <f>EV255+EU255</f>
        <v>0</v>
      </c>
      <c r="EX255" s="320">
        <f>EX254*EX253</f>
        <v>0</v>
      </c>
      <c r="EY255" s="320">
        <f>EY254*EY253</f>
        <v>0</v>
      </c>
      <c r="EZ255" s="320">
        <f>EY255+EX255</f>
        <v>0</v>
      </c>
      <c r="FA255" s="583">
        <f>EZ255+EW255</f>
        <v>0</v>
      </c>
      <c r="FB255" s="320">
        <f>FB254*FB253</f>
        <v>0</v>
      </c>
      <c r="FC255" s="320">
        <f>FC254*FC253</f>
        <v>0</v>
      </c>
      <c r="FD255" s="320">
        <f>FC255+FB255</f>
        <v>0</v>
      </c>
      <c r="FE255" s="320">
        <f>FE254*FE253</f>
        <v>0</v>
      </c>
      <c r="FF255" s="320">
        <f>FF254*FF253</f>
        <v>0</v>
      </c>
      <c r="FG255" s="320">
        <f>FF255+FE255</f>
        <v>0</v>
      </c>
      <c r="FH255" s="583">
        <f>FG255+FD255</f>
        <v>0</v>
      </c>
      <c r="FI255" s="320">
        <f>FI254*FI253</f>
        <v>0</v>
      </c>
      <c r="FJ255" s="320">
        <f>FJ254*FJ253</f>
        <v>0</v>
      </c>
      <c r="FK255" s="320">
        <f>FJ255+FI255</f>
        <v>0</v>
      </c>
      <c r="FL255" s="320">
        <f>FL254*FL253</f>
        <v>0</v>
      </c>
      <c r="FM255" s="320">
        <f>FM254*FM253</f>
        <v>0</v>
      </c>
      <c r="FN255" s="320">
        <f>FM255+FL255</f>
        <v>0</v>
      </c>
      <c r="FO255" s="583">
        <f>FN255+FK255</f>
        <v>0</v>
      </c>
      <c r="FP255" s="320">
        <f>FP254*FP253</f>
        <v>0</v>
      </c>
      <c r="FQ255" s="320">
        <f>FQ254*FQ253</f>
        <v>0</v>
      </c>
      <c r="FR255" s="320">
        <f>FQ255+FP255</f>
        <v>0</v>
      </c>
      <c r="FS255" s="320">
        <f>FS254*FS253</f>
        <v>0</v>
      </c>
      <c r="FT255" s="320">
        <f>FT254*FT253</f>
        <v>0</v>
      </c>
      <c r="FU255" s="320">
        <f>FT255+FS255</f>
        <v>0</v>
      </c>
      <c r="FV255" s="583">
        <f>FU255+FR255</f>
        <v>0</v>
      </c>
    </row>
    <row r="256" spans="1:280" outlineLevel="1" x14ac:dyDescent="0.3">
      <c r="B256" s="440" t="s">
        <v>588</v>
      </c>
      <c r="C256" s="280"/>
      <c r="CP256" s="320"/>
      <c r="CQ256" s="320"/>
      <c r="CR256" s="320"/>
      <c r="CS256" s="320"/>
      <c r="CT256" s="320"/>
      <c r="CU256" s="320"/>
      <c r="CV256" s="320"/>
      <c r="CW256" s="320"/>
      <c r="CX256" s="320"/>
      <c r="CY256" s="320"/>
      <c r="CZ256" s="320"/>
      <c r="DA256" s="320"/>
      <c r="DB256" s="320"/>
      <c r="DC256" s="320"/>
      <c r="DD256" s="583"/>
      <c r="DE256" s="320"/>
      <c r="DF256" s="320"/>
      <c r="DG256" s="320"/>
      <c r="DH256" s="320"/>
      <c r="DI256" s="320"/>
      <c r="DJ256" s="320"/>
      <c r="DK256" s="583"/>
      <c r="DL256" s="344"/>
      <c r="DM256" s="320"/>
      <c r="DN256" s="320"/>
      <c r="DO256" s="320"/>
      <c r="DP256" s="320"/>
      <c r="DQ256" s="320"/>
      <c r="DR256" s="583"/>
      <c r="DS256" s="320"/>
      <c r="DT256" s="320"/>
      <c r="DU256" s="320"/>
      <c r="DV256" s="320"/>
      <c r="DW256" s="320"/>
      <c r="DX256" s="320"/>
      <c r="DY256" s="583"/>
      <c r="DZ256" s="320"/>
      <c r="EA256" s="320"/>
      <c r="EB256" s="320"/>
      <c r="EC256" s="320"/>
      <c r="ED256" s="320"/>
      <c r="EE256" s="320"/>
      <c r="EF256" s="583"/>
      <c r="EG256" s="320"/>
      <c r="EH256" s="320"/>
      <c r="EI256" s="320"/>
      <c r="EJ256" s="320"/>
      <c r="EK256" s="320"/>
      <c r="EL256" s="320"/>
      <c r="EM256" s="583"/>
      <c r="EN256" s="320"/>
      <c r="EO256" s="320"/>
      <c r="EP256" s="320"/>
      <c r="EQ256" s="344"/>
      <c r="ER256" s="320"/>
      <c r="ES256" s="320"/>
      <c r="ET256" s="583"/>
      <c r="EU256" s="320"/>
      <c r="EV256" s="320"/>
      <c r="EW256" s="320"/>
      <c r="EX256" s="320"/>
      <c r="EY256" s="320"/>
      <c r="EZ256" s="320"/>
      <c r="FA256" s="583"/>
      <c r="FB256" s="320"/>
      <c r="FC256" s="320"/>
      <c r="FD256" s="320"/>
      <c r="FE256" s="320"/>
      <c r="FF256" s="320"/>
      <c r="FG256" s="320"/>
      <c r="FH256" s="583"/>
      <c r="FI256" s="320"/>
      <c r="FJ256" s="320"/>
      <c r="FK256" s="320"/>
      <c r="FL256" s="320"/>
      <c r="FM256" s="320"/>
      <c r="FN256" s="320"/>
      <c r="FO256" s="583"/>
      <c r="FP256" s="320"/>
      <c r="FQ256" s="320"/>
      <c r="FR256" s="320"/>
      <c r="FS256" s="320"/>
      <c r="FT256" s="320"/>
      <c r="FU256" s="320"/>
      <c r="FV256" s="583"/>
    </row>
    <row r="257" spans="2:183" outlineLevel="1" x14ac:dyDescent="0.3">
      <c r="B257" s="279" t="s">
        <v>589</v>
      </c>
      <c r="C257" s="280" t="s">
        <v>226</v>
      </c>
      <c r="D257" s="281">
        <f t="shared" ref="D257:BO257" si="951">D79</f>
        <v>55.899999999999984</v>
      </c>
      <c r="E257" s="281">
        <f t="shared" si="951"/>
        <v>47.6</v>
      </c>
      <c r="F257" s="281">
        <f t="shared" si="951"/>
        <v>104.10000000000002</v>
      </c>
      <c r="G257" s="281">
        <f t="shared" si="951"/>
        <v>40.700000000000017</v>
      </c>
      <c r="H257" s="281">
        <f t="shared" si="951"/>
        <v>-650.9</v>
      </c>
      <c r="I257" s="281">
        <f t="shared" si="951"/>
        <v>-571.59999999999991</v>
      </c>
      <c r="J257" s="281">
        <f t="shared" si="951"/>
        <v>-527.4</v>
      </c>
      <c r="K257" s="281">
        <f t="shared" si="951"/>
        <v>35.9</v>
      </c>
      <c r="L257" s="281">
        <f t="shared" si="951"/>
        <v>21.100000000000009</v>
      </c>
      <c r="M257" s="281">
        <f t="shared" si="951"/>
        <v>57.000000000000021</v>
      </c>
      <c r="N257" s="281">
        <f t="shared" si="951"/>
        <v>-8</v>
      </c>
      <c r="O257" s="281">
        <f t="shared" si="951"/>
        <v>-234.9</v>
      </c>
      <c r="P257" s="281">
        <f t="shared" si="951"/>
        <v>-242.90000000000003</v>
      </c>
      <c r="Q257" s="281">
        <f t="shared" si="951"/>
        <v>-185.90000000000006</v>
      </c>
      <c r="R257" s="281">
        <f t="shared" si="951"/>
        <v>39.100000000000009</v>
      </c>
      <c r="S257" s="281">
        <f t="shared" si="951"/>
        <v>19.100000000000019</v>
      </c>
      <c r="T257" s="281">
        <f t="shared" si="951"/>
        <v>58.200000000000017</v>
      </c>
      <c r="U257" s="281">
        <f t="shared" si="951"/>
        <v>17.099999999999994</v>
      </c>
      <c r="V257" s="281">
        <f t="shared" si="951"/>
        <v>-145.30000000000001</v>
      </c>
      <c r="W257" s="281">
        <f t="shared" si="951"/>
        <v>-56.300000000000011</v>
      </c>
      <c r="X257" s="281">
        <f t="shared" si="951"/>
        <v>-72.000000000000057</v>
      </c>
      <c r="Y257" s="281">
        <f t="shared" si="951"/>
        <v>1.399999999999983</v>
      </c>
      <c r="Z257" s="281">
        <f t="shared" si="951"/>
        <v>153.5</v>
      </c>
      <c r="AA257" s="281">
        <f t="shared" si="951"/>
        <v>154.9</v>
      </c>
      <c r="AB257" s="281">
        <f t="shared" si="951"/>
        <v>110.99999999999999</v>
      </c>
      <c r="AC257" s="281">
        <f t="shared" si="951"/>
        <v>-144.4</v>
      </c>
      <c r="AD257" s="281">
        <f t="shared" si="951"/>
        <v>-18.599999999999994</v>
      </c>
      <c r="AE257" s="281">
        <f t="shared" si="951"/>
        <v>136.30000000000001</v>
      </c>
      <c r="AF257" s="281">
        <f t="shared" si="951"/>
        <v>-77.899999999999991</v>
      </c>
      <c r="AG257" s="281">
        <f t="shared" si="951"/>
        <v>-19.599999999999994</v>
      </c>
      <c r="AH257" s="281">
        <f t="shared" si="951"/>
        <v>-97.500000000000028</v>
      </c>
      <c r="AI257" s="281">
        <f t="shared" si="951"/>
        <v>14.899999999999997</v>
      </c>
      <c r="AJ257" s="281">
        <f t="shared" si="951"/>
        <v>-2.3000000000000194</v>
      </c>
      <c r="AK257" s="281">
        <f t="shared" si="951"/>
        <v>12.599999999999987</v>
      </c>
      <c r="AL257" s="281">
        <f t="shared" si="951"/>
        <v>-84.899999999999991</v>
      </c>
      <c r="AM257" s="281">
        <f t="shared" si="951"/>
        <v>104.9</v>
      </c>
      <c r="AN257" s="281">
        <f t="shared" si="951"/>
        <v>-423.7</v>
      </c>
      <c r="AO257" s="281">
        <f t="shared" si="951"/>
        <v>-318.8</v>
      </c>
      <c r="AP257" s="281">
        <f t="shared" si="951"/>
        <v>-26.4</v>
      </c>
      <c r="AQ257" s="281">
        <f t="shared" si="951"/>
        <v>-1.8000000000000043</v>
      </c>
      <c r="AR257" s="281">
        <f t="shared" si="951"/>
        <v>-28.200000000000003</v>
      </c>
      <c r="AS257" s="281">
        <f t="shared" si="951"/>
        <v>-347</v>
      </c>
      <c r="AT257" s="281">
        <f t="shared" si="951"/>
        <v>0.29999999999998861</v>
      </c>
      <c r="AU257" s="281">
        <f t="shared" si="951"/>
        <v>126.8</v>
      </c>
      <c r="AV257" s="281">
        <f t="shared" si="951"/>
        <v>127.09999999999998</v>
      </c>
      <c r="AW257" s="281">
        <f t="shared" si="951"/>
        <v>-6.6</v>
      </c>
      <c r="AX257" s="281">
        <f t="shared" si="951"/>
        <v>483.8</v>
      </c>
      <c r="AY257" s="281">
        <f t="shared" si="951"/>
        <v>477.2</v>
      </c>
      <c r="AZ257" s="281">
        <f t="shared" si="951"/>
        <v>604.29999999999995</v>
      </c>
      <c r="BA257" s="281">
        <f t="shared" si="951"/>
        <v>68.499999999999986</v>
      </c>
      <c r="BB257" s="281">
        <f t="shared" si="951"/>
        <v>15.000000000000004</v>
      </c>
      <c r="BC257" s="281">
        <f t="shared" si="951"/>
        <v>83.499999999999986</v>
      </c>
      <c r="BD257" s="281">
        <f t="shared" si="951"/>
        <v>31.500000000000007</v>
      </c>
      <c r="BE257" s="281">
        <f t="shared" si="951"/>
        <v>-69.499999999999972</v>
      </c>
      <c r="BF257" s="281">
        <f t="shared" si="951"/>
        <v>-38.000000000000007</v>
      </c>
      <c r="BG257" s="281">
        <f t="shared" si="951"/>
        <v>45.500000000000028</v>
      </c>
      <c r="BH257" s="281">
        <f t="shared" si="951"/>
        <v>142.19999999999999</v>
      </c>
      <c r="BI257" s="281">
        <f t="shared" si="951"/>
        <v>51.900000000000006</v>
      </c>
      <c r="BJ257" s="281">
        <f t="shared" si="951"/>
        <v>194.10000000000002</v>
      </c>
      <c r="BK257" s="281">
        <f t="shared" si="951"/>
        <v>92.2</v>
      </c>
      <c r="BL257" s="281">
        <f t="shared" si="951"/>
        <v>137</v>
      </c>
      <c r="BM257" s="281">
        <f t="shared" si="951"/>
        <v>229.2</v>
      </c>
      <c r="BN257" s="281">
        <f t="shared" si="951"/>
        <v>423.29999999999995</v>
      </c>
      <c r="BO257" s="281">
        <f t="shared" si="951"/>
        <v>28.899999999999995</v>
      </c>
      <c r="BP257" s="281">
        <f t="shared" ref="BP257:DM257" si="952">BP79</f>
        <v>127.2</v>
      </c>
      <c r="BQ257" s="281">
        <f t="shared" si="952"/>
        <v>156.10000000000005</v>
      </c>
      <c r="BR257" s="281">
        <f t="shared" si="952"/>
        <v>107.5</v>
      </c>
      <c r="BS257" s="281">
        <f t="shared" si="952"/>
        <v>27.70000000000001</v>
      </c>
      <c r="BT257" s="281">
        <f t="shared" si="952"/>
        <v>135.20000000000005</v>
      </c>
      <c r="BU257" s="281">
        <f t="shared" si="952"/>
        <v>291.3</v>
      </c>
      <c r="BV257" s="281">
        <f t="shared" si="952"/>
        <v>60</v>
      </c>
      <c r="BW257" s="281">
        <f t="shared" si="952"/>
        <v>130.20000000000005</v>
      </c>
      <c r="BX257" s="281">
        <f t="shared" si="952"/>
        <v>190.20000000000007</v>
      </c>
      <c r="BY257" s="281">
        <f t="shared" si="952"/>
        <v>25.400000000000013</v>
      </c>
      <c r="BZ257" s="281">
        <f t="shared" si="952"/>
        <v>29.099999999999977</v>
      </c>
      <c r="CA257" s="281">
        <f t="shared" si="952"/>
        <v>54.5</v>
      </c>
      <c r="CB257" s="281">
        <f t="shared" si="952"/>
        <v>242.60000000000011</v>
      </c>
      <c r="CC257" s="281">
        <f t="shared" si="952"/>
        <v>87.1</v>
      </c>
      <c r="CD257" s="281">
        <f t="shared" si="952"/>
        <v>57.000000000000014</v>
      </c>
      <c r="CE257" s="281">
        <f t="shared" si="952"/>
        <v>144.10000000000002</v>
      </c>
      <c r="CF257" s="281">
        <f t="shared" si="952"/>
        <v>87.90000000000002</v>
      </c>
      <c r="CG257" s="281">
        <f t="shared" si="952"/>
        <v>43.39999999999997</v>
      </c>
      <c r="CH257" s="281">
        <f t="shared" si="952"/>
        <v>131.29999999999998</v>
      </c>
      <c r="CI257" s="281">
        <f t="shared" si="952"/>
        <v>275.40000000000003</v>
      </c>
      <c r="CJ257" s="281">
        <f t="shared" si="952"/>
        <v>57.6</v>
      </c>
      <c r="CK257" s="281">
        <f t="shared" si="952"/>
        <v>66.100000000000009</v>
      </c>
      <c r="CL257" s="281">
        <f t="shared" si="952"/>
        <v>121.99999999999997</v>
      </c>
      <c r="CM257" s="281">
        <f t="shared" si="952"/>
        <v>79.399999999999963</v>
      </c>
      <c r="CN257" s="281">
        <f t="shared" si="952"/>
        <v>-57.299999999999969</v>
      </c>
      <c r="CO257" s="281">
        <f t="shared" si="952"/>
        <v>22.099999999999966</v>
      </c>
      <c r="CP257" s="320">
        <f t="shared" si="952"/>
        <v>144.09999999999994</v>
      </c>
      <c r="CQ257" s="320">
        <f t="shared" si="952"/>
        <v>90.6</v>
      </c>
      <c r="CR257" s="320">
        <f t="shared" si="952"/>
        <v>69.5</v>
      </c>
      <c r="CS257" s="320">
        <f t="shared" si="952"/>
        <v>160.1</v>
      </c>
      <c r="CT257" s="320">
        <f t="shared" si="952"/>
        <v>67.899999999999991</v>
      </c>
      <c r="CU257" s="320">
        <f t="shared" si="952"/>
        <v>73.799999999999983</v>
      </c>
      <c r="CV257" s="320">
        <f t="shared" si="952"/>
        <v>141.69999999999999</v>
      </c>
      <c r="CW257" s="320">
        <f t="shared" si="952"/>
        <v>301.8</v>
      </c>
      <c r="CX257" s="320">
        <f t="shared" si="952"/>
        <v>86.500000000000043</v>
      </c>
      <c r="CY257" s="320">
        <f t="shared" si="952"/>
        <v>103.09999999999997</v>
      </c>
      <c r="CZ257" s="320">
        <f t="shared" si="952"/>
        <v>189.59999999999997</v>
      </c>
      <c r="DA257" s="320">
        <f t="shared" si="952"/>
        <v>77.100000000000009</v>
      </c>
      <c r="DB257" s="320">
        <f t="shared" si="952"/>
        <v>2.1999999999999602</v>
      </c>
      <c r="DC257" s="320">
        <f>DC79</f>
        <v>79.300000000000011</v>
      </c>
      <c r="DD257" s="583">
        <f>DD79</f>
        <v>268.89999999999998</v>
      </c>
      <c r="DE257" s="320">
        <f>DE79</f>
        <v>9.4000000000000128</v>
      </c>
      <c r="DF257" s="320">
        <f>DF79</f>
        <v>86.800000000000011</v>
      </c>
      <c r="DG257" s="320">
        <f t="shared" si="952"/>
        <v>96.200000000000017</v>
      </c>
      <c r="DH257" s="320">
        <f t="shared" si="952"/>
        <v>68.59999999999998</v>
      </c>
      <c r="DI257" s="320">
        <f t="shared" si="952"/>
        <v>98</v>
      </c>
      <c r="DJ257" s="320">
        <f t="shared" si="952"/>
        <v>166.60000000000005</v>
      </c>
      <c r="DK257" s="583">
        <f t="shared" si="952"/>
        <v>262.80000000000018</v>
      </c>
      <c r="DL257" s="344">
        <f t="shared" si="952"/>
        <v>121.30000000000001</v>
      </c>
      <c r="DM257" s="320">
        <f t="shared" si="952"/>
        <v>150.39999999999998</v>
      </c>
      <c r="DN257" s="320">
        <f t="shared" ref="DN257:DT257" si="953">DN79</f>
        <v>271.70000000000005</v>
      </c>
      <c r="DO257" s="320">
        <f t="shared" si="953"/>
        <v>135.60000000000002</v>
      </c>
      <c r="DP257" s="320">
        <f t="shared" si="953"/>
        <v>52.000000000000014</v>
      </c>
      <c r="DQ257" s="320">
        <f t="shared" si="953"/>
        <v>187.40000000000009</v>
      </c>
      <c r="DR257" s="583">
        <f t="shared" si="953"/>
        <v>459.09999999999991</v>
      </c>
      <c r="DS257" s="320">
        <f t="shared" si="953"/>
        <v>162.9</v>
      </c>
      <c r="DT257" s="320">
        <f t="shared" si="953"/>
        <v>154.20000000000002</v>
      </c>
      <c r="DU257" s="320">
        <f t="shared" ref="DU257:EA257" si="954">DU79</f>
        <v>317.10000000000008</v>
      </c>
      <c r="DV257" s="320">
        <f t="shared" si="954"/>
        <v>101.49999999999997</v>
      </c>
      <c r="DW257" s="320">
        <f t="shared" si="954"/>
        <v>80.400000000000034</v>
      </c>
      <c r="DX257" s="320">
        <f t="shared" si="954"/>
        <v>194.89999999999992</v>
      </c>
      <c r="DY257" s="583">
        <f t="shared" si="954"/>
        <v>512.1</v>
      </c>
      <c r="DZ257" s="320">
        <f t="shared" si="954"/>
        <v>147.60000000000005</v>
      </c>
      <c r="EA257" s="320">
        <f t="shared" si="954"/>
        <v>151.6999999999999</v>
      </c>
      <c r="EB257" s="320">
        <f t="shared" ref="EB257:EH257" si="955">EB79</f>
        <v>299.2999999999999</v>
      </c>
      <c r="EC257" s="320">
        <f t="shared" si="955"/>
        <v>149.90000000000003</v>
      </c>
      <c r="ED257" s="320">
        <f t="shared" si="955"/>
        <v>55.300000000000047</v>
      </c>
      <c r="EE257" s="320">
        <f t="shared" si="955"/>
        <v>205.3</v>
      </c>
      <c r="EF257" s="583">
        <f t="shared" si="955"/>
        <v>510.20000000000027</v>
      </c>
      <c r="EG257" s="320">
        <f t="shared" si="955"/>
        <v>144.30000000000004</v>
      </c>
      <c r="EH257" s="320">
        <f t="shared" si="955"/>
        <v>71.199999999999946</v>
      </c>
      <c r="EI257" s="320">
        <f>EI79</f>
        <v>215.50000000000009</v>
      </c>
      <c r="EJ257" s="320">
        <f>EJ79</f>
        <v>132.4</v>
      </c>
      <c r="EK257" s="320">
        <f>EK79</f>
        <v>42.499999999999964</v>
      </c>
      <c r="EL257" s="320">
        <f>EL79</f>
        <v>174.99999999999994</v>
      </c>
      <c r="EM257" s="583">
        <f>EM79</f>
        <v>424.79999999999995</v>
      </c>
      <c r="EN257" s="320">
        <f t="shared" ref="EN257:EO257" si="956">EN79</f>
        <v>104.4</v>
      </c>
      <c r="EO257" s="320">
        <f t="shared" si="956"/>
        <v>-59.600000000000023</v>
      </c>
      <c r="EP257" s="320">
        <f>EP79</f>
        <v>34</v>
      </c>
      <c r="EQ257" s="344">
        <f t="shared" ref="EQ257" si="957">EQ79</f>
        <v>68.7</v>
      </c>
      <c r="ER257" s="320">
        <f t="shared" ref="ER257:FV257" si="958">ER79</f>
        <v>174.19981295399353</v>
      </c>
      <c r="ES257" s="320">
        <f t="shared" si="958"/>
        <v>257.66721295399356</v>
      </c>
      <c r="ET257" s="583">
        <f t="shared" si="958"/>
        <v>276.1998129539935</v>
      </c>
      <c r="EU257" s="320">
        <f t="shared" si="958"/>
        <v>180.39633145931072</v>
      </c>
      <c r="EV257" s="320">
        <f t="shared" si="958"/>
        <v>178.75069026603586</v>
      </c>
      <c r="EW257" s="320">
        <f t="shared" si="958"/>
        <v>359.14702172534658</v>
      </c>
      <c r="EX257" s="320">
        <f t="shared" si="958"/>
        <v>189.17814775042601</v>
      </c>
      <c r="EY257" s="320">
        <f t="shared" si="958"/>
        <v>221.69040207156581</v>
      </c>
      <c r="EZ257" s="320">
        <f t="shared" si="958"/>
        <v>410.86854982199191</v>
      </c>
      <c r="FA257" s="583">
        <f t="shared" si="958"/>
        <v>770.01557154733871</v>
      </c>
      <c r="FB257" s="320">
        <f t="shared" si="958"/>
        <v>220.56368980489898</v>
      </c>
      <c r="FC257" s="320">
        <f t="shared" si="958"/>
        <v>224.85456638107755</v>
      </c>
      <c r="FD257" s="320">
        <f t="shared" si="958"/>
        <v>445.41825618597653</v>
      </c>
      <c r="FE257" s="320">
        <f t="shared" si="958"/>
        <v>243.60413698367893</v>
      </c>
      <c r="FF257" s="320">
        <f t="shared" si="958"/>
        <v>268.39608381595724</v>
      </c>
      <c r="FG257" s="320">
        <f t="shared" si="958"/>
        <v>512.00022079963628</v>
      </c>
      <c r="FH257" s="583">
        <f t="shared" si="958"/>
        <v>957.41847698561264</v>
      </c>
      <c r="FI257" s="320">
        <f t="shared" si="958"/>
        <v>264.03154169768374</v>
      </c>
      <c r="FJ257" s="320">
        <f t="shared" si="958"/>
        <v>262.23793117405404</v>
      </c>
      <c r="FK257" s="320">
        <f t="shared" si="958"/>
        <v>526.26947287173789</v>
      </c>
      <c r="FL257" s="320">
        <f t="shared" si="958"/>
        <v>281.12962926407738</v>
      </c>
      <c r="FM257" s="320">
        <f t="shared" si="958"/>
        <v>304.86604163712792</v>
      </c>
      <c r="FN257" s="320">
        <f t="shared" si="958"/>
        <v>585.99567090120513</v>
      </c>
      <c r="FO257" s="583">
        <f t="shared" si="958"/>
        <v>1112.2651437729432</v>
      </c>
      <c r="FP257" s="320">
        <f t="shared" si="958"/>
        <v>304.12518448599531</v>
      </c>
      <c r="FQ257" s="320">
        <f t="shared" si="958"/>
        <v>308.82845986245104</v>
      </c>
      <c r="FR257" s="320">
        <f t="shared" si="958"/>
        <v>612.95364434844635</v>
      </c>
      <c r="FS257" s="320">
        <f t="shared" si="958"/>
        <v>328.03519854137579</v>
      </c>
      <c r="FT257" s="320">
        <f t="shared" si="958"/>
        <v>351.28297443391011</v>
      </c>
      <c r="FU257" s="320">
        <f t="shared" si="958"/>
        <v>679.31817297528596</v>
      </c>
      <c r="FV257" s="583">
        <f t="shared" si="958"/>
        <v>1292.2718173237326</v>
      </c>
    </row>
    <row r="258" spans="2:183" outlineLevel="1" x14ac:dyDescent="0.3">
      <c r="B258" s="279" t="s">
        <v>590</v>
      </c>
      <c r="C258" s="280" t="s">
        <v>226</v>
      </c>
      <c r="D258" s="281">
        <f t="shared" ref="D258:BO258" si="959">D76</f>
        <v>60.79999999999999</v>
      </c>
      <c r="E258" s="281">
        <f t="shared" si="959"/>
        <v>52</v>
      </c>
      <c r="F258" s="281">
        <f t="shared" si="959"/>
        <v>116.00000000000003</v>
      </c>
      <c r="G258" s="281">
        <f t="shared" si="959"/>
        <v>45.900000000000013</v>
      </c>
      <c r="H258" s="281">
        <f t="shared" si="959"/>
        <v>54.499999999999993</v>
      </c>
      <c r="I258" s="281">
        <f t="shared" si="959"/>
        <v>126.30000000000001</v>
      </c>
      <c r="J258" s="281">
        <f t="shared" si="959"/>
        <v>188.20000000000005</v>
      </c>
      <c r="K258" s="281">
        <f t="shared" si="959"/>
        <v>62.699999999999996</v>
      </c>
      <c r="L258" s="281">
        <f t="shared" si="959"/>
        <v>68.300000000000011</v>
      </c>
      <c r="M258" s="281">
        <f t="shared" si="959"/>
        <v>131.00000000000003</v>
      </c>
      <c r="N258" s="281">
        <f t="shared" si="959"/>
        <v>36.799999999999997</v>
      </c>
      <c r="O258" s="281">
        <f t="shared" si="959"/>
        <v>51.4</v>
      </c>
      <c r="P258" s="281">
        <f t="shared" si="959"/>
        <v>88.199999999999989</v>
      </c>
      <c r="Q258" s="281">
        <f t="shared" si="959"/>
        <v>219.19999999999993</v>
      </c>
      <c r="R258" s="281">
        <f t="shared" si="959"/>
        <v>70.300000000000011</v>
      </c>
      <c r="S258" s="281">
        <f t="shared" si="959"/>
        <v>49.200000000000017</v>
      </c>
      <c r="T258" s="281">
        <f t="shared" si="959"/>
        <v>119.50000000000001</v>
      </c>
      <c r="U258" s="281">
        <f t="shared" si="959"/>
        <v>37.79999999999999</v>
      </c>
      <c r="V258" s="281">
        <f t="shared" si="959"/>
        <v>16.5</v>
      </c>
      <c r="W258" s="281">
        <f t="shared" si="959"/>
        <v>54.300000000000026</v>
      </c>
      <c r="X258" s="281">
        <f t="shared" si="959"/>
        <v>173.79999999999998</v>
      </c>
      <c r="Y258" s="281">
        <f t="shared" si="959"/>
        <v>39.999999999999986</v>
      </c>
      <c r="Z258" s="281">
        <f t="shared" si="959"/>
        <v>36.200000000000003</v>
      </c>
      <c r="AA258" s="281">
        <f t="shared" si="959"/>
        <v>76.199999999999989</v>
      </c>
      <c r="AB258" s="281">
        <f t="shared" si="959"/>
        <v>16.599999999999994</v>
      </c>
      <c r="AC258" s="281">
        <f t="shared" si="959"/>
        <v>7.6999999999999957</v>
      </c>
      <c r="AD258" s="281">
        <f t="shared" si="959"/>
        <v>24.29999999999999</v>
      </c>
      <c r="AE258" s="281">
        <f t="shared" si="959"/>
        <v>100.5</v>
      </c>
      <c r="AF258" s="281">
        <f t="shared" si="959"/>
        <v>41.599999999999994</v>
      </c>
      <c r="AG258" s="281">
        <f t="shared" si="959"/>
        <v>37.600000000000009</v>
      </c>
      <c r="AH258" s="281">
        <f t="shared" si="959"/>
        <v>79.199999999999974</v>
      </c>
      <c r="AI258" s="281">
        <f t="shared" si="959"/>
        <v>30.1</v>
      </c>
      <c r="AJ258" s="281">
        <f t="shared" si="959"/>
        <v>23.699999999999982</v>
      </c>
      <c r="AK258" s="281">
        <f t="shared" si="959"/>
        <v>53.79999999999999</v>
      </c>
      <c r="AL258" s="281">
        <f t="shared" si="959"/>
        <v>133</v>
      </c>
      <c r="AM258" s="281">
        <f t="shared" si="959"/>
        <v>40.5</v>
      </c>
      <c r="AN258" s="281">
        <f t="shared" si="959"/>
        <v>20.699999999999996</v>
      </c>
      <c r="AO258" s="281">
        <f t="shared" si="959"/>
        <v>61.199999999999989</v>
      </c>
      <c r="AP258" s="281">
        <f t="shared" si="959"/>
        <v>22.2</v>
      </c>
      <c r="AQ258" s="281">
        <f t="shared" si="959"/>
        <v>33.299999999999997</v>
      </c>
      <c r="AR258" s="281">
        <f t="shared" si="959"/>
        <v>55.5</v>
      </c>
      <c r="AS258" s="281">
        <f t="shared" si="959"/>
        <v>116.69999999999996</v>
      </c>
      <c r="AT258" s="281">
        <f t="shared" si="959"/>
        <v>39.70000000000001</v>
      </c>
      <c r="AU258" s="281">
        <f t="shared" si="959"/>
        <v>41.599999999999994</v>
      </c>
      <c r="AV258" s="281">
        <f t="shared" si="959"/>
        <v>81.300000000000011</v>
      </c>
      <c r="AW258" s="281">
        <f t="shared" si="959"/>
        <v>28.5</v>
      </c>
      <c r="AX258" s="281">
        <f t="shared" si="959"/>
        <v>34.499999999999979</v>
      </c>
      <c r="AY258" s="281">
        <f t="shared" si="959"/>
        <v>62.999999999999972</v>
      </c>
      <c r="AZ258" s="281">
        <f t="shared" si="959"/>
        <v>144.30000000000001</v>
      </c>
      <c r="BA258" s="281">
        <f t="shared" si="959"/>
        <v>43.8</v>
      </c>
      <c r="BB258" s="281">
        <f t="shared" si="959"/>
        <v>38.9</v>
      </c>
      <c r="BC258" s="281">
        <f t="shared" si="959"/>
        <v>82.699999999999989</v>
      </c>
      <c r="BD258" s="281">
        <f t="shared" si="959"/>
        <v>26.700000000000006</v>
      </c>
      <c r="BE258" s="281">
        <f t="shared" si="959"/>
        <v>30.700000000000003</v>
      </c>
      <c r="BF258" s="281">
        <f t="shared" si="959"/>
        <v>57.399999999999984</v>
      </c>
      <c r="BG258" s="281">
        <f t="shared" si="959"/>
        <v>140.10000000000002</v>
      </c>
      <c r="BH258" s="281">
        <f t="shared" si="959"/>
        <v>52.000000000000007</v>
      </c>
      <c r="BI258" s="281">
        <f t="shared" si="959"/>
        <v>56.300000000000004</v>
      </c>
      <c r="BJ258" s="281">
        <f t="shared" si="959"/>
        <v>108.30000000000001</v>
      </c>
      <c r="BK258" s="281">
        <f t="shared" si="959"/>
        <v>43.7</v>
      </c>
      <c r="BL258" s="281">
        <f t="shared" si="959"/>
        <v>45.3</v>
      </c>
      <c r="BM258" s="281">
        <f t="shared" si="959"/>
        <v>88.999999999999972</v>
      </c>
      <c r="BN258" s="281">
        <f t="shared" si="959"/>
        <v>197.29999999999995</v>
      </c>
      <c r="BO258" s="281">
        <f t="shared" si="959"/>
        <v>50.099999999999994</v>
      </c>
      <c r="BP258" s="281">
        <f t="shared" ref="BP258:DM258" si="960">BP76</f>
        <v>65.400000000000006</v>
      </c>
      <c r="BQ258" s="281">
        <f t="shared" si="960"/>
        <v>115.50000000000003</v>
      </c>
      <c r="BR258" s="281">
        <f t="shared" si="960"/>
        <v>48.6</v>
      </c>
      <c r="BS258" s="281">
        <f t="shared" si="960"/>
        <v>57.300000000000004</v>
      </c>
      <c r="BT258" s="281">
        <f t="shared" si="960"/>
        <v>105.90000000000002</v>
      </c>
      <c r="BU258" s="281">
        <f t="shared" si="960"/>
        <v>221.39999999999998</v>
      </c>
      <c r="BV258" s="281">
        <f t="shared" si="960"/>
        <v>63.3</v>
      </c>
      <c r="BW258" s="281">
        <f t="shared" si="960"/>
        <v>65.400000000000034</v>
      </c>
      <c r="BX258" s="281">
        <f t="shared" si="960"/>
        <v>128.70000000000005</v>
      </c>
      <c r="BY258" s="281">
        <f t="shared" si="960"/>
        <v>56.20000000000001</v>
      </c>
      <c r="BZ258" s="281">
        <f t="shared" si="960"/>
        <v>58.199999999999974</v>
      </c>
      <c r="CA258" s="281">
        <f t="shared" si="960"/>
        <v>114.39999999999999</v>
      </c>
      <c r="CB258" s="281">
        <f t="shared" si="960"/>
        <v>241.00000000000009</v>
      </c>
      <c r="CC258" s="281">
        <f t="shared" si="960"/>
        <v>66.699999999999989</v>
      </c>
      <c r="CD258" s="281">
        <f t="shared" si="960"/>
        <v>74.700000000000017</v>
      </c>
      <c r="CE258" s="281">
        <f t="shared" si="960"/>
        <v>141.40000000000003</v>
      </c>
      <c r="CF258" s="281">
        <f t="shared" si="960"/>
        <v>52.600000000000023</v>
      </c>
      <c r="CG258" s="281">
        <f t="shared" si="960"/>
        <v>54.999999999999972</v>
      </c>
      <c r="CH258" s="281">
        <f t="shared" si="960"/>
        <v>107.6</v>
      </c>
      <c r="CI258" s="281">
        <f t="shared" si="960"/>
        <v>249.00000000000003</v>
      </c>
      <c r="CJ258" s="281">
        <f t="shared" si="960"/>
        <v>61.900000000000006</v>
      </c>
      <c r="CK258" s="281">
        <f t="shared" si="960"/>
        <v>73.600000000000009</v>
      </c>
      <c r="CL258" s="281">
        <f t="shared" si="960"/>
        <v>135.49999999999997</v>
      </c>
      <c r="CM258" s="281">
        <f t="shared" si="960"/>
        <v>69.399999999999977</v>
      </c>
      <c r="CN258" s="281">
        <f t="shared" si="960"/>
        <v>81.400000000000034</v>
      </c>
      <c r="CO258" s="281">
        <f t="shared" si="960"/>
        <v>150.79999999999998</v>
      </c>
      <c r="CP258" s="320">
        <f t="shared" si="960"/>
        <v>286.29999999999995</v>
      </c>
      <c r="CQ258" s="320">
        <f t="shared" si="960"/>
        <v>79.900000000000006</v>
      </c>
      <c r="CR258" s="320">
        <f t="shared" si="960"/>
        <v>80.900000000000006</v>
      </c>
      <c r="CS258" s="320">
        <f t="shared" si="960"/>
        <v>160.80000000000001</v>
      </c>
      <c r="CT258" s="320">
        <f t="shared" si="960"/>
        <v>65.899999999999991</v>
      </c>
      <c r="CU258" s="320">
        <f t="shared" si="960"/>
        <v>73.799999999999983</v>
      </c>
      <c r="CV258" s="320">
        <f t="shared" si="960"/>
        <v>139.69999999999999</v>
      </c>
      <c r="CW258" s="320">
        <f t="shared" si="960"/>
        <v>300.5</v>
      </c>
      <c r="CX258" s="320">
        <f t="shared" si="960"/>
        <v>90.200000000000045</v>
      </c>
      <c r="CY258" s="320">
        <f t="shared" si="960"/>
        <v>98.599999999999966</v>
      </c>
      <c r="CZ258" s="320">
        <f t="shared" si="960"/>
        <v>188.79999999999995</v>
      </c>
      <c r="DA258" s="320">
        <f t="shared" si="960"/>
        <v>77.100000000000009</v>
      </c>
      <c r="DB258" s="320">
        <f t="shared" si="960"/>
        <v>87.099999999999966</v>
      </c>
      <c r="DC258" s="320">
        <f>DC76</f>
        <v>164.20000000000002</v>
      </c>
      <c r="DD258" s="583">
        <f>DD76</f>
        <v>353</v>
      </c>
      <c r="DE258" s="320">
        <f>DE76</f>
        <v>89.300000000000011</v>
      </c>
      <c r="DF258" s="320">
        <f>DF76</f>
        <v>120.5</v>
      </c>
      <c r="DG258" s="320">
        <f t="shared" si="960"/>
        <v>209.8</v>
      </c>
      <c r="DH258" s="320">
        <f t="shared" si="960"/>
        <v>123.29999999999998</v>
      </c>
      <c r="DI258" s="320">
        <f t="shared" si="960"/>
        <v>124.9</v>
      </c>
      <c r="DJ258" s="320">
        <f t="shared" si="960"/>
        <v>248.20000000000005</v>
      </c>
      <c r="DK258" s="583">
        <f t="shared" si="960"/>
        <v>458.00000000000017</v>
      </c>
      <c r="DL258" s="344">
        <f t="shared" si="960"/>
        <v>134.20000000000002</v>
      </c>
      <c r="DM258" s="320">
        <f t="shared" si="960"/>
        <v>155.19999999999999</v>
      </c>
      <c r="DN258" s="320">
        <f t="shared" ref="DN258:EM258" si="961">DN76</f>
        <v>289.40000000000003</v>
      </c>
      <c r="DO258" s="320">
        <f t="shared" si="961"/>
        <v>154.30000000000001</v>
      </c>
      <c r="DP258" s="320">
        <f t="shared" si="961"/>
        <v>177.3</v>
      </c>
      <c r="DQ258" s="320">
        <f t="shared" si="961"/>
        <v>331.30000000000007</v>
      </c>
      <c r="DR258" s="583">
        <f t="shared" si="961"/>
        <v>620.69999999999993</v>
      </c>
      <c r="DS258" s="320">
        <f t="shared" si="961"/>
        <v>154.30000000000001</v>
      </c>
      <c r="DT258" s="320">
        <f t="shared" si="961"/>
        <v>162.60000000000002</v>
      </c>
      <c r="DU258" s="320">
        <f t="shared" si="961"/>
        <v>316.90000000000009</v>
      </c>
      <c r="DV258" s="320">
        <f t="shared" si="961"/>
        <v>130.59999999999997</v>
      </c>
      <c r="DW258" s="320">
        <f t="shared" si="961"/>
        <v>145.10000000000002</v>
      </c>
      <c r="DX258" s="320">
        <f t="shared" si="961"/>
        <v>288.59999999999991</v>
      </c>
      <c r="DY258" s="583">
        <f t="shared" si="961"/>
        <v>605.5</v>
      </c>
      <c r="DZ258" s="320">
        <f t="shared" si="961"/>
        <v>174.20000000000005</v>
      </c>
      <c r="EA258" s="320">
        <f t="shared" si="961"/>
        <v>178.89999999999992</v>
      </c>
      <c r="EB258" s="320">
        <f t="shared" si="961"/>
        <v>353.09999999999991</v>
      </c>
      <c r="EC258" s="320">
        <f t="shared" si="961"/>
        <v>179.90000000000003</v>
      </c>
      <c r="ED258" s="320">
        <f t="shared" si="961"/>
        <v>174.50000000000006</v>
      </c>
      <c r="EE258" s="320">
        <f t="shared" si="961"/>
        <v>354.40000000000003</v>
      </c>
      <c r="EF258" s="583">
        <f t="shared" si="961"/>
        <v>707.50000000000023</v>
      </c>
      <c r="EG258" s="320">
        <f t="shared" si="961"/>
        <v>177.60000000000002</v>
      </c>
      <c r="EH258" s="320">
        <f t="shared" si="961"/>
        <v>156.99999999999994</v>
      </c>
      <c r="EI258" s="320">
        <f t="shared" si="961"/>
        <v>334.60000000000008</v>
      </c>
      <c r="EJ258" s="320">
        <f t="shared" si="961"/>
        <v>153.6</v>
      </c>
      <c r="EK258" s="320">
        <f t="shared" si="961"/>
        <v>156.09999999999997</v>
      </c>
      <c r="EL258" s="320">
        <f t="shared" si="961"/>
        <v>309.69999999999993</v>
      </c>
      <c r="EM258" s="583">
        <f t="shared" si="961"/>
        <v>644.29999999999995</v>
      </c>
      <c r="EN258" s="320">
        <f t="shared" ref="EN258:EP258" si="962">EN76</f>
        <v>126.9</v>
      </c>
      <c r="EO258" s="320">
        <f t="shared" si="962"/>
        <v>154</v>
      </c>
      <c r="EP258" s="320">
        <f t="shared" si="962"/>
        <v>270.10000000000002</v>
      </c>
      <c r="EQ258" s="344">
        <f t="shared" ref="EQ258" si="963">EQ76</f>
        <v>142.19999999999999</v>
      </c>
      <c r="ER258" s="320">
        <f t="shared" ref="ER258:FV258" si="964">ER76</f>
        <v>174.46600657520099</v>
      </c>
      <c r="ES258" s="320">
        <f t="shared" si="964"/>
        <v>331.43212825313157</v>
      </c>
      <c r="ET258" s="583">
        <f t="shared" si="964"/>
        <v>586.05786803616979</v>
      </c>
      <c r="EU258" s="320">
        <f t="shared" si="964"/>
        <v>180.66325005170313</v>
      </c>
      <c r="EV258" s="320">
        <f t="shared" si="964"/>
        <v>179.01369919472339</v>
      </c>
      <c r="EW258" s="320">
        <f t="shared" si="964"/>
        <v>359.41194372828875</v>
      </c>
      <c r="EX258" s="320">
        <f t="shared" si="964"/>
        <v>189.45613241805032</v>
      </c>
      <c r="EY258" s="320">
        <f t="shared" si="964"/>
        <v>221.96768967408522</v>
      </c>
      <c r="EZ258" s="320">
        <f t="shared" si="964"/>
        <v>411.14616964977216</v>
      </c>
      <c r="FA258" s="583">
        <f t="shared" si="964"/>
        <v>770.28692652403538</v>
      </c>
      <c r="FB258" s="320">
        <f t="shared" si="964"/>
        <v>220.83527410685241</v>
      </c>
      <c r="FC258" s="320">
        <f t="shared" si="964"/>
        <v>225.1224541763583</v>
      </c>
      <c r="FD258" s="320">
        <f t="shared" si="964"/>
        <v>445.68794099150102</v>
      </c>
      <c r="FE258" s="320">
        <f t="shared" si="964"/>
        <v>243.89355901418935</v>
      </c>
      <c r="FF258" s="320">
        <f t="shared" si="964"/>
        <v>268.67682244354052</v>
      </c>
      <c r="FG258" s="320">
        <f t="shared" si="964"/>
        <v>512.2851130656378</v>
      </c>
      <c r="FH258" s="583">
        <f t="shared" si="964"/>
        <v>957.69587504735796</v>
      </c>
      <c r="FI258" s="320">
        <f t="shared" si="964"/>
        <v>264.31109991290424</v>
      </c>
      <c r="FJ258" s="320">
        <f t="shared" si="964"/>
        <v>262.50898310896611</v>
      </c>
      <c r="FK258" s="320">
        <f t="shared" si="964"/>
        <v>526.54466965499728</v>
      </c>
      <c r="FL258" s="320">
        <f t="shared" si="964"/>
        <v>281.42219990915186</v>
      </c>
      <c r="FM258" s="320">
        <f t="shared" si="964"/>
        <v>305.14933130947696</v>
      </c>
      <c r="FN258" s="320">
        <f t="shared" si="964"/>
        <v>586.28341493949927</v>
      </c>
      <c r="FO258" s="583">
        <f t="shared" si="964"/>
        <v>1112.5466819624703</v>
      </c>
      <c r="FP258" s="320">
        <f t="shared" si="964"/>
        <v>304.40874654704811</v>
      </c>
      <c r="FQ258" s="320">
        <f t="shared" si="964"/>
        <v>309.10536108442795</v>
      </c>
      <c r="FR258" s="320">
        <f t="shared" si="964"/>
        <v>613.23378031755999</v>
      </c>
      <c r="FS258" s="320">
        <f t="shared" si="964"/>
        <v>328.33244131060582</v>
      </c>
      <c r="FT258" s="320">
        <f t="shared" si="964"/>
        <v>351.56990743841192</v>
      </c>
      <c r="FU258" s="320">
        <f t="shared" si="964"/>
        <v>679.61006325472624</v>
      </c>
      <c r="FV258" s="583">
        <f t="shared" si="964"/>
        <v>1292.5579072260932</v>
      </c>
    </row>
    <row r="259" spans="2:183" outlineLevel="1" x14ac:dyDescent="0.3">
      <c r="B259" s="440" t="s">
        <v>591</v>
      </c>
      <c r="C259" s="280"/>
      <c r="CP259" s="320"/>
      <c r="CQ259" s="320"/>
      <c r="CR259" s="320"/>
      <c r="CS259" s="320"/>
      <c r="CT259" s="320"/>
      <c r="CU259" s="320"/>
      <c r="CV259" s="320"/>
      <c r="CW259" s="320"/>
      <c r="CX259" s="320"/>
      <c r="CY259" s="320"/>
      <c r="CZ259" s="320"/>
      <c r="DA259" s="320"/>
      <c r="DB259" s="320"/>
      <c r="DC259" s="320"/>
      <c r="DD259" s="619"/>
      <c r="DE259" s="320"/>
      <c r="DF259" s="320"/>
      <c r="DG259" s="320"/>
      <c r="DH259" s="320"/>
      <c r="DI259" s="320"/>
      <c r="DJ259" s="320"/>
      <c r="DK259" s="619"/>
      <c r="DL259" s="344"/>
      <c r="DM259" s="320"/>
      <c r="DN259" s="320"/>
      <c r="DO259" s="320"/>
      <c r="DP259" s="320"/>
      <c r="DQ259" s="320"/>
      <c r="DR259" s="619"/>
      <c r="DS259" s="320"/>
      <c r="DT259" s="320"/>
      <c r="DU259" s="320"/>
      <c r="DV259" s="320"/>
      <c r="DW259" s="320"/>
      <c r="DX259" s="320"/>
      <c r="DY259" s="619"/>
      <c r="DZ259" s="320"/>
      <c r="EA259" s="320"/>
      <c r="EB259" s="320"/>
      <c r="EC259" s="320"/>
      <c r="ED259" s="320"/>
      <c r="EE259" s="320"/>
      <c r="EF259" s="619"/>
      <c r="EG259" s="320"/>
      <c r="EH259" s="320"/>
      <c r="EI259" s="320"/>
      <c r="EJ259" s="320"/>
      <c r="EK259" s="320"/>
      <c r="EL259" s="320"/>
      <c r="EM259" s="619"/>
      <c r="EN259" s="320"/>
      <c r="EO259" s="320"/>
      <c r="EP259" s="320"/>
      <c r="EQ259" s="344"/>
      <c r="ER259" s="515"/>
      <c r="ES259" s="515"/>
      <c r="ET259" s="619"/>
      <c r="EU259" s="515"/>
      <c r="EV259" s="515"/>
      <c r="EW259" s="515"/>
      <c r="EX259" s="515"/>
      <c r="EY259" s="515"/>
      <c r="EZ259" s="515"/>
      <c r="FA259" s="619"/>
      <c r="FB259" s="515"/>
      <c r="FC259" s="515"/>
      <c r="FD259" s="515"/>
      <c r="FE259" s="515"/>
      <c r="FF259" s="515"/>
      <c r="FG259" s="515"/>
      <c r="FH259" s="619"/>
      <c r="FI259" s="515"/>
      <c r="FJ259" s="515"/>
      <c r="FK259" s="515"/>
      <c r="FL259" s="515"/>
      <c r="FM259" s="515"/>
      <c r="FN259" s="515"/>
      <c r="FO259" s="619"/>
      <c r="FP259" s="515"/>
      <c r="FQ259" s="515"/>
      <c r="FR259" s="515"/>
      <c r="FS259" s="515"/>
      <c r="FT259" s="515"/>
      <c r="FU259" s="515"/>
      <c r="FV259" s="619"/>
      <c r="FX259" s="532" t="s">
        <v>420</v>
      </c>
    </row>
    <row r="260" spans="2:183" outlineLevel="1" x14ac:dyDescent="0.3">
      <c r="B260" s="279" t="s">
        <v>589</v>
      </c>
      <c r="C260" s="280" t="s">
        <v>592</v>
      </c>
      <c r="D260" s="281">
        <f>D257/D251*100</f>
        <v>12.081262156905119</v>
      </c>
      <c r="E260" s="281">
        <f>E257/E251*100</f>
        <v>10.197086546700943</v>
      </c>
      <c r="F260" s="281">
        <f>F257/F251*100</f>
        <v>22.387096774193555</v>
      </c>
      <c r="G260" s="281">
        <f>G257/G251*100</f>
        <v>8.718937446443876</v>
      </c>
      <c r="H260" s="281">
        <f>H257/H251*100</f>
        <v>-140.97899068659302</v>
      </c>
      <c r="I260" s="281">
        <f>J260-F260</f>
        <v>-136.61711626737096</v>
      </c>
      <c r="J260" s="281">
        <f t="shared" ref="J260:O260" si="965">J257/J251*100</f>
        <v>-114.23001949317739</v>
      </c>
      <c r="K260" s="281">
        <f t="shared" si="965"/>
        <v>7.689012636538874</v>
      </c>
      <c r="L260" s="281">
        <f t="shared" si="965"/>
        <v>4.5366587830574092</v>
      </c>
      <c r="M260" s="281">
        <f t="shared" si="965"/>
        <v>12.231759656652365</v>
      </c>
      <c r="N260" s="281">
        <f t="shared" si="965"/>
        <v>-1.7215407789972024</v>
      </c>
      <c r="O260" s="281">
        <f t="shared" si="965"/>
        <v>-50.364493996569472</v>
      </c>
      <c r="P260" s="281">
        <f>Q260-M260</f>
        <v>-52.090250222690116</v>
      </c>
      <c r="Q260" s="281">
        <f t="shared" ref="Q260:V260" si="966">Q257/Q251*100</f>
        <v>-39.858490566037752</v>
      </c>
      <c r="R260" s="281">
        <f t="shared" si="966"/>
        <v>8.3297827013208376</v>
      </c>
      <c r="S260" s="281">
        <f t="shared" si="966"/>
        <v>4.0785821054879392</v>
      </c>
      <c r="T260" s="281">
        <f t="shared" si="966"/>
        <v>12.422625400213452</v>
      </c>
      <c r="U260" s="281">
        <f t="shared" si="966"/>
        <v>3.7848605577689232</v>
      </c>
      <c r="V260" s="281">
        <f t="shared" si="966"/>
        <v>-31.934065934065934</v>
      </c>
      <c r="W260" s="281">
        <f>X260-T260</f>
        <v>-28.246801224389287</v>
      </c>
      <c r="X260" s="281">
        <f t="shared" ref="X260:AC260" si="967">X257/X251*100</f>
        <v>-15.824175824175837</v>
      </c>
      <c r="Y260" s="281">
        <f t="shared" si="967"/>
        <v>0.3239241092086958</v>
      </c>
      <c r="Z260" s="281">
        <f t="shared" si="967"/>
        <v>35.450346420323328</v>
      </c>
      <c r="AA260" s="281">
        <f t="shared" si="967"/>
        <v>35.76541214500115</v>
      </c>
      <c r="AB260" s="281">
        <f t="shared" si="967"/>
        <v>25.605536332179931</v>
      </c>
      <c r="AC260" s="281">
        <f t="shared" si="967"/>
        <v>-33.23360184119678</v>
      </c>
      <c r="AD260" s="281">
        <f>AE260-AA260</f>
        <v>-4.3960220414338274</v>
      </c>
      <c r="AE260" s="281">
        <f t="shared" ref="AE260:AJ260" si="968">AE257/AE251*100</f>
        <v>31.369390103567323</v>
      </c>
      <c r="AF260" s="281">
        <f t="shared" si="968"/>
        <v>-18.019893592412675</v>
      </c>
      <c r="AG260" s="281">
        <f t="shared" si="968"/>
        <v>-4.5317919075144495</v>
      </c>
      <c r="AH260" s="281">
        <f t="shared" si="968"/>
        <v>-22.548566142460693</v>
      </c>
      <c r="AI260" s="281">
        <f t="shared" si="968"/>
        <v>3.3956244302643568</v>
      </c>
      <c r="AJ260" s="281">
        <f t="shared" si="968"/>
        <v>-0.53105518356038306</v>
      </c>
      <c r="AK260" s="281">
        <f>AL260-AH260</f>
        <v>2.9457030623406304</v>
      </c>
      <c r="AL260" s="281">
        <f t="shared" ref="AL260:AQ260" si="969">AL257/AL251*100</f>
        <v>-19.602863080120063</v>
      </c>
      <c r="AM260" s="281">
        <f t="shared" si="969"/>
        <v>23.917008663930687</v>
      </c>
      <c r="AN260" s="281">
        <f t="shared" si="969"/>
        <v>-97.290470723306541</v>
      </c>
      <c r="AO260" s="281">
        <f t="shared" si="969"/>
        <v>-73.27051252585612</v>
      </c>
      <c r="AP260" s="281">
        <f t="shared" si="969"/>
        <v>-6.0578246902248738</v>
      </c>
      <c r="AQ260" s="281">
        <f t="shared" si="969"/>
        <v>-0.41124057573680706</v>
      </c>
      <c r="AR260" s="281">
        <f>AS260-AO260</f>
        <v>-6.0437731884295971</v>
      </c>
      <c r="AS260" s="281">
        <f t="shared" ref="AS260:AX260" si="970">AS257/AS251*100</f>
        <v>-79.314285714285717</v>
      </c>
      <c r="AT260" s="281">
        <f t="shared" si="970"/>
        <v>6.8383861408704949E-2</v>
      </c>
      <c r="AU260" s="281">
        <f t="shared" si="970"/>
        <v>28.818181818181817</v>
      </c>
      <c r="AV260" s="281">
        <f t="shared" si="970"/>
        <v>28.886363636363633</v>
      </c>
      <c r="AW260" s="281">
        <f t="shared" si="970"/>
        <v>-1.5172413793103448</v>
      </c>
      <c r="AX260" s="281">
        <f t="shared" si="970"/>
        <v>111.50711640540212</v>
      </c>
      <c r="AY260" s="281">
        <f>AZ260-AV260</f>
        <v>109.11317963835663</v>
      </c>
      <c r="AZ260" s="281">
        <f t="shared" ref="AZ260:BE260" si="971">AZ257/AZ251*100</f>
        <v>137.99954327472025</v>
      </c>
      <c r="BA260" s="281">
        <f t="shared" si="971"/>
        <v>15.621436716077532</v>
      </c>
      <c r="BB260" s="281">
        <f t="shared" si="971"/>
        <v>3.4114168751421432</v>
      </c>
      <c r="BC260" s="281">
        <f t="shared" si="971"/>
        <v>19.007511950830864</v>
      </c>
      <c r="BD260" s="281">
        <f t="shared" si="971"/>
        <v>7.1542130365659791</v>
      </c>
      <c r="BE260" s="281">
        <f t="shared" si="971"/>
        <v>-15.702666064166282</v>
      </c>
      <c r="BF260" s="281">
        <f>BG260-BC260</f>
        <v>-8.6806848968136077</v>
      </c>
      <c r="BG260" s="281">
        <f t="shared" ref="BG260:BL260" si="972">BG257/BG251*100</f>
        <v>10.326827054017256</v>
      </c>
      <c r="BH260" s="281">
        <f t="shared" si="972"/>
        <v>32.092078537576164</v>
      </c>
      <c r="BI260" s="281">
        <f t="shared" si="972"/>
        <v>11.702367531003384</v>
      </c>
      <c r="BJ260" s="281">
        <f t="shared" si="972"/>
        <v>43.795126353790621</v>
      </c>
      <c r="BK260" s="281">
        <f t="shared" si="972"/>
        <v>20.709793351302785</v>
      </c>
      <c r="BL260" s="281">
        <f t="shared" si="972"/>
        <v>30.967450271247742</v>
      </c>
      <c r="BM260" s="281">
        <f>BN260-BJ260</f>
        <v>51.414050434333518</v>
      </c>
      <c r="BN260" s="281">
        <f t="shared" ref="BN260:BS260" si="973">BN257/BN251*100</f>
        <v>95.20917678812414</v>
      </c>
      <c r="BO260" s="281">
        <f t="shared" si="973"/>
        <v>6.4798206278026891</v>
      </c>
      <c r="BP260" s="281">
        <f t="shared" si="973"/>
        <v>28.532974427994617</v>
      </c>
      <c r="BQ260" s="281">
        <f t="shared" si="973"/>
        <v>35.023558447386144</v>
      </c>
      <c r="BR260" s="281">
        <f t="shared" si="973"/>
        <v>24.108544516707784</v>
      </c>
      <c r="BS260" s="281">
        <f t="shared" si="973"/>
        <v>6.2051971326164894</v>
      </c>
      <c r="BT260" s="281">
        <f>BU260-BQ260</f>
        <v>30.792076437385653</v>
      </c>
      <c r="BU260" s="281">
        <f t="shared" ref="BU260:BZ260" si="974">BU257/BU251*100</f>
        <v>65.815634884771796</v>
      </c>
      <c r="BV260" s="281">
        <f t="shared" si="974"/>
        <v>13.410818059901656</v>
      </c>
      <c r="BW260" s="281">
        <f t="shared" si="974"/>
        <v>29.147078576225667</v>
      </c>
      <c r="BX260" s="281">
        <f t="shared" si="974"/>
        <v>43.070652173913061</v>
      </c>
      <c r="BY260" s="281">
        <f t="shared" si="974"/>
        <v>5.6810556922388757</v>
      </c>
      <c r="BZ260" s="281">
        <f t="shared" si="974"/>
        <v>6.534920278463952</v>
      </c>
      <c r="CA260" s="281">
        <f>CB260-BX260</f>
        <v>11.575141271294754</v>
      </c>
      <c r="CB260" s="281">
        <f t="shared" ref="CB260:CG260" si="975">CB257/CB251*100</f>
        <v>54.645793445207815</v>
      </c>
      <c r="CC260" s="281">
        <f t="shared" si="975"/>
        <v>19.472389894925104</v>
      </c>
      <c r="CD260" s="281">
        <f t="shared" si="975"/>
        <v>12.797485406376294</v>
      </c>
      <c r="CE260" s="281">
        <f t="shared" si="975"/>
        <v>32.531553354830216</v>
      </c>
      <c r="CF260" s="281">
        <f t="shared" si="975"/>
        <v>19.904891304347831</v>
      </c>
      <c r="CG260" s="281">
        <f t="shared" si="975"/>
        <v>9.8447885830177277</v>
      </c>
      <c r="CH260" s="281">
        <f>CI260-CE260</f>
        <v>29.509446870445764</v>
      </c>
      <c r="CI260" s="281">
        <f>CI257/CI251*100</f>
        <v>62.04100022527598</v>
      </c>
      <c r="CJ260" s="281">
        <f>CJ257/CJ251*100</f>
        <v>13.043478260869565</v>
      </c>
      <c r="CK260" s="281">
        <f>CK257/CK251*100</f>
        <v>14.971687429218575</v>
      </c>
      <c r="CL260" s="281">
        <f>CL257/CL251*100</f>
        <v>27.674234114153144</v>
      </c>
      <c r="CM260" s="281">
        <f>CM257/CM251*100</f>
        <v>17.963800904977369</v>
      </c>
      <c r="CN260" s="281">
        <f>CP260-CL260-CM260</f>
        <v>-13.058337980921166</v>
      </c>
      <c r="CO260" s="281">
        <f>CP260-CL260</f>
        <v>4.9054629240562022</v>
      </c>
      <c r="CP260" s="320">
        <f>CP257/CP251*100</f>
        <v>32.579697038209346</v>
      </c>
      <c r="CQ260" s="320">
        <f>CQ257/CQ251*100</f>
        <v>20.451467268623023</v>
      </c>
      <c r="CR260" s="320">
        <f>CR257/CR251*100</f>
        <v>15.684946964567818</v>
      </c>
      <c r="CS260" s="320">
        <f>CS257/CS251*100</f>
        <v>36.26075982558217</v>
      </c>
      <c r="CT260" s="320">
        <f>CT257/CT251*100</f>
        <v>15.32385466034755</v>
      </c>
      <c r="CU260" s="320">
        <f>CW260-CS260-CT260</f>
        <v>16.541796349284724</v>
      </c>
      <c r="CV260" s="320">
        <f>CW260-CS260</f>
        <v>31.865651009632273</v>
      </c>
      <c r="CW260" s="281">
        <f>CW257/CW251*100</f>
        <v>68.126410835214443</v>
      </c>
      <c r="CX260" s="320">
        <f>CX257/CX251*100</f>
        <v>19.512745319196942</v>
      </c>
      <c r="CY260" s="320">
        <f>CY257/CY251*100</f>
        <v>23.194600674915627</v>
      </c>
      <c r="CZ260" s="320">
        <f>CZ257/CZ251*100</f>
        <v>42.869749412409142</v>
      </c>
      <c r="DA260" s="320">
        <f>DA257/DA251*100</f>
        <v>17.329737019554958</v>
      </c>
      <c r="DB260" s="320">
        <f>DD260-CZ260-DA260</f>
        <v>0.34993937303476841</v>
      </c>
      <c r="DC260" s="320">
        <f>DD260-CZ260</f>
        <v>17.679676392589727</v>
      </c>
      <c r="DD260" s="575">
        <f>DD257/DD251*100</f>
        <v>60.549425804998869</v>
      </c>
      <c r="DE260" s="320">
        <f>DE257/DE251*100</f>
        <v>2.1114106019766425</v>
      </c>
      <c r="DF260" s="320">
        <f>DF257/DF251*100</f>
        <v>19.514388489208635</v>
      </c>
      <c r="DG260" s="320">
        <f>DG257/DG251*100</f>
        <v>21.708482876271987</v>
      </c>
      <c r="DH260" s="320">
        <f>DH257/DH251*100</f>
        <v>15.39842873176206</v>
      </c>
      <c r="DI260" s="320">
        <f>DK260-DG260-DH260</f>
        <v>21.896231633995633</v>
      </c>
      <c r="DJ260" s="320">
        <f>DK260-DG260</f>
        <v>37.294660365757693</v>
      </c>
      <c r="DK260" s="575">
        <f>DK257/DK251*100</f>
        <v>59.00314324202968</v>
      </c>
      <c r="DL260" s="344">
        <f>DL257/DL251*100</f>
        <v>27.215615885124528</v>
      </c>
      <c r="DM260" s="320">
        <f>DM257/DM251*100</f>
        <v>33.721973094170401</v>
      </c>
      <c r="DN260" s="320">
        <f>DN257/DN251*100</f>
        <v>60.919282511210767</v>
      </c>
      <c r="DO260" s="320">
        <f>DO257/DO251*100</f>
        <v>30.383150347300024</v>
      </c>
      <c r="DP260" s="320">
        <f>DR260-DN260-DO260</f>
        <v>11.657872142610536</v>
      </c>
      <c r="DQ260" s="320">
        <f>DR260-DN260</f>
        <v>42.04102248991056</v>
      </c>
      <c r="DR260" s="575">
        <f>DR257/DR251*100</f>
        <v>102.96030500112133</v>
      </c>
      <c r="DS260" s="320">
        <f>DS257/DS251*100</f>
        <v>36.532854900201848</v>
      </c>
      <c r="DT260" s="320">
        <f>DT257/DT251*100</f>
        <v>34.566240753194357</v>
      </c>
      <c r="DU260" s="320">
        <f>DU257/DU251*100</f>
        <v>71.082716879623419</v>
      </c>
      <c r="DV260" s="320">
        <f>DV257/DV251*100</f>
        <v>22.762951334379899</v>
      </c>
      <c r="DW260" s="320">
        <f>DY260-DU260-DV260</f>
        <v>21.078030170197742</v>
      </c>
      <c r="DX260" s="320">
        <f>DY260-DU260</f>
        <v>43.840981504577641</v>
      </c>
      <c r="DY260" s="575">
        <f>DY257/DY251*100</f>
        <v>114.92369838420106</v>
      </c>
      <c r="DZ260" s="320">
        <f>DZ257/DZ251*100</f>
        <v>33.333333333333343</v>
      </c>
      <c r="EA260" s="320">
        <f>EA257/EA251*100</f>
        <v>34.336803983703014</v>
      </c>
      <c r="EB260" s="320">
        <f>EB257/EB251*100</f>
        <v>67.745586238116772</v>
      </c>
      <c r="EC260" s="320">
        <f>EC257/EC251*100</f>
        <v>34.200319415925172</v>
      </c>
      <c r="ED260" s="320">
        <f>EF260-EB260-EC260</f>
        <v>14.114148941044554</v>
      </c>
      <c r="EE260" s="320">
        <f>EF260-EB260</f>
        <v>48.314468356969726</v>
      </c>
      <c r="EF260" s="575">
        <f>EF257/EF251*100</f>
        <v>116.0600545950865</v>
      </c>
      <c r="EG260" s="320">
        <f>EG257/EG251*100</f>
        <v>33.210586881472963</v>
      </c>
      <c r="EH260" s="320">
        <f>EH257/EH251*100</f>
        <v>16.428241808952457</v>
      </c>
      <c r="EI260" s="320">
        <f>EI257/EI251*100</f>
        <v>49.723119520073858</v>
      </c>
      <c r="EJ260" s="320">
        <f>EJ257/EJ251*100</f>
        <v>30.726386632629382</v>
      </c>
      <c r="EK260" s="320">
        <f>EM260-EI260-EJ260</f>
        <v>17.86107010279316</v>
      </c>
      <c r="EL260" s="320">
        <f>EM260-EI260</f>
        <v>48.587456735422542</v>
      </c>
      <c r="EM260" s="575">
        <f t="shared" ref="EM260" si="976">EM257/EM251*100</f>
        <v>98.3105762554964</v>
      </c>
      <c r="EN260" s="320">
        <f>EN257/EN251*100</f>
        <v>24.217118997912319</v>
      </c>
      <c r="EO260" s="320">
        <f>EO257/EO251*100</f>
        <v>-10.322133702805685</v>
      </c>
      <c r="EP260" s="320">
        <f>EP257/EP251*100</f>
        <v>5.8884655351576036</v>
      </c>
      <c r="EQ260" s="344">
        <f>EQ257/EQ251*100</f>
        <v>11.78185559938261</v>
      </c>
      <c r="ER260" s="320">
        <f>ER257/ER251*100</f>
        <v>30.040497247053377</v>
      </c>
      <c r="ES260" s="320">
        <f>ET260-EP260</f>
        <v>44.802414965453679</v>
      </c>
      <c r="ET260" s="583">
        <f t="shared" ref="ET260:EY260" si="977">ET257/ET251*100</f>
        <v>50.690880500611279</v>
      </c>
      <c r="EU260" s="320">
        <f t="shared" si="977"/>
        <v>31.109077597076247</v>
      </c>
      <c r="EV260" s="320">
        <f t="shared" si="977"/>
        <v>30.825289234173308</v>
      </c>
      <c r="EW260" s="320">
        <f t="shared" si="977"/>
        <v>61.934366831249555</v>
      </c>
      <c r="EX260" s="320">
        <f t="shared" si="977"/>
        <v>32.623488684228505</v>
      </c>
      <c r="EY260" s="320">
        <f t="shared" si="977"/>
        <v>38.2301783233709</v>
      </c>
      <c r="EZ260" s="320">
        <f>FA260-EW260</f>
        <v>70.853667007599455</v>
      </c>
      <c r="FA260" s="583">
        <f t="shared" ref="FA260:FF260" si="978">FA257/FA251*100</f>
        <v>132.788033838849</v>
      </c>
      <c r="FB260" s="320">
        <f t="shared" si="978"/>
        <v>38.035878477859782</v>
      </c>
      <c r="FC260" s="320">
        <f t="shared" si="978"/>
        <v>38.775833726882816</v>
      </c>
      <c r="FD260" s="320">
        <f t="shared" si="978"/>
        <v>76.811712204742605</v>
      </c>
      <c r="FE260" s="320">
        <f t="shared" si="978"/>
        <v>42.009169139359031</v>
      </c>
      <c r="FF260" s="320">
        <f t="shared" si="978"/>
        <v>46.28450329692695</v>
      </c>
      <c r="FG260" s="320">
        <f>FH260-FD260</f>
        <v>88.293672436285959</v>
      </c>
      <c r="FH260" s="583">
        <f t="shared" ref="FH260:FM260" si="979">FH257/FH251*100</f>
        <v>165.10538464102856</v>
      </c>
      <c r="FI260" s="320">
        <f t="shared" si="979"/>
        <v>45.531844535328439</v>
      </c>
      <c r="FJ260" s="320">
        <f t="shared" si="979"/>
        <v>45.222539082677848</v>
      </c>
      <c r="FK260" s="320">
        <f t="shared" si="979"/>
        <v>90.754383618006301</v>
      </c>
      <c r="FL260" s="320">
        <f t="shared" si="979"/>
        <v>48.480384167823786</v>
      </c>
      <c r="FM260" s="320">
        <f t="shared" si="979"/>
        <v>52.573692986334784</v>
      </c>
      <c r="FN260" s="320">
        <f>FO260-FK260</f>
        <v>101.05407715415859</v>
      </c>
      <c r="FO260" s="583">
        <f t="shared" ref="FO260:FT260" si="980">FO257/FO251*100</f>
        <v>191.80846077216489</v>
      </c>
      <c r="FP260" s="320">
        <f t="shared" si="980"/>
        <v>52.445933278493214</v>
      </c>
      <c r="FQ260" s="320">
        <f t="shared" si="980"/>
        <v>53.25700608392652</v>
      </c>
      <c r="FR260" s="320">
        <f t="shared" si="980"/>
        <v>105.70293936241973</v>
      </c>
      <c r="FS260" s="320">
        <f t="shared" si="980"/>
        <v>56.569179447519588</v>
      </c>
      <c r="FT260" s="320">
        <f t="shared" si="980"/>
        <v>60.578223635668252</v>
      </c>
      <c r="FU260" s="320">
        <f>FV260-FR260</f>
        <v>117.14740308318792</v>
      </c>
      <c r="FV260" s="583">
        <f>FV257/FV251*100</f>
        <v>222.85034244560765</v>
      </c>
      <c r="FW260" s="626" t="s">
        <v>591</v>
      </c>
      <c r="FX260" s="635">
        <f>(CW260/CB260)^(1/3)-1</f>
        <v>7.6265926098543879E-2</v>
      </c>
    </row>
    <row r="261" spans="2:183" outlineLevel="1" x14ac:dyDescent="0.3">
      <c r="B261" s="279" t="s">
        <v>593</v>
      </c>
      <c r="C261" s="280" t="s">
        <v>592</v>
      </c>
      <c r="D261" s="281">
        <f>D258/D251*100</f>
        <v>13.140263669764424</v>
      </c>
      <c r="E261" s="281">
        <f>E258/E251*100</f>
        <v>11.139674378748929</v>
      </c>
      <c r="F261" s="281">
        <f>F258/F251*100</f>
        <v>24.946236559139791</v>
      </c>
      <c r="G261" s="281">
        <f>G258/G251*100</f>
        <v>9.8329048843187685</v>
      </c>
      <c r="H261" s="281">
        <f>H258/H251*100</f>
        <v>11.804201862681394</v>
      </c>
      <c r="I261" s="281">
        <f>I258/I250*100</f>
        <v>27.355425601039641</v>
      </c>
      <c r="J261" s="281">
        <f t="shared" ref="J261:O261" si="981">J258/J251*100</f>
        <v>40.762399826727325</v>
      </c>
      <c r="K261" s="281">
        <f t="shared" si="981"/>
        <v>13.428999785821375</v>
      </c>
      <c r="L261" s="281">
        <f t="shared" si="981"/>
        <v>14.685013975489145</v>
      </c>
      <c r="M261" s="281">
        <f t="shared" si="981"/>
        <v>28.111587982832624</v>
      </c>
      <c r="N261" s="281">
        <f t="shared" si="981"/>
        <v>7.9190875833871317</v>
      </c>
      <c r="O261" s="281">
        <f t="shared" si="981"/>
        <v>11.020583190394511</v>
      </c>
      <c r="P261" s="281">
        <f>P258/P250*100</f>
        <v>18.984072320275502</v>
      </c>
      <c r="Q261" s="281">
        <f t="shared" ref="Q261:V261" si="982">Q258/Q251*100</f>
        <v>46.998284734133776</v>
      </c>
      <c r="R261" s="281">
        <f t="shared" si="982"/>
        <v>14.976565828717515</v>
      </c>
      <c r="S261" s="281">
        <f t="shared" si="982"/>
        <v>10.506085842408716</v>
      </c>
      <c r="T261" s="281">
        <f t="shared" si="982"/>
        <v>25.506937033084316</v>
      </c>
      <c r="U261" s="281">
        <f t="shared" si="982"/>
        <v>8.3665338645418306</v>
      </c>
      <c r="V261" s="281">
        <f t="shared" si="982"/>
        <v>3.6263736263736268</v>
      </c>
      <c r="W261" s="281">
        <f>W258/W250*100</f>
        <v>11.93406593406594</v>
      </c>
      <c r="X261" s="281">
        <f t="shared" ref="X261:AC261" si="983">X258/X251*100</f>
        <v>38.197802197802197</v>
      </c>
      <c r="Y261" s="281">
        <f t="shared" si="983"/>
        <v>9.2549745488199875</v>
      </c>
      <c r="Z261" s="281">
        <f t="shared" si="983"/>
        <v>8.3602771362586612</v>
      </c>
      <c r="AA261" s="281">
        <f t="shared" si="983"/>
        <v>17.594089124913413</v>
      </c>
      <c r="AB261" s="281">
        <f t="shared" si="983"/>
        <v>3.8292964244521324</v>
      </c>
      <c r="AC261" s="281">
        <f t="shared" si="983"/>
        <v>1.7721518987341762</v>
      </c>
      <c r="AD261" s="281">
        <f>AD258/AD250*100</f>
        <v>5.6210964607911151</v>
      </c>
      <c r="AE261" s="281">
        <f t="shared" ref="AE261:AJ261" si="984">AE258/AE251*100</f>
        <v>23.130034522439587</v>
      </c>
      <c r="AF261" s="281">
        <f t="shared" si="984"/>
        <v>9.6229470275271787</v>
      </c>
      <c r="AG261" s="281">
        <f t="shared" si="984"/>
        <v>8.6936416184971126</v>
      </c>
      <c r="AH261" s="281">
        <f t="shared" si="984"/>
        <v>18.316373728029596</v>
      </c>
      <c r="AI261" s="281">
        <f t="shared" si="984"/>
        <v>6.8596171376481312</v>
      </c>
      <c r="AJ261" s="281">
        <f t="shared" si="984"/>
        <v>5.4721773262525932</v>
      </c>
      <c r="AK261" s="281">
        <f>AK258/AK250*100</f>
        <v>12.422073424151463</v>
      </c>
      <c r="AL261" s="281">
        <f t="shared" ref="AL261:AQ261" si="985">AL258/AL251*100</f>
        <v>30.708843223274069</v>
      </c>
      <c r="AM261" s="281">
        <f t="shared" si="985"/>
        <v>9.2339261285909711</v>
      </c>
      <c r="AN261" s="281">
        <f t="shared" si="985"/>
        <v>4.753157290470722</v>
      </c>
      <c r="AO261" s="281">
        <f t="shared" si="985"/>
        <v>14.065732015628587</v>
      </c>
      <c r="AP261" s="281">
        <f t="shared" si="985"/>
        <v>5.0940798531436435</v>
      </c>
      <c r="AQ261" s="281">
        <f t="shared" si="985"/>
        <v>7.6079506511309107</v>
      </c>
      <c r="AR261" s="281">
        <f>AR258/AR250*100</f>
        <v>12.707498568975387</v>
      </c>
      <c r="AS261" s="281">
        <f t="shared" ref="AS261:AX261" si="986">AS258/AS251*100</f>
        <v>26.674285714285705</v>
      </c>
      <c r="AT261" s="281">
        <f t="shared" si="986"/>
        <v>9.0494643264189669</v>
      </c>
      <c r="AU261" s="281">
        <f t="shared" si="986"/>
        <v>9.4545454545454533</v>
      </c>
      <c r="AV261" s="281">
        <f t="shared" si="986"/>
        <v>18.47727272727273</v>
      </c>
      <c r="AW261" s="281">
        <f t="shared" si="986"/>
        <v>6.5517241379310347</v>
      </c>
      <c r="AX261" s="281">
        <f t="shared" si="986"/>
        <v>7.9516236378387157</v>
      </c>
      <c r="AY261" s="281">
        <f>AY258/AY250*100</f>
        <v>14.442916093535068</v>
      </c>
      <c r="AZ261" s="281">
        <f t="shared" ref="AZ261:BE261" si="987">AZ258/AZ251*100</f>
        <v>32.952728933546474</v>
      </c>
      <c r="BA261" s="281">
        <f t="shared" si="987"/>
        <v>9.9885974914481181</v>
      </c>
      <c r="BB261" s="281">
        <f t="shared" si="987"/>
        <v>8.8469410962019559</v>
      </c>
      <c r="BC261" s="281">
        <f t="shared" si="987"/>
        <v>18.825404051900748</v>
      </c>
      <c r="BD261" s="281">
        <f t="shared" si="987"/>
        <v>6.0640472405178301</v>
      </c>
      <c r="BE261" s="281">
        <f t="shared" si="987"/>
        <v>6.9362855851784904</v>
      </c>
      <c r="BF261" s="281">
        <f>BF258/BF250*100</f>
        <v>13.062815517132393</v>
      </c>
      <c r="BG261" s="281">
        <f t="shared" ref="BG261:BL261" si="988">BG258/BG251*100</f>
        <v>31.797548797094876</v>
      </c>
      <c r="BH261" s="281">
        <f t="shared" si="988"/>
        <v>11.735499887158655</v>
      </c>
      <c r="BI261" s="281">
        <f t="shared" si="988"/>
        <v>12.694475760992111</v>
      </c>
      <c r="BJ261" s="281">
        <f t="shared" si="988"/>
        <v>24.435920577617331</v>
      </c>
      <c r="BK261" s="281">
        <f t="shared" si="988"/>
        <v>9.8158131176999106</v>
      </c>
      <c r="BL261" s="281">
        <f t="shared" si="988"/>
        <v>10.239602169981916</v>
      </c>
      <c r="BM261" s="281">
        <f>BM258/BM250*100</f>
        <v>20.108450067781288</v>
      </c>
      <c r="BN261" s="281">
        <f t="shared" ref="BN261:BS261" si="989">BN258/BN251*100</f>
        <v>44.376968061178573</v>
      </c>
      <c r="BO261" s="281">
        <f t="shared" si="989"/>
        <v>11.23318385650224</v>
      </c>
      <c r="BP261" s="281">
        <f t="shared" si="989"/>
        <v>14.670255720053838</v>
      </c>
      <c r="BQ261" s="281">
        <f t="shared" si="989"/>
        <v>25.914292124747597</v>
      </c>
      <c r="BR261" s="281">
        <f t="shared" si="989"/>
        <v>10.899304776855798</v>
      </c>
      <c r="BS261" s="281">
        <f t="shared" si="989"/>
        <v>12.836021505376346</v>
      </c>
      <c r="BT261" s="281">
        <f>BT258/BT250*100</f>
        <v>23.92679620424763</v>
      </c>
      <c r="BU261" s="281">
        <f t="shared" ref="BU261:BZ261" si="990">BU258/BU251*100</f>
        <v>50.02259376412109</v>
      </c>
      <c r="BV261" s="281">
        <f t="shared" si="990"/>
        <v>14.148413053196245</v>
      </c>
      <c r="BW261" s="281">
        <f t="shared" si="990"/>
        <v>14.640698455339162</v>
      </c>
      <c r="BX261" s="281">
        <f t="shared" si="990"/>
        <v>29.144021739130444</v>
      </c>
      <c r="BY261" s="281">
        <f t="shared" si="990"/>
        <v>12.569894878103336</v>
      </c>
      <c r="BZ261" s="281">
        <f t="shared" si="990"/>
        <v>13.069840556927909</v>
      </c>
      <c r="CA261" s="281">
        <f>CA258/CA250*100</f>
        <v>25.768667642752558</v>
      </c>
      <c r="CB261" s="281">
        <f t="shared" ref="CB261:CG261" si="991">CB258/CB251*100</f>
        <v>54.285392499155328</v>
      </c>
      <c r="CC261" s="281">
        <f t="shared" si="991"/>
        <v>14.911692376481106</v>
      </c>
      <c r="CD261" s="281">
        <f t="shared" si="991"/>
        <v>16.771441400987879</v>
      </c>
      <c r="CE261" s="281">
        <f t="shared" si="991"/>
        <v>31.922010023407303</v>
      </c>
      <c r="CF261" s="281">
        <f t="shared" si="991"/>
        <v>11.911231884057976</v>
      </c>
      <c r="CG261" s="281">
        <f t="shared" si="991"/>
        <v>12.476114563732146</v>
      </c>
      <c r="CH261" s="281">
        <f>CH258/CH250*100</f>
        <v>24.305398689857689</v>
      </c>
      <c r="CI261" s="281">
        <f>CI258/CI251*100</f>
        <v>56.093714800630778</v>
      </c>
      <c r="CJ261" s="281">
        <f>CJ258/CJ251*100</f>
        <v>14.017210144927535</v>
      </c>
      <c r="CK261" s="281">
        <f>CK258/CK251*100</f>
        <v>16.670441676104193</v>
      </c>
      <c r="CL261" s="281">
        <f>CL258/CL251*100</f>
        <v>30.736546905473372</v>
      </c>
      <c r="CM261" s="281">
        <f>CM258/CM251*100</f>
        <v>15.701357466063342</v>
      </c>
      <c r="CN261" s="281">
        <f>CP261-CL261-CM261</f>
        <v>18.291917016661316</v>
      </c>
      <c r="CO261" s="281">
        <f>CO258/CO250*100</f>
        <v>34.179510426110603</v>
      </c>
      <c r="CP261" s="281">
        <f>CP258/CP251*100</f>
        <v>64.729821388198033</v>
      </c>
      <c r="CQ261" s="320">
        <f>CQ258/CQ251*100</f>
        <v>18.036117381489845</v>
      </c>
      <c r="CR261" s="320">
        <f>CR258/CR251*100</f>
        <v>18.257729632137217</v>
      </c>
      <c r="CS261" s="320">
        <f>CS258/CS251*100</f>
        <v>36.419301561234306</v>
      </c>
      <c r="CT261" s="320">
        <f>CT258/CT251*100</f>
        <v>14.872489280072216</v>
      </c>
      <c r="CU261" s="320">
        <f>CW261-CS261-CT261</f>
        <v>16.541166269302963</v>
      </c>
      <c r="CV261" s="320">
        <f>CV258/CV250*100</f>
        <v>31.613487214301877</v>
      </c>
      <c r="CW261" s="281">
        <f>CW258/CW251*100</f>
        <v>67.832957110609485</v>
      </c>
      <c r="CX261" s="320">
        <f>CX258/CX251*100</f>
        <v>20.347394540942936</v>
      </c>
      <c r="CY261" s="320">
        <f>CY258/CY251*100</f>
        <v>22.182227221597291</v>
      </c>
      <c r="CZ261" s="320">
        <f>CZ258/CZ251*100</f>
        <v>42.688864393791384</v>
      </c>
      <c r="DA261" s="320">
        <f>DA258/DA251*100</f>
        <v>17.329737019554958</v>
      </c>
      <c r="DB261" s="320">
        <f>DD261-CZ261-DA261</f>
        <v>19.468000703294056</v>
      </c>
      <c r="DC261" s="320">
        <f>DC258/DC250*100</f>
        <v>37.098960686850432</v>
      </c>
      <c r="DD261" s="583">
        <f>DD258/DD251*100</f>
        <v>79.486602116640398</v>
      </c>
      <c r="DE261" s="320">
        <f>DE258/DE251*100</f>
        <v>20.058400718778081</v>
      </c>
      <c r="DF261" s="320">
        <f>DF258/DF251*100</f>
        <v>27.090827338129497</v>
      </c>
      <c r="DG261" s="320">
        <f>DG258/DG251*100</f>
        <v>47.343448102306255</v>
      </c>
      <c r="DH261" s="320">
        <f>DH258/DH251*100</f>
        <v>27.676767676767671</v>
      </c>
      <c r="DI261" s="320">
        <f>DK261-DG261-DH261</f>
        <v>27.808702047598768</v>
      </c>
      <c r="DJ261" s="320">
        <f>DJ258/DJ250*100</f>
        <v>55.938697318007677</v>
      </c>
      <c r="DK261" s="583">
        <f>DK258/DK251*100</f>
        <v>102.82891782667269</v>
      </c>
      <c r="DL261" s="344">
        <f>DL258/DL251*100</f>
        <v>30.109939421135294</v>
      </c>
      <c r="DM261" s="320">
        <f>DM258/DM251*100</f>
        <v>34.798206278026903</v>
      </c>
      <c r="DN261" s="320">
        <f>DN258/DN251*100</f>
        <v>64.88789237668162</v>
      </c>
      <c r="DO261" s="320">
        <f>DO258/DO251*100</f>
        <v>34.573157069235947</v>
      </c>
      <c r="DP261" s="320">
        <f>DR261-DN261-DO261</f>
        <v>39.740565265901196</v>
      </c>
      <c r="DQ261" s="320">
        <f>DQ258/DQ250*100</f>
        <v>74.466172173522153</v>
      </c>
      <c r="DR261" s="583">
        <f>DR258/DR251*100</f>
        <v>139.20161471181876</v>
      </c>
      <c r="DS261" s="320">
        <f>DS258/DS251*100</f>
        <v>34.604171338865221</v>
      </c>
      <c r="DT261" s="320">
        <f>DT258/DT251*100</f>
        <v>36.449226630800275</v>
      </c>
      <c r="DU261" s="320">
        <f>DU258/DU251*100</f>
        <v>71.037883882537571</v>
      </c>
      <c r="DV261" s="320">
        <f>DV258/DV251*100</f>
        <v>29.289078268670099</v>
      </c>
      <c r="DW261" s="320">
        <f>DY261-DU261-DV261</f>
        <v>35.557238925991598</v>
      </c>
      <c r="DX261" s="320">
        <f>DX258/DX250*100</f>
        <v>64.839361941136801</v>
      </c>
      <c r="DY261" s="583">
        <f>DY258/DY251*100</f>
        <v>135.88420107719926</v>
      </c>
      <c r="DZ261" s="320">
        <f>DZ258/DZ251*100</f>
        <v>39.340560072267401</v>
      </c>
      <c r="EA261" s="320">
        <f>EA258/EA251*100</f>
        <v>40.493435943865983</v>
      </c>
      <c r="EB261" s="320">
        <f>EB258/EB251*100</f>
        <v>79.923042100497938</v>
      </c>
      <c r="EC261" s="320">
        <f>EC258/EC251*100</f>
        <v>41.044946383755423</v>
      </c>
      <c r="ED261" s="320">
        <f>EF261-EB261-EC261</f>
        <v>39.973776756874976</v>
      </c>
      <c r="EE261" s="320">
        <f>EE258/EE250*100</f>
        <v>80.839416058394178</v>
      </c>
      <c r="EF261" s="583">
        <f>EF258/EF251*100</f>
        <v>160.94176524112834</v>
      </c>
      <c r="EG261" s="320">
        <f>EG258/EG251*100</f>
        <v>40.874568469505185</v>
      </c>
      <c r="EH261" s="320">
        <f>EH258/EH251*100</f>
        <v>36.225196123673271</v>
      </c>
      <c r="EI261" s="320">
        <f>EI258/EI251*100</f>
        <v>77.203507152745757</v>
      </c>
      <c r="EJ261" s="320">
        <f>EJ258/EJ251*100</f>
        <v>35.646321652355532</v>
      </c>
      <c r="EK261" s="320">
        <f>EM261-EI261-EJ261</f>
        <v>36.259173740605711</v>
      </c>
      <c r="EL261" s="320">
        <f>EL258/EL250*100</f>
        <v>71.889507892293395</v>
      </c>
      <c r="EM261" s="583">
        <f t="shared" ref="EM261:ER261" si="992">EM258/EM251*100</f>
        <v>149.109002545707</v>
      </c>
      <c r="EN261" s="320">
        <f>EN258/EN251*100</f>
        <v>29.436325678496868</v>
      </c>
      <c r="EO261" s="320">
        <f>EO258/EO251*100</f>
        <v>26.671285071007965</v>
      </c>
      <c r="EP261" s="320">
        <f>EP258/EP251*100</f>
        <v>46.778662971943199</v>
      </c>
      <c r="EQ261" s="344">
        <f>EQ258/EQ251*100</f>
        <v>24.38689761618933</v>
      </c>
      <c r="ER261" s="320">
        <f t="shared" si="992"/>
        <v>30.086401938967011</v>
      </c>
      <c r="ES261" s="320">
        <f>ES258/ES250*100</f>
        <v>60.852781759816402</v>
      </c>
      <c r="ET261" s="575">
        <f>ET258/ET251*100</f>
        <v>107.55904950599265</v>
      </c>
      <c r="EU261" s="320">
        <f t="shared" ref="EU261:EY261" si="993">EU258/EU251*100</f>
        <v>31.155107309186608</v>
      </c>
      <c r="EV261" s="320">
        <f t="shared" si="993"/>
        <v>30.870644730624242</v>
      </c>
      <c r="EW261" s="320">
        <f t="shared" si="993"/>
        <v>61.980052234494906</v>
      </c>
      <c r="EX261" s="320">
        <f t="shared" si="993"/>
        <v>32.671426724464496</v>
      </c>
      <c r="EY261" s="320">
        <f t="shared" si="993"/>
        <v>38.277996155771945</v>
      </c>
      <c r="EZ261" s="320">
        <f>EZ258/EZ250*100</f>
        <v>70.901542131749878</v>
      </c>
      <c r="FA261" s="575">
        <f t="shared" ref="FA261:FF261" si="994">FA258/FA251*100</f>
        <v>132.83482859879851</v>
      </c>
      <c r="FB261" s="320">
        <f t="shared" si="994"/>
        <v>38.082712784606883</v>
      </c>
      <c r="FC261" s="320">
        <f t="shared" si="994"/>
        <v>38.822030576581938</v>
      </c>
      <c r="FD261" s="320">
        <f t="shared" si="994"/>
        <v>76.858218946171021</v>
      </c>
      <c r="FE261" s="320">
        <f t="shared" si="994"/>
        <v>42.059079535721402</v>
      </c>
      <c r="FF261" s="320">
        <f t="shared" si="994"/>
        <v>46.332916253439613</v>
      </c>
      <c r="FG261" s="320">
        <f>FG258/FG250*100</f>
        <v>88.342801681532578</v>
      </c>
      <c r="FH261" s="583">
        <f t="shared" ref="FH261:FM261" si="995">FH258/FH251*100</f>
        <v>165.15322152195796</v>
      </c>
      <c r="FI261" s="320">
        <f t="shared" si="995"/>
        <v>45.580053931494326</v>
      </c>
      <c r="FJ261" s="320">
        <f t="shared" si="995"/>
        <v>45.269281583524759</v>
      </c>
      <c r="FK261" s="320">
        <f t="shared" si="995"/>
        <v>90.801840891752548</v>
      </c>
      <c r="FL261" s="320">
        <f t="shared" si="995"/>
        <v>48.530837538059316</v>
      </c>
      <c r="FM261" s="320">
        <f t="shared" si="995"/>
        <v>52.622545866702509</v>
      </c>
      <c r="FN261" s="320">
        <f>FN258/FN250*100</f>
        <v>101.10369818327247</v>
      </c>
      <c r="FO261" s="583">
        <f t="shared" ref="FO261:FT261" si="996">FO258/FO251*100</f>
        <v>191.8570116119391</v>
      </c>
      <c r="FP261" s="320">
        <f t="shared" si="996"/>
        <v>52.494833131885564</v>
      </c>
      <c r="FQ261" s="320">
        <f t="shared" si="996"/>
        <v>53.304757285580791</v>
      </c>
      <c r="FR261" s="320">
        <f t="shared" si="996"/>
        <v>105.75124839138053</v>
      </c>
      <c r="FS261" s="320">
        <f t="shared" si="996"/>
        <v>56.6204385185791</v>
      </c>
      <c r="FT261" s="320">
        <f t="shared" si="996"/>
        <v>60.627704803217497</v>
      </c>
      <c r="FU261" s="320">
        <f>FU258/FU250*100</f>
        <v>117.19773912538717</v>
      </c>
      <c r="FV261" s="583">
        <f>FV258/FV251*100</f>
        <v>222.8996782214534</v>
      </c>
      <c r="FW261" s="650" t="s">
        <v>594</v>
      </c>
      <c r="FX261" s="635">
        <f>(CW261/CB261)^(1/3)-1</f>
        <v>7.7091476867477304E-2</v>
      </c>
      <c r="FY261" s="651">
        <f>BU261*(1+0.103)</f>
        <v>55.17492092182556</v>
      </c>
      <c r="FZ261" s="651">
        <f>FY261*(1+0.103)</f>
        <v>60.857937776773589</v>
      </c>
      <c r="GA261" s="651">
        <f>FZ261*(1+0.103)</f>
        <v>67.126305367781271</v>
      </c>
    </row>
    <row r="262" spans="2:183" outlineLevel="1" x14ac:dyDescent="0.3">
      <c r="B262" s="279" t="s">
        <v>595</v>
      </c>
      <c r="C262" s="280" t="s">
        <v>413</v>
      </c>
      <c r="K262" s="349">
        <f>K260/D260-1</f>
        <v>-0.3635588288145728</v>
      </c>
      <c r="L262" s="349">
        <f t="shared" ref="L262:BW263" si="997">L260/E260-1</f>
        <v>-0.55510245379596668</v>
      </c>
      <c r="M262" s="349">
        <f t="shared" si="997"/>
        <v>-0.45362456865097522</v>
      </c>
      <c r="N262" s="349">
        <f t="shared" si="997"/>
        <v>-1.1974484608442</v>
      </c>
      <c r="O262" s="349">
        <f t="shared" si="997"/>
        <v>-0.64275177633713132</v>
      </c>
      <c r="P262" s="349">
        <f t="shared" si="997"/>
        <v>-0.61871358695095569</v>
      </c>
      <c r="Q262" s="349">
        <f t="shared" si="997"/>
        <v>-0.65106816279219515</v>
      </c>
      <c r="R262" s="349">
        <f t="shared" si="997"/>
        <v>8.3335805918300476E-2</v>
      </c>
      <c r="S262" s="349">
        <f t="shared" si="997"/>
        <v>-0.10097225722159264</v>
      </c>
      <c r="T262" s="349">
        <f t="shared" si="997"/>
        <v>1.5604111666573051E-2</v>
      </c>
      <c r="U262" s="349">
        <f t="shared" si="997"/>
        <v>-3.1985308764940235</v>
      </c>
      <c r="V262" s="349">
        <f t="shared" si="997"/>
        <v>-0.36594089605583857</v>
      </c>
      <c r="W262" s="349">
        <f t="shared" si="997"/>
        <v>-0.45773343181052339</v>
      </c>
      <c r="X262" s="349">
        <f t="shared" si="997"/>
        <v>-0.60299109174848797</v>
      </c>
      <c r="Y262" s="349">
        <f t="shared" si="997"/>
        <v>-0.96111253788681283</v>
      </c>
      <c r="Z262" s="349">
        <f t="shared" si="997"/>
        <v>7.6918310097578004</v>
      </c>
      <c r="AA262" s="349">
        <f t="shared" si="997"/>
        <v>1.8790542250744044</v>
      </c>
      <c r="AB262" s="349">
        <f t="shared" si="997"/>
        <v>5.7652522309233314</v>
      </c>
      <c r="AC262" s="349">
        <f t="shared" si="997"/>
        <v>4.0694345336857118E-2</v>
      </c>
      <c r="AD262" s="349">
        <f t="shared" si="997"/>
        <v>-0.84437097827423568</v>
      </c>
      <c r="AE262" s="349">
        <f>AE260/X260-1</f>
        <v>-2.9823711801559889</v>
      </c>
      <c r="AF262" s="349">
        <f t="shared" si="997"/>
        <v>-56.629985790291798</v>
      </c>
      <c r="AG262" s="349">
        <f t="shared" si="997"/>
        <v>-1.1278349117885182</v>
      </c>
      <c r="AH262" s="349">
        <f t="shared" si="997"/>
        <v>-1.6304573270690592</v>
      </c>
      <c r="AI262" s="349">
        <f t="shared" si="997"/>
        <v>-0.8673870999531893</v>
      </c>
      <c r="AJ262" s="349">
        <f t="shared" si="997"/>
        <v>-0.98402053481599816</v>
      </c>
      <c r="AK262" s="349">
        <f t="shared" si="997"/>
        <v>-1.6700837790567231</v>
      </c>
      <c r="AL262" s="349">
        <f>AL260/AE260-1</f>
        <v>-1.624904182561421</v>
      </c>
      <c r="AM262" s="349">
        <f t="shared" si="997"/>
        <v>-2.3272558209778227</v>
      </c>
      <c r="AN262" s="349">
        <f t="shared" si="997"/>
        <v>20.468432952974538</v>
      </c>
      <c r="AO262" s="349">
        <f t="shared" si="997"/>
        <v>2.2494532939671972</v>
      </c>
      <c r="AP262" s="349">
        <f t="shared" si="997"/>
        <v>-2.7840090430004532</v>
      </c>
      <c r="AQ262" s="349">
        <f t="shared" si="997"/>
        <v>-0.22561611586256669</v>
      </c>
      <c r="AR262" s="349">
        <f t="shared" si="997"/>
        <v>-3.0517251944692845</v>
      </c>
      <c r="AS262" s="349">
        <f t="shared" si="997"/>
        <v>3.0460562005721021</v>
      </c>
      <c r="AT262" s="349">
        <f t="shared" si="997"/>
        <v>-0.99714078535616224</v>
      </c>
      <c r="AU262" s="349">
        <f t="shared" si="997"/>
        <v>-1.2962076512111915</v>
      </c>
      <c r="AV262" s="349">
        <f t="shared" si="997"/>
        <v>-1.3942426856393293</v>
      </c>
      <c r="AW262" s="349">
        <f t="shared" si="997"/>
        <v>-0.74954022988505753</v>
      </c>
      <c r="AX262" s="349">
        <f t="shared" si="997"/>
        <v>-272.14813805913548</v>
      </c>
      <c r="AY262" s="349">
        <f t="shared" si="997"/>
        <v>-19.053817745385707</v>
      </c>
      <c r="AZ262" s="349">
        <f t="shared" si="997"/>
        <v>-2.7399077862446717</v>
      </c>
      <c r="BA262" s="349">
        <f t="shared" si="997"/>
        <v>227.43747624478246</v>
      </c>
      <c r="BB262" s="349">
        <f t="shared" si="997"/>
        <v>-0.8816227582758247</v>
      </c>
      <c r="BC262" s="349">
        <f t="shared" si="997"/>
        <v>-0.34199014489649249</v>
      </c>
      <c r="BD262" s="349">
        <f t="shared" si="997"/>
        <v>-5.715276774100305</v>
      </c>
      <c r="BE262" s="349">
        <f t="shared" si="997"/>
        <v>-1.1408220979105648</v>
      </c>
      <c r="BF262" s="349">
        <f t="shared" si="997"/>
        <v>-1.0795567036501434</v>
      </c>
      <c r="BG262" s="349">
        <f t="shared" si="997"/>
        <v>-0.9251676722330936</v>
      </c>
      <c r="BH262" s="349">
        <f t="shared" si="997"/>
        <v>1.0543615239017741</v>
      </c>
      <c r="BI262" s="349">
        <f t="shared" si="997"/>
        <v>2.4303540022547914</v>
      </c>
      <c r="BJ262" s="349">
        <f t="shared" si="997"/>
        <v>1.3040956894874518</v>
      </c>
      <c r="BK262" s="349">
        <f t="shared" si="997"/>
        <v>1.8947688928820998</v>
      </c>
      <c r="BL262" s="349">
        <f t="shared" si="997"/>
        <v>-2.9721141712308285</v>
      </c>
      <c r="BM262" s="349">
        <f t="shared" si="997"/>
        <v>-6.9228103594920158</v>
      </c>
      <c r="BN262" s="349">
        <f t="shared" si="997"/>
        <v>8.2195963280983442</v>
      </c>
      <c r="BO262" s="349">
        <f t="shared" si="997"/>
        <v>-0.79808660195644365</v>
      </c>
      <c r="BP262" s="349">
        <f t="shared" si="997"/>
        <v>1.4382223812746839</v>
      </c>
      <c r="BQ262" s="349">
        <f t="shared" si="997"/>
        <v>-0.20028639341156429</v>
      </c>
      <c r="BR262" s="349">
        <f t="shared" si="997"/>
        <v>0.16411323414732171</v>
      </c>
      <c r="BS262" s="349">
        <f t="shared" si="997"/>
        <v>-0.79962195536718728</v>
      </c>
      <c r="BT262" s="349">
        <f t="shared" si="997"/>
        <v>-0.40109607826534566</v>
      </c>
      <c r="BU262" s="349">
        <f t="shared" si="997"/>
        <v>-0.30872593267730819</v>
      </c>
      <c r="BV262" s="349">
        <f t="shared" si="997"/>
        <v>1.0696279774104291</v>
      </c>
      <c r="BW262" s="349">
        <f t="shared" si="997"/>
        <v>2.152261236489017E-2</v>
      </c>
      <c r="BX262" s="349">
        <f t="shared" ref="BO262:DA263" si="998">BX260/BQ260-1</f>
        <v>0.22976231094894595</v>
      </c>
      <c r="BY262" s="349">
        <f t="shared" si="998"/>
        <v>-0.76435509458890094</v>
      </c>
      <c r="BZ262" s="349">
        <f t="shared" si="998"/>
        <v>5.3136610940905049E-2</v>
      </c>
      <c r="CA262" s="349">
        <f t="shared" si="998"/>
        <v>-0.62408701813817913</v>
      </c>
      <c r="CB262" s="349">
        <f t="shared" si="998"/>
        <v>-0.16971410302612489</v>
      </c>
      <c r="CC262" s="349">
        <f t="shared" si="998"/>
        <v>0.45199120649824831</v>
      </c>
      <c r="CD262" s="349">
        <f t="shared" si="998"/>
        <v>-0.56093419884575357</v>
      </c>
      <c r="CE262" s="349">
        <f t="shared" si="998"/>
        <v>-0.24469327226640292</v>
      </c>
      <c r="CF262" s="349">
        <f t="shared" si="998"/>
        <v>2.5037310638479964</v>
      </c>
      <c r="CG262" s="349">
        <f t="shared" si="998"/>
        <v>0.50648946942192352</v>
      </c>
      <c r="CH262" s="349">
        <f t="shared" si="998"/>
        <v>1.5493811417771961</v>
      </c>
      <c r="CI262" s="349">
        <f t="shared" si="998"/>
        <v>0.13532984542503135</v>
      </c>
      <c r="CJ262" s="349">
        <f t="shared" si="998"/>
        <v>-0.33015524384765138</v>
      </c>
      <c r="CK262" s="349">
        <f t="shared" si="998"/>
        <v>0.16989290894279852</v>
      </c>
      <c r="CL262" s="349">
        <f t="shared" si="998"/>
        <v>-0.14931101468463592</v>
      </c>
      <c r="CM262" s="349">
        <f t="shared" si="998"/>
        <v>-9.7518261702161158E-2</v>
      </c>
      <c r="CN262" s="349">
        <f t="shared" si="998"/>
        <v>-2.3264213721609845</v>
      </c>
      <c r="CO262" s="349">
        <f t="shared" si="998"/>
        <v>-0.83376635470015836</v>
      </c>
      <c r="CP262" s="349">
        <f t="shared" si="998"/>
        <v>-0.47486828194404052</v>
      </c>
      <c r="CQ262" s="349">
        <f t="shared" si="998"/>
        <v>0.56794582392776527</v>
      </c>
      <c r="CR262" s="349">
        <f t="shared" si="998"/>
        <v>4.7640557466972933E-2</v>
      </c>
      <c r="CS262" s="349">
        <f t="shared" si="998"/>
        <v>0.31027148487689171</v>
      </c>
      <c r="CT262" s="349">
        <f t="shared" si="998"/>
        <v>-0.14695922419727714</v>
      </c>
      <c r="CU262" s="349">
        <f t="shared" si="998"/>
        <v>-2.2667612351168311</v>
      </c>
      <c r="CV262" s="349">
        <f t="shared" si="998"/>
        <v>5.4959518608048876</v>
      </c>
      <c r="CW262" s="349">
        <f t="shared" si="998"/>
        <v>1.0910695012085609</v>
      </c>
      <c r="CX262" s="349">
        <f t="shared" si="998"/>
        <v>-4.5899980529332751E-2</v>
      </c>
      <c r="CY262" s="349">
        <f t="shared" si="998"/>
        <v>0.4787809437489372</v>
      </c>
      <c r="CZ262" s="349">
        <f t="shared" si="998"/>
        <v>0.18226285435321432</v>
      </c>
      <c r="DA262" s="349">
        <f t="shared" si="998"/>
        <v>0.13089933333796799</v>
      </c>
      <c r="DB262" s="349">
        <f>DB260/CU260-1</f>
        <v>-0.97884514077880669</v>
      </c>
      <c r="DC262" s="349">
        <f>DC260/CV260-1</f>
        <v>-0.4451807563182828</v>
      </c>
      <c r="DD262" s="573">
        <f t="shared" ref="DD262:DF263" si="999">DD260/CW260-1</f>
        <v>-0.11121949530767061</v>
      </c>
      <c r="DE262" s="350">
        <f t="shared" si="999"/>
        <v>-0.89179325782008723</v>
      </c>
      <c r="DF262" s="350">
        <f t="shared" si="999"/>
        <v>-0.15866676203169339</v>
      </c>
      <c r="DG262" s="349">
        <f>DG260/CZ260-1</f>
        <v>-0.49361768674140616</v>
      </c>
      <c r="DH262" s="349">
        <f>DH260/DA260-1</f>
        <v>-0.11144475450571467</v>
      </c>
      <c r="DI262" s="349">
        <f t="shared" ref="DI262:FT263" si="1000">DI260/DB260-1</f>
        <v>61.571500440506654</v>
      </c>
      <c r="DJ262" s="349">
        <f t="shared" si="1000"/>
        <v>1.1094651020529653</v>
      </c>
      <c r="DK262" s="573">
        <f t="shared" si="1000"/>
        <v>-2.5537526449037395E-2</v>
      </c>
      <c r="DL262" s="351">
        <f t="shared" si="1000"/>
        <v>11.889778927720663</v>
      </c>
      <c r="DM262" s="350">
        <f t="shared" si="1000"/>
        <v>0.72805687007914677</v>
      </c>
      <c r="DN262" s="349">
        <f t="shared" si="1000"/>
        <v>1.8062432026421038</v>
      </c>
      <c r="DO262" s="350">
        <f t="shared" si="1000"/>
        <v>0.9731331603093536</v>
      </c>
      <c r="DP262" s="349">
        <f t="shared" si="1000"/>
        <v>-0.46758545774101301</v>
      </c>
      <c r="DQ262" s="349">
        <f t="shared" si="1000"/>
        <v>0.12726653299974178</v>
      </c>
      <c r="DR262" s="573">
        <f t="shared" si="1000"/>
        <v>0.74499695005705502</v>
      </c>
      <c r="DS262" s="350">
        <f t="shared" si="1000"/>
        <v>0.34234900486561926</v>
      </c>
      <c r="DT262" s="350">
        <f t="shared" si="1000"/>
        <v>2.5036128718396666E-2</v>
      </c>
      <c r="DU262" s="350">
        <f t="shared" si="1000"/>
        <v>0.16683443976120871</v>
      </c>
      <c r="DV262" s="350">
        <f t="shared" si="1000"/>
        <v>-0.25080345276299787</v>
      </c>
      <c r="DW262" s="349">
        <f t="shared" ref="DW262:DY263" si="1001">DW260/DP260-1</f>
        <v>0.80805123888395625</v>
      </c>
      <c r="DX262" s="349">
        <f t="shared" si="1001"/>
        <v>4.2814349130044338E-2</v>
      </c>
      <c r="DY262" s="573">
        <f t="shared" si="1001"/>
        <v>0.11619423022250608</v>
      </c>
      <c r="DZ262" s="350">
        <f t="shared" si="1000"/>
        <v>-8.7579291999181463E-2</v>
      </c>
      <c r="EA262" s="350">
        <f>EA260/DT260-1</f>
        <v>-6.6375968138837615E-3</v>
      </c>
      <c r="EB262" s="350">
        <f>EB260/DU260-1</f>
        <v>-4.6947145354024444E-2</v>
      </c>
      <c r="EC262" s="350">
        <f t="shared" si="1000"/>
        <v>0.50245541158236828</v>
      </c>
      <c r="ED262" s="349">
        <f t="shared" ref="ED262:EF263" si="1002">ED260/DW260-1</f>
        <v>-0.3303857700611621</v>
      </c>
      <c r="EE262" s="349">
        <f t="shared" si="1002"/>
        <v>0.1020389302170388</v>
      </c>
      <c r="EF262" s="573">
        <f t="shared" si="1002"/>
        <v>9.887918913699556E-3</v>
      </c>
      <c r="EG262" s="350">
        <f t="shared" si="1000"/>
        <v>-3.6823935558113474E-3</v>
      </c>
      <c r="EH262" s="350">
        <f>EH260/EA260-1</f>
        <v>-0.52155588456195123</v>
      </c>
      <c r="EI262" s="350">
        <f>EI260/EB260-1</f>
        <v>-0.26603160026833816</v>
      </c>
      <c r="EJ262" s="350">
        <f t="shared" si="1000"/>
        <v>-0.10157603328342524</v>
      </c>
      <c r="EK262" s="350">
        <f t="shared" ref="EK262:EM263" si="1003">EK260/ED260-1</f>
        <v>0.26547269533569939</v>
      </c>
      <c r="EL262" s="349">
        <f t="shared" si="1003"/>
        <v>5.6502407609217986E-3</v>
      </c>
      <c r="EM262" s="573">
        <f t="shared" si="1003"/>
        <v>-0.15293356875899267</v>
      </c>
      <c r="EN262" s="350">
        <f t="shared" si="1000"/>
        <v>-0.27080123322294525</v>
      </c>
      <c r="EO262" s="350">
        <f>EO260/EH260-1</f>
        <v>-1.6283163970219083</v>
      </c>
      <c r="EP262" s="350">
        <f>EP260/EI260-1</f>
        <v>-0.88157489731149397</v>
      </c>
      <c r="EQ262" s="351">
        <f t="shared" si="1000"/>
        <v>-0.61655577207145273</v>
      </c>
      <c r="ER262" s="349">
        <f t="shared" si="1000"/>
        <v>0.68189795315542523</v>
      </c>
      <c r="ES262" s="349">
        <f t="shared" si="1000"/>
        <v>-7.7901623675836307E-2</v>
      </c>
      <c r="ET262" s="581">
        <f>ET260/EM260-1</f>
        <v>-0.4843801915180288</v>
      </c>
      <c r="EU262" s="349">
        <f t="shared" si="1000"/>
        <v>0.28459035939651045</v>
      </c>
      <c r="EV262" s="349">
        <f t="shared" si="1000"/>
        <v>-3.9863291952704127</v>
      </c>
      <c r="EW262" s="349">
        <f t="shared" si="1000"/>
        <v>9.5179127671657326</v>
      </c>
      <c r="EX262" s="349">
        <f t="shared" si="1000"/>
        <v>1.7689601530966002</v>
      </c>
      <c r="EY262" s="349">
        <f t="shared" si="1000"/>
        <v>0.27262135539786492</v>
      </c>
      <c r="EZ262" s="349">
        <f t="shared" si="1000"/>
        <v>0.58146981724608859</v>
      </c>
      <c r="FA262" s="581">
        <f t="shared" si="1000"/>
        <v>1.6195645553493141</v>
      </c>
      <c r="FB262" s="349">
        <f t="shared" si="1000"/>
        <v>0.22266172499548942</v>
      </c>
      <c r="FC262" s="349">
        <f t="shared" si="1000"/>
        <v>0.25792278645987321</v>
      </c>
      <c r="FD262" s="349">
        <f t="shared" si="1000"/>
        <v>0.24021147118576103</v>
      </c>
      <c r="FE262" s="349">
        <f t="shared" si="1000"/>
        <v>0.28769701934630731</v>
      </c>
      <c r="FF262" s="349">
        <f t="shared" si="1000"/>
        <v>0.210679764698672</v>
      </c>
      <c r="FG262" s="349">
        <f t="shared" si="1000"/>
        <v>0.2461411831629825</v>
      </c>
      <c r="FH262" s="581">
        <f t="shared" si="1000"/>
        <v>0.24337547494226608</v>
      </c>
      <c r="FI262" s="349">
        <f t="shared" si="1000"/>
        <v>0.1970761911502048</v>
      </c>
      <c r="FJ262" s="349">
        <f t="shared" si="1000"/>
        <v>0.16625575097114176</v>
      </c>
      <c r="FK262" s="349">
        <f t="shared" si="1000"/>
        <v>0.18151751878801137</v>
      </c>
      <c r="FL262" s="349">
        <f t="shared" si="1000"/>
        <v>0.15404291874941589</v>
      </c>
      <c r="FM262" s="349">
        <f t="shared" si="1000"/>
        <v>0.13588111012148207</v>
      </c>
      <c r="FN262" s="349">
        <f t="shared" si="1000"/>
        <v>0.14452230115448805</v>
      </c>
      <c r="FO262" s="581">
        <f t="shared" si="1000"/>
        <v>0.16173352667566876</v>
      </c>
      <c r="FP262" s="349">
        <f t="shared" si="1000"/>
        <v>0.15185171639159245</v>
      </c>
      <c r="FQ262" s="349">
        <f t="shared" si="1000"/>
        <v>0.17766510161138238</v>
      </c>
      <c r="FR262" s="349">
        <f t="shared" si="1000"/>
        <v>0.16471442092905719</v>
      </c>
      <c r="FS262" s="349">
        <f t="shared" si="1000"/>
        <v>0.16684676531635856</v>
      </c>
      <c r="FT262" s="349">
        <f t="shared" si="1000"/>
        <v>0.15225353583995038</v>
      </c>
      <c r="FU262" s="349">
        <f t="shared" ref="FR262:FV263" si="1004">FU260/FN260-1</f>
        <v>0.15925459300844302</v>
      </c>
      <c r="FV262" s="581">
        <f t="shared" si="1004"/>
        <v>0.16183791657822177</v>
      </c>
      <c r="FX262" s="635"/>
    </row>
    <row r="263" spans="2:183" outlineLevel="1" x14ac:dyDescent="0.3">
      <c r="B263" s="279" t="s">
        <v>596</v>
      </c>
      <c r="C263" s="280" t="s">
        <v>413</v>
      </c>
      <c r="K263" s="349">
        <f>K261/D261-1</f>
        <v>2.1973388305847275E-2</v>
      </c>
      <c r="L263" s="349">
        <f t="shared" si="997"/>
        <v>0.31826240841506404</v>
      </c>
      <c r="M263" s="349">
        <f t="shared" si="997"/>
        <v>0.12688693207044532</v>
      </c>
      <c r="N263" s="349">
        <f t="shared" si="997"/>
        <v>-0.19463396864376636</v>
      </c>
      <c r="O263" s="349">
        <f t="shared" si="997"/>
        <v>-6.6384723118321776E-2</v>
      </c>
      <c r="P263" s="349">
        <f t="shared" si="997"/>
        <v>-0.30602167931344437</v>
      </c>
      <c r="Q263" s="349">
        <f t="shared" si="997"/>
        <v>0.15298129977415287</v>
      </c>
      <c r="R263" s="349">
        <f t="shared" si="997"/>
        <v>0.11524060373655631</v>
      </c>
      <c r="S263" s="349">
        <f t="shared" si="997"/>
        <v>-0.28457093333758521</v>
      </c>
      <c r="T263" s="349">
        <f t="shared" si="997"/>
        <v>-9.2653995617000828E-2</v>
      </c>
      <c r="U263" s="349">
        <f t="shared" si="997"/>
        <v>5.6502251862116548E-2</v>
      </c>
      <c r="V263" s="349">
        <f t="shared" si="997"/>
        <v>-0.67094539701543587</v>
      </c>
      <c r="W263" s="349">
        <f t="shared" si="997"/>
        <v>-0.37136428197652649</v>
      </c>
      <c r="X263" s="349">
        <f t="shared" si="997"/>
        <v>-0.18725114301756618</v>
      </c>
      <c r="Y263" s="349">
        <f t="shared" si="997"/>
        <v>-0.38203626554536252</v>
      </c>
      <c r="Z263" s="349">
        <f t="shared" si="997"/>
        <v>-0.20424435306708744</v>
      </c>
      <c r="AA263" s="349">
        <f t="shared" si="997"/>
        <v>-0.31022336778059145</v>
      </c>
      <c r="AB263" s="349">
        <f t="shared" si="997"/>
        <v>-0.54230790355357827</v>
      </c>
      <c r="AC263" s="349">
        <f t="shared" si="997"/>
        <v>-0.51131568853087872</v>
      </c>
      <c r="AD263" s="349">
        <f t="shared" si="997"/>
        <v>-0.52898731313812963</v>
      </c>
      <c r="AE263" s="349">
        <f>AE261/X261-1</f>
        <v>-0.39446687527560342</v>
      </c>
      <c r="AF263" s="349">
        <f t="shared" si="997"/>
        <v>3.9759426324311953E-2</v>
      </c>
      <c r="AG263" s="349">
        <f t="shared" si="997"/>
        <v>3.987481237824575E-2</v>
      </c>
      <c r="AH263" s="349">
        <f t="shared" si="997"/>
        <v>4.1052685250606125E-2</v>
      </c>
      <c r="AI263" s="349">
        <f t="shared" si="997"/>
        <v>0.79135182480148547</v>
      </c>
      <c r="AJ263" s="349">
        <f t="shared" si="997"/>
        <v>2.0878714912425367</v>
      </c>
      <c r="AK263" s="349">
        <f t="shared" si="997"/>
        <v>1.2099021980496625</v>
      </c>
      <c r="AL263" s="349">
        <f>AL261/AE261-1</f>
        <v>0.32766093338433655</v>
      </c>
      <c r="AM263" s="349">
        <f t="shared" si="997"/>
        <v>-4.0426378512048666E-2</v>
      </c>
      <c r="AN263" s="349">
        <f t="shared" si="997"/>
        <v>-0.45326049783814182</v>
      </c>
      <c r="AO263" s="349">
        <f t="shared" si="997"/>
        <v>-0.23206786318714612</v>
      </c>
      <c r="AP263" s="349">
        <f t="shared" si="997"/>
        <v>-0.25738131576098644</v>
      </c>
      <c r="AQ263" s="349">
        <f t="shared" si="997"/>
        <v>0.39029680464337546</v>
      </c>
      <c r="AR263" s="349">
        <f t="shared" si="997"/>
        <v>2.2977254688334892E-2</v>
      </c>
      <c r="AS263" s="349">
        <f t="shared" si="997"/>
        <v>-0.13138096670247068</v>
      </c>
      <c r="AT263" s="349">
        <f t="shared" si="997"/>
        <v>-1.9976529983368185E-2</v>
      </c>
      <c r="AU263" s="349">
        <f t="shared" si="997"/>
        <v>0.98910847606499819</v>
      </c>
      <c r="AV263" s="349">
        <f t="shared" si="997"/>
        <v>0.31363747771836059</v>
      </c>
      <c r="AW263" s="349">
        <f t="shared" si="997"/>
        <v>0.28614476545511036</v>
      </c>
      <c r="AX263" s="349">
        <f t="shared" si="997"/>
        <v>4.5172872757359261E-2</v>
      </c>
      <c r="AY263" s="349">
        <f t="shared" si="997"/>
        <v>0.13656641510836764</v>
      </c>
      <c r="AZ263" s="349">
        <f t="shared" si="997"/>
        <v>0.23537437090202129</v>
      </c>
      <c r="BA263" s="349">
        <f t="shared" si="997"/>
        <v>0.10377776309780562</v>
      </c>
      <c r="BB263" s="349">
        <f t="shared" si="997"/>
        <v>-6.4265845594023818E-2</v>
      </c>
      <c r="BC263" s="349">
        <f t="shared" si="997"/>
        <v>1.884105569942518E-2</v>
      </c>
      <c r="BD263" s="349">
        <f t="shared" si="997"/>
        <v>-7.4434894868331214E-2</v>
      </c>
      <c r="BE263" s="349">
        <f t="shared" si="997"/>
        <v>-0.12768940016585073</v>
      </c>
      <c r="BF263" s="349">
        <f t="shared" si="997"/>
        <v>-9.5555535147118675E-2</v>
      </c>
      <c r="BG263" s="349">
        <f t="shared" si="997"/>
        <v>-3.5055674411098692E-2</v>
      </c>
      <c r="BH263" s="349">
        <f t="shared" si="997"/>
        <v>0.17488965765275588</v>
      </c>
      <c r="BI263" s="349">
        <f t="shared" si="997"/>
        <v>0.43489999797126755</v>
      </c>
      <c r="BJ263" s="349">
        <f t="shared" si="997"/>
        <v>0.29802900964296208</v>
      </c>
      <c r="BK263" s="349">
        <f t="shared" si="997"/>
        <v>0.61869008079523202</v>
      </c>
      <c r="BL263" s="349">
        <f t="shared" si="997"/>
        <v>0.47623710763322347</v>
      </c>
      <c r="BM263" s="349">
        <f t="shared" si="997"/>
        <v>0.53936569351440888</v>
      </c>
      <c r="BN263" s="349">
        <f t="shared" si="997"/>
        <v>0.39560971647075482</v>
      </c>
      <c r="BO263" s="349">
        <f t="shared" si="998"/>
        <v>-4.280312176612644E-2</v>
      </c>
      <c r="BP263" s="349">
        <f t="shared" si="998"/>
        <v>0.15564092572715382</v>
      </c>
      <c r="BQ263" s="349">
        <f t="shared" si="998"/>
        <v>6.0499932565847958E-2</v>
      </c>
      <c r="BR263" s="349">
        <f t="shared" si="998"/>
        <v>0.11038226239272331</v>
      </c>
      <c r="BS263" s="349">
        <f t="shared" si="998"/>
        <v>0.2535664269268203</v>
      </c>
      <c r="BT263" s="349">
        <f t="shared" si="998"/>
        <v>0.18988764044943851</v>
      </c>
      <c r="BU263" s="349">
        <f t="shared" si="998"/>
        <v>0.12721972567299766</v>
      </c>
      <c r="BV263" s="349">
        <f t="shared" si="998"/>
        <v>0.2595194055340373</v>
      </c>
      <c r="BW263" s="349">
        <f t="shared" si="998"/>
        <v>-2.0147750167893719E-3</v>
      </c>
      <c r="BX263" s="349">
        <f t="shared" si="998"/>
        <v>0.12463121118012421</v>
      </c>
      <c r="BY263" s="349">
        <f t="shared" si="998"/>
        <v>0.15327492307536561</v>
      </c>
      <c r="BZ263" s="349">
        <f t="shared" si="998"/>
        <v>1.821585071773435E-2</v>
      </c>
      <c r="CA263" s="349">
        <f t="shared" si="998"/>
        <v>7.6979442746202276E-2</v>
      </c>
      <c r="CB263" s="349">
        <f t="shared" si="998"/>
        <v>8.5217467033701588E-2</v>
      </c>
      <c r="CC263" s="349">
        <f t="shared" si="998"/>
        <v>5.3948052012266379E-2</v>
      </c>
      <c r="CD263" s="349">
        <f t="shared" si="998"/>
        <v>0.14553560761793283</v>
      </c>
      <c r="CE263" s="349">
        <f t="shared" si="998"/>
        <v>9.5319318285676857E-2</v>
      </c>
      <c r="CF263" s="349">
        <f t="shared" si="998"/>
        <v>-5.2400039971117418E-2</v>
      </c>
      <c r="CG263" s="349">
        <f t="shared" si="998"/>
        <v>-4.5427179513758298E-2</v>
      </c>
      <c r="CH263" s="349">
        <f t="shared" si="998"/>
        <v>-5.6784812206090662E-2</v>
      </c>
      <c r="CI263" s="349">
        <f t="shared" si="998"/>
        <v>3.3311397748548854E-2</v>
      </c>
      <c r="CJ263" s="349">
        <f t="shared" si="998"/>
        <v>-5.9985292679746949E-2</v>
      </c>
      <c r="CK263" s="349">
        <f t="shared" si="998"/>
        <v>-6.0221254970808102E-3</v>
      </c>
      <c r="CL263" s="349">
        <f t="shared" si="998"/>
        <v>-3.713623036471303E-2</v>
      </c>
      <c r="CM263" s="349">
        <f t="shared" si="998"/>
        <v>0.31819761540181912</v>
      </c>
      <c r="CN263" s="349">
        <f t="shared" si="998"/>
        <v>0.46615494136576863</v>
      </c>
      <c r="CO263" s="349">
        <f t="shared" si="998"/>
        <v>0.40625179048691118</v>
      </c>
      <c r="CP263" s="349">
        <f t="shared" si="998"/>
        <v>0.15395854273980336</v>
      </c>
      <c r="CQ263" s="349">
        <f t="shared" si="998"/>
        <v>0.28671234824974423</v>
      </c>
      <c r="CR263" s="349">
        <f t="shared" si="998"/>
        <v>9.5215710949535293E-2</v>
      </c>
      <c r="CS263" s="349">
        <f t="shared" si="998"/>
        <v>0.18488591686104416</v>
      </c>
      <c r="CT263" s="349">
        <f t="shared" si="998"/>
        <v>-5.2789587638051638E-2</v>
      </c>
      <c r="CU263" s="349">
        <f t="shared" si="998"/>
        <v>-9.5711714948393367E-2</v>
      </c>
      <c r="CV263" s="349">
        <f t="shared" si="998"/>
        <v>-7.5074896621353471E-2</v>
      </c>
      <c r="CW263" s="349">
        <f t="shared" si="998"/>
        <v>4.7939815928137897E-2</v>
      </c>
      <c r="CX263" s="349">
        <f t="shared" si="998"/>
        <v>0.12814715665052812</v>
      </c>
      <c r="CY263" s="349">
        <f t="shared" si="998"/>
        <v>0.21494992359576748</v>
      </c>
      <c r="CZ263" s="349">
        <f t="shared" si="998"/>
        <v>0.17214945272949911</v>
      </c>
      <c r="DA263" s="349">
        <f t="shared" si="998"/>
        <v>0.16522101265019784</v>
      </c>
      <c r="DB263" s="349">
        <f>DB261/CU261-1</f>
        <v>0.17694244688312599</v>
      </c>
      <c r="DC263" s="349">
        <f>DC261/CV261-1</f>
        <v>0.17351687383816805</v>
      </c>
      <c r="DD263" s="573">
        <f t="shared" si="999"/>
        <v>0.1717991593235173</v>
      </c>
      <c r="DE263" s="350">
        <f t="shared" si="999"/>
        <v>-1.4202989064931226E-2</v>
      </c>
      <c r="DF263" s="350">
        <f t="shared" si="999"/>
        <v>0.22128526894508793</v>
      </c>
      <c r="DG263" s="349">
        <f>DG261/CZ261-1</f>
        <v>0.10903507916204558</v>
      </c>
      <c r="DH263" s="349">
        <f>DH261/DA261-1</f>
        <v>0.59706795582281913</v>
      </c>
      <c r="DI263" s="349">
        <f t="shared" si="1000"/>
        <v>0.428431325405358</v>
      </c>
      <c r="DJ263" s="349">
        <f t="shared" si="1000"/>
        <v>0.50782383879112025</v>
      </c>
      <c r="DK263" s="573">
        <f t="shared" si="1000"/>
        <v>0.29366352427267262</v>
      </c>
      <c r="DL263" s="351">
        <f t="shared" si="1000"/>
        <v>0.50111366520598333</v>
      </c>
      <c r="DM263" s="350">
        <f t="shared" si="1000"/>
        <v>0.28450142344119222</v>
      </c>
      <c r="DN263" s="349">
        <f t="shared" si="1000"/>
        <v>0.37057808371842516</v>
      </c>
      <c r="DO263" s="350">
        <f t="shared" si="1000"/>
        <v>0.24917611308553256</v>
      </c>
      <c r="DP263" s="349">
        <f t="shared" si="1000"/>
        <v>0.42906940416993411</v>
      </c>
      <c r="DQ263" s="349">
        <f t="shared" si="1000"/>
        <v>0.3312103381704985</v>
      </c>
      <c r="DR263" s="573">
        <f t="shared" si="1000"/>
        <v>0.35372050638960806</v>
      </c>
      <c r="DS263" s="350">
        <f t="shared" si="1000"/>
        <v>0.14926074260299771</v>
      </c>
      <c r="DT263" s="350">
        <f t="shared" si="1000"/>
        <v>4.7445559106760626E-2</v>
      </c>
      <c r="DU263" s="350">
        <f t="shared" si="1000"/>
        <v>9.4778721893979068E-2</v>
      </c>
      <c r="DV263" s="350">
        <f t="shared" si="1000"/>
        <v>-0.15283761300664533</v>
      </c>
      <c r="DW263" s="349">
        <f t="shared" si="1001"/>
        <v>-0.10526589926235996</v>
      </c>
      <c r="DX263" s="349">
        <f t="shared" si="1001"/>
        <v>-0.12927762971289591</v>
      </c>
      <c r="DY263" s="573">
        <f t="shared" si="1001"/>
        <v>-2.3831718055048134E-2</v>
      </c>
      <c r="DZ263" s="350">
        <f>DZ261/DS261-1</f>
        <v>0.13687334648243876</v>
      </c>
      <c r="EA263" s="350">
        <f>EA261/DT261-1</f>
        <v>0.11095459868134139</v>
      </c>
      <c r="EB263" s="350">
        <f>EB261/DU261-1</f>
        <v>0.12507633578517252</v>
      </c>
      <c r="EC263" s="350">
        <f t="shared" si="1000"/>
        <v>0.40137378196910767</v>
      </c>
      <c r="ED263" s="349">
        <f t="shared" si="1002"/>
        <v>0.12420924583249859</v>
      </c>
      <c r="EE263" s="349">
        <f t="shared" si="1002"/>
        <v>0.24676452139955862</v>
      </c>
      <c r="EF263" s="573">
        <f t="shared" si="1002"/>
        <v>0.18440380828153247</v>
      </c>
      <c r="EG263" s="350">
        <f>EG261/DZ261-1</f>
        <v>3.8993049270774405E-2</v>
      </c>
      <c r="EH263" s="350">
        <f>EH261/EA261-1</f>
        <v>-0.10540572121638569</v>
      </c>
      <c r="EI263" s="350">
        <f>EI261/EB261-1</f>
        <v>-3.4026919850379866E-2</v>
      </c>
      <c r="EJ263" s="350">
        <f t="shared" si="1000"/>
        <v>-0.13152958420081007</v>
      </c>
      <c r="EK263" s="350">
        <f t="shared" si="1003"/>
        <v>-9.2925995931330219E-2</v>
      </c>
      <c r="EL263" s="349">
        <f t="shared" si="1003"/>
        <v>-0.110712182280434</v>
      </c>
      <c r="EM263" s="573">
        <f t="shared" si="1003"/>
        <v>-7.3522013864413038E-2</v>
      </c>
      <c r="EN263" s="350">
        <f>EN261/EG261-1</f>
        <v>-0.279837640354342</v>
      </c>
      <c r="EO263" s="350">
        <f>EO261/EH261-1</f>
        <v>-0.26373662740287551</v>
      </c>
      <c r="EP263" s="350">
        <f>EP261/EI261-1</f>
        <v>-0.39408629611356316</v>
      </c>
      <c r="EQ263" s="351">
        <f>EQ261/EJ261-1</f>
        <v>-0.31586496205625114</v>
      </c>
      <c r="ER263" s="349">
        <f t="shared" si="1000"/>
        <v>-0.17024027755839266</v>
      </c>
      <c r="ES263" s="349">
        <f t="shared" si="1000"/>
        <v>-0.15352346199131706</v>
      </c>
      <c r="ET263" s="581">
        <f>ET261/EM261-1</f>
        <v>-0.27865489226230911</v>
      </c>
      <c r="EU263" s="349">
        <f t="shared" si="1000"/>
        <v>5.8389815680878421E-2</v>
      </c>
      <c r="EV263" s="349">
        <f t="shared" si="1000"/>
        <v>0.15744871866639221</v>
      </c>
      <c r="EW263" s="349">
        <f t="shared" si="1000"/>
        <v>0.32496416735273437</v>
      </c>
      <c r="EX263" s="349">
        <f t="shared" si="1000"/>
        <v>0.33971230119797813</v>
      </c>
      <c r="EY263" s="349">
        <f t="shared" si="1000"/>
        <v>0.27226898827657497</v>
      </c>
      <c r="EZ263" s="349">
        <f t="shared" si="1000"/>
        <v>0.16513230917849486</v>
      </c>
      <c r="FA263" s="581">
        <f t="shared" si="1000"/>
        <v>0.23499444452972429</v>
      </c>
      <c r="FB263" s="349">
        <f t="shared" si="1000"/>
        <v>0.22235858174616374</v>
      </c>
      <c r="FC263" s="349">
        <f t="shared" si="1000"/>
        <v>0.2575710975699117</v>
      </c>
      <c r="FD263" s="349">
        <f t="shared" si="1000"/>
        <v>0.24004766332538985</v>
      </c>
      <c r="FE263" s="349">
        <f t="shared" si="1000"/>
        <v>0.28733525751501365</v>
      </c>
      <c r="FF263" s="349">
        <f t="shared" si="1000"/>
        <v>0.2104321256757602</v>
      </c>
      <c r="FG263" s="349">
        <f t="shared" si="1000"/>
        <v>0.24599266850040014</v>
      </c>
      <c r="FH263" s="581">
        <f t="shared" si="1000"/>
        <v>0.24329758440665294</v>
      </c>
      <c r="FI263" s="349">
        <f t="shared" si="1000"/>
        <v>0.19686993385402651</v>
      </c>
      <c r="FJ263" s="349">
        <f t="shared" si="1000"/>
        <v>0.16607196767373389</v>
      </c>
      <c r="FK263" s="349">
        <f t="shared" si="1000"/>
        <v>0.1814200502791663</v>
      </c>
      <c r="FL263" s="349">
        <f t="shared" si="1000"/>
        <v>0.15387302988505391</v>
      </c>
      <c r="FM263" s="349">
        <f t="shared" si="1000"/>
        <v>0.13574862369678642</v>
      </c>
      <c r="FN263" s="349">
        <f t="shared" si="1000"/>
        <v>0.14444749610434271</v>
      </c>
      <c r="FO263" s="581">
        <f t="shared" si="1000"/>
        <v>0.16169100332342423</v>
      </c>
      <c r="FP263" s="349">
        <f t="shared" si="1000"/>
        <v>0.15170625315152053</v>
      </c>
      <c r="FQ263" s="349">
        <f t="shared" si="1000"/>
        <v>0.17750393690763699</v>
      </c>
      <c r="FR263" s="349">
        <f t="shared" si="1004"/>
        <v>0.16463771387024617</v>
      </c>
      <c r="FS263" s="349">
        <f t="shared" si="1004"/>
        <v>0.16668991080517981</v>
      </c>
      <c r="FT263" s="349">
        <f t="shared" si="1004"/>
        <v>0.15212412863476343</v>
      </c>
      <c r="FU263" s="349">
        <f t="shared" si="1004"/>
        <v>0.15918350397965408</v>
      </c>
      <c r="FV263" s="581">
        <f t="shared" si="1004"/>
        <v>0.16180105354868646</v>
      </c>
    </row>
    <row r="264" spans="2:183" outlineLevel="1" x14ac:dyDescent="0.3">
      <c r="B264" s="440" t="s">
        <v>597</v>
      </c>
      <c r="C264" s="280"/>
      <c r="BG264" s="281">
        <f>+BG265+AZ265+BJ265</f>
        <v>68</v>
      </c>
      <c r="BL264" s="317">
        <v>8.1999999999999993</v>
      </c>
      <c r="BM264" s="283">
        <f>+BL264*(0.05*BM249)-2</f>
        <v>179.46600000000001</v>
      </c>
      <c r="BN264" s="283">
        <f>+BM264/BM249</f>
        <v>0.40548124717577949</v>
      </c>
    </row>
    <row r="265" spans="2:183" outlineLevel="1" x14ac:dyDescent="0.3">
      <c r="B265" s="279" t="s">
        <v>598</v>
      </c>
      <c r="C265" s="280" t="s">
        <v>592</v>
      </c>
      <c r="D265" s="289">
        <v>0</v>
      </c>
      <c r="E265" s="289">
        <v>4</v>
      </c>
      <c r="F265" s="281">
        <f>SUM(D265:E265)</f>
        <v>4</v>
      </c>
      <c r="G265" s="289">
        <v>0</v>
      </c>
      <c r="H265" s="289">
        <v>4</v>
      </c>
      <c r="I265" s="281">
        <f>SUM(G265:H265)</f>
        <v>4</v>
      </c>
      <c r="J265" s="281">
        <f>I265+F265</f>
        <v>8</v>
      </c>
      <c r="K265" s="289">
        <v>0</v>
      </c>
      <c r="L265" s="289">
        <v>5</v>
      </c>
      <c r="M265" s="281">
        <f>SUM(K265:L265)</f>
        <v>5</v>
      </c>
      <c r="N265" s="289">
        <v>0</v>
      </c>
      <c r="O265" s="289">
        <v>15</v>
      </c>
      <c r="P265" s="281">
        <f>SUM(N265:O265)</f>
        <v>15</v>
      </c>
      <c r="Q265" s="281">
        <f>P265+M265</f>
        <v>20</v>
      </c>
      <c r="R265" s="289">
        <v>0</v>
      </c>
      <c r="S265" s="289">
        <v>12</v>
      </c>
      <c r="T265" s="250">
        <f>SUM(R265:S265)</f>
        <v>12</v>
      </c>
      <c r="U265" s="289">
        <v>0</v>
      </c>
      <c r="V265" s="289">
        <v>8</v>
      </c>
      <c r="W265" s="250">
        <f>SUM(U265:V265)</f>
        <v>8</v>
      </c>
      <c r="X265" s="250">
        <f>W265+T265</f>
        <v>20</v>
      </c>
      <c r="Y265" s="289">
        <v>0</v>
      </c>
      <c r="Z265" s="289">
        <v>0</v>
      </c>
      <c r="AA265" s="281">
        <f>SUM(Y265:Z265)</f>
        <v>0</v>
      </c>
      <c r="AB265" s="289">
        <v>0</v>
      </c>
      <c r="AC265" s="289">
        <v>0</v>
      </c>
      <c r="AD265" s="281">
        <f>SUM(AB265:AC265)</f>
        <v>0</v>
      </c>
      <c r="AE265" s="281">
        <f>AA265+AD265</f>
        <v>0</v>
      </c>
      <c r="AF265" s="289">
        <v>0</v>
      </c>
      <c r="AG265" s="289">
        <v>0</v>
      </c>
      <c r="AH265" s="281">
        <f>SUM(AF265:AG265)</f>
        <v>0</v>
      </c>
      <c r="AI265" s="289">
        <v>0</v>
      </c>
      <c r="AJ265" s="289">
        <v>0</v>
      </c>
      <c r="AK265" s="281">
        <f>SUM(AI265:AJ265)</f>
        <v>0</v>
      </c>
      <c r="AL265" s="281">
        <f>AK265+AH265</f>
        <v>0</v>
      </c>
      <c r="AM265" s="288">
        <v>0</v>
      </c>
      <c r="AN265" s="288">
        <v>0</v>
      </c>
      <c r="AO265" s="281">
        <f>AN265+AM265</f>
        <v>0</v>
      </c>
      <c r="AR265" s="281">
        <f>AQ265+AP265</f>
        <v>0</v>
      </c>
      <c r="AS265" s="281">
        <f>AR265+AO265</f>
        <v>0</v>
      </c>
      <c r="AU265" s="288">
        <v>4</v>
      </c>
      <c r="AV265" s="250">
        <f>AU265+AT265</f>
        <v>4</v>
      </c>
      <c r="AX265" s="288">
        <v>38</v>
      </c>
      <c r="AY265" s="250">
        <f>+AX265+AW265</f>
        <v>38</v>
      </c>
      <c r="AZ265" s="281">
        <f>AY265+AV265</f>
        <v>42</v>
      </c>
      <c r="BA265" s="288">
        <v>0</v>
      </c>
      <c r="BB265" s="288">
        <v>5</v>
      </c>
      <c r="BC265" s="250">
        <f>+BB265+BA265</f>
        <v>5</v>
      </c>
      <c r="BD265" s="288">
        <v>0</v>
      </c>
      <c r="BE265" s="288">
        <v>13</v>
      </c>
      <c r="BF265" s="250">
        <f>BE265+BD265</f>
        <v>13</v>
      </c>
      <c r="BG265" s="281">
        <f>BF265+BC265</f>
        <v>18</v>
      </c>
      <c r="BI265" s="250">
        <f>+BJ265</f>
        <v>8</v>
      </c>
      <c r="BJ265" s="288">
        <v>8</v>
      </c>
      <c r="BL265" s="289">
        <v>32</v>
      </c>
      <c r="BM265" s="281">
        <f>ROUND(BM271*BM261,0)</f>
        <v>19</v>
      </c>
      <c r="BN265" s="281">
        <f>+BM265+BJ265</f>
        <v>27</v>
      </c>
      <c r="BP265" s="289">
        <v>8</v>
      </c>
      <c r="BQ265" s="281">
        <f>+BP265+BO265</f>
        <v>8</v>
      </c>
      <c r="BS265" s="289">
        <v>27</v>
      </c>
      <c r="BT265" s="281">
        <f>BS265+BR265</f>
        <v>27</v>
      </c>
      <c r="BU265" s="281">
        <f>BT265+BQ265</f>
        <v>35</v>
      </c>
      <c r="BW265" s="289">
        <v>9</v>
      </c>
      <c r="BX265" s="281">
        <f>+BW265+BV265</f>
        <v>9</v>
      </c>
      <c r="BZ265" s="289">
        <v>29</v>
      </c>
      <c r="CA265" s="281">
        <f>BZ265</f>
        <v>29</v>
      </c>
      <c r="CB265" s="281">
        <f>CA265+BX265</f>
        <v>38</v>
      </c>
      <c r="CD265" s="289">
        <v>10</v>
      </c>
      <c r="CE265" s="281">
        <f>ROUND(CE271*CE261,0)</f>
        <v>10</v>
      </c>
      <c r="CG265" s="289">
        <v>28</v>
      </c>
      <c r="CH265" s="281">
        <f>CG265</f>
        <v>28</v>
      </c>
      <c r="CI265" s="281">
        <f>CH265+CE265</f>
        <v>38</v>
      </c>
      <c r="CK265" s="289">
        <v>10</v>
      </c>
      <c r="CL265" s="281">
        <f>CK265</f>
        <v>10</v>
      </c>
      <c r="CN265" s="289">
        <v>30</v>
      </c>
      <c r="CO265" s="281">
        <f>CN265</f>
        <v>30</v>
      </c>
      <c r="CP265" s="320">
        <f>CO265+CL265</f>
        <v>40</v>
      </c>
      <c r="CQ265" s="320"/>
      <c r="CR265" s="340">
        <v>10</v>
      </c>
      <c r="CS265" s="320">
        <f>CR265</f>
        <v>10</v>
      </c>
      <c r="CT265" s="320">
        <v>0</v>
      </c>
      <c r="CU265" s="320">
        <v>26</v>
      </c>
      <c r="CV265" s="320">
        <f>CU265</f>
        <v>26</v>
      </c>
      <c r="CW265" s="320">
        <f>CV265+CS265</f>
        <v>36</v>
      </c>
      <c r="CX265" s="342">
        <v>0</v>
      </c>
      <c r="CY265" s="340">
        <v>10</v>
      </c>
      <c r="CZ265" s="320">
        <f>CX265+CY265</f>
        <v>10</v>
      </c>
      <c r="DA265" s="320">
        <v>0</v>
      </c>
      <c r="DB265" s="320">
        <v>0</v>
      </c>
      <c r="DC265" s="320">
        <f>DB265</f>
        <v>0</v>
      </c>
      <c r="DD265" s="679">
        <f>DC265+CZ265</f>
        <v>10</v>
      </c>
      <c r="DE265" s="342">
        <v>0</v>
      </c>
      <c r="DF265" s="320">
        <f>+DG265</f>
        <v>0</v>
      </c>
      <c r="DG265" s="320">
        <f>ROUND(DG271*DG261,0)</f>
        <v>0</v>
      </c>
      <c r="DH265" s="320">
        <v>0</v>
      </c>
      <c r="DI265" s="320">
        <v>0</v>
      </c>
      <c r="DJ265" s="320">
        <f>DI265</f>
        <v>0</v>
      </c>
      <c r="DK265" s="679">
        <f>DJ265+DG265</f>
        <v>0</v>
      </c>
      <c r="DL265" s="516">
        <v>0</v>
      </c>
      <c r="DM265" s="320">
        <f>+DN265</f>
        <v>40</v>
      </c>
      <c r="DN265" s="340">
        <v>40</v>
      </c>
      <c r="DO265" s="342">
        <v>0</v>
      </c>
      <c r="DP265" s="340">
        <v>30</v>
      </c>
      <c r="DQ265" s="340">
        <f>DP265+DO265</f>
        <v>30</v>
      </c>
      <c r="DR265" s="679">
        <f>DQ265+DN265</f>
        <v>70</v>
      </c>
      <c r="DS265" s="342">
        <v>0</v>
      </c>
      <c r="DT265" s="340">
        <v>0</v>
      </c>
      <c r="DU265" s="320">
        <f>DS265+DT265</f>
        <v>0</v>
      </c>
      <c r="DV265" s="342">
        <v>0</v>
      </c>
      <c r="DW265" s="340">
        <v>0</v>
      </c>
      <c r="DX265" s="340">
        <v>0</v>
      </c>
      <c r="DY265" s="679">
        <f>DX265+DU265</f>
        <v>0</v>
      </c>
      <c r="DZ265" s="342">
        <v>0</v>
      </c>
      <c r="EA265" s="340">
        <v>0</v>
      </c>
      <c r="EB265" s="320">
        <f>DZ265+EA265</f>
        <v>0</v>
      </c>
      <c r="EC265" s="342">
        <v>0</v>
      </c>
      <c r="ED265" s="340">
        <v>0</v>
      </c>
      <c r="EE265" s="340">
        <v>0</v>
      </c>
      <c r="EF265" s="679">
        <f>EE265+EB265</f>
        <v>0</v>
      </c>
      <c r="EG265" s="342">
        <v>0</v>
      </c>
      <c r="EH265" s="340">
        <v>0</v>
      </c>
      <c r="EI265" s="320">
        <f>EG265+EH265</f>
        <v>0</v>
      </c>
      <c r="EJ265" s="342">
        <v>0</v>
      </c>
      <c r="EK265" s="340">
        <v>0</v>
      </c>
      <c r="EL265" s="340">
        <v>0</v>
      </c>
      <c r="EM265" s="679">
        <f>EL265+EI265</f>
        <v>0</v>
      </c>
      <c r="EN265" s="342">
        <v>0</v>
      </c>
      <c r="EO265" s="340">
        <v>0</v>
      </c>
      <c r="EP265" s="320">
        <f>EN265+EO265</f>
        <v>0</v>
      </c>
      <c r="EQ265" s="516">
        <v>0</v>
      </c>
      <c r="ER265" s="320">
        <f t="shared" ref="ER265:FV265" si="1005">EQ265+EN265</f>
        <v>0</v>
      </c>
      <c r="ES265" s="320">
        <f t="shared" si="1005"/>
        <v>0</v>
      </c>
      <c r="ET265" s="583">
        <f t="shared" si="1005"/>
        <v>0</v>
      </c>
      <c r="EU265" s="320">
        <f t="shared" si="1005"/>
        <v>0</v>
      </c>
      <c r="EV265" s="320">
        <f t="shared" si="1005"/>
        <v>0</v>
      </c>
      <c r="EW265" s="320">
        <f t="shared" si="1005"/>
        <v>0</v>
      </c>
      <c r="EX265" s="320">
        <f t="shared" si="1005"/>
        <v>0</v>
      </c>
      <c r="EY265" s="320">
        <f t="shared" si="1005"/>
        <v>0</v>
      </c>
      <c r="EZ265" s="320">
        <f t="shared" si="1005"/>
        <v>0</v>
      </c>
      <c r="FA265" s="583">
        <f t="shared" si="1005"/>
        <v>0</v>
      </c>
      <c r="FB265" s="320">
        <f t="shared" si="1005"/>
        <v>0</v>
      </c>
      <c r="FC265" s="320">
        <f t="shared" si="1005"/>
        <v>0</v>
      </c>
      <c r="FD265" s="320">
        <f t="shared" si="1005"/>
        <v>0</v>
      </c>
      <c r="FE265" s="320">
        <f t="shared" si="1005"/>
        <v>0</v>
      </c>
      <c r="FF265" s="320">
        <f t="shared" si="1005"/>
        <v>0</v>
      </c>
      <c r="FG265" s="320">
        <f t="shared" si="1005"/>
        <v>0</v>
      </c>
      <c r="FH265" s="583">
        <f t="shared" si="1005"/>
        <v>0</v>
      </c>
      <c r="FI265" s="320">
        <f t="shared" si="1005"/>
        <v>0</v>
      </c>
      <c r="FJ265" s="320">
        <f t="shared" si="1005"/>
        <v>0</v>
      </c>
      <c r="FK265" s="320">
        <f t="shared" si="1005"/>
        <v>0</v>
      </c>
      <c r="FL265" s="320">
        <f t="shared" si="1005"/>
        <v>0</v>
      </c>
      <c r="FM265" s="320">
        <f t="shared" si="1005"/>
        <v>0</v>
      </c>
      <c r="FN265" s="320">
        <f t="shared" si="1005"/>
        <v>0</v>
      </c>
      <c r="FO265" s="583">
        <f t="shared" si="1005"/>
        <v>0</v>
      </c>
      <c r="FP265" s="320">
        <f t="shared" si="1005"/>
        <v>0</v>
      </c>
      <c r="FQ265" s="320">
        <f t="shared" si="1005"/>
        <v>0</v>
      </c>
      <c r="FR265" s="320">
        <f t="shared" si="1005"/>
        <v>0</v>
      </c>
      <c r="FS265" s="320">
        <f t="shared" si="1005"/>
        <v>0</v>
      </c>
      <c r="FT265" s="320">
        <f t="shared" si="1005"/>
        <v>0</v>
      </c>
      <c r="FU265" s="320">
        <f t="shared" si="1005"/>
        <v>0</v>
      </c>
      <c r="FV265" s="583">
        <f t="shared" si="1005"/>
        <v>0</v>
      </c>
    </row>
    <row r="266" spans="2:183" outlineLevel="1" x14ac:dyDescent="0.3">
      <c r="B266" s="279" t="s">
        <v>599</v>
      </c>
      <c r="C266" s="280" t="s">
        <v>592</v>
      </c>
      <c r="BE266" s="288">
        <v>24</v>
      </c>
      <c r="BF266" s="250">
        <f>+BE266+BD266</f>
        <v>24</v>
      </c>
      <c r="BG266" s="250">
        <f>+BF266+BC266</f>
        <v>24</v>
      </c>
      <c r="BK266" s="288">
        <v>28</v>
      </c>
      <c r="BL266" s="288">
        <v>20</v>
      </c>
      <c r="BM266" s="250">
        <f>+BL266+BK266</f>
        <v>48</v>
      </c>
      <c r="BN266" s="250">
        <f>+BM266+BJ266</f>
        <v>48</v>
      </c>
      <c r="BP266" s="288">
        <v>0</v>
      </c>
      <c r="BQ266" s="250">
        <f>+BP266+BO266</f>
        <v>0</v>
      </c>
      <c r="BS266" s="288">
        <v>22</v>
      </c>
      <c r="BT266" s="281">
        <f>BS266+BR266</f>
        <v>22</v>
      </c>
      <c r="BU266" s="250">
        <f>+BT266+BQ266</f>
        <v>22</v>
      </c>
      <c r="BX266" s="250">
        <f>+BW266+BV266</f>
        <v>0</v>
      </c>
      <c r="CA266" s="250">
        <f>+BZ266+BY266</f>
        <v>0</v>
      </c>
      <c r="CB266" s="250">
        <f>CA266+BX266</f>
        <v>0</v>
      </c>
      <c r="CG266" s="250">
        <f>CI266</f>
        <v>0</v>
      </c>
      <c r="CH266" s="250">
        <f>+CG266+CF266</f>
        <v>0</v>
      </c>
      <c r="CI266" s="250">
        <f>CB266</f>
        <v>0</v>
      </c>
      <c r="CP266" s="320"/>
      <c r="CQ266" s="320"/>
      <c r="CR266" s="320"/>
      <c r="CS266" s="320"/>
      <c r="CT266" s="320"/>
      <c r="CU266" s="320"/>
      <c r="CV266" s="320"/>
      <c r="CW266" s="320"/>
      <c r="CX266" s="320"/>
      <c r="CY266" s="320"/>
      <c r="CZ266" s="320"/>
      <c r="DA266" s="320"/>
      <c r="DB266" s="320"/>
      <c r="DC266" s="320"/>
      <c r="DD266" s="583"/>
      <c r="DE266" s="320"/>
      <c r="DF266" s="320"/>
      <c r="DG266" s="320"/>
      <c r="DH266" s="340">
        <v>70</v>
      </c>
      <c r="DI266" s="320"/>
      <c r="DJ266" s="320"/>
      <c r="DK266" s="583"/>
      <c r="DL266" s="344"/>
      <c r="DM266" s="320"/>
      <c r="DN266" s="320"/>
      <c r="DO266" s="320">
        <v>0</v>
      </c>
      <c r="DP266" s="320"/>
      <c r="DQ266" s="320"/>
      <c r="DR266" s="583"/>
      <c r="DS266" s="320"/>
      <c r="DT266" s="320"/>
      <c r="DU266" s="320"/>
      <c r="DV266" s="320">
        <v>1</v>
      </c>
      <c r="DW266" s="320"/>
      <c r="DX266" s="320"/>
      <c r="DY266" s="583"/>
      <c r="DZ266" s="320"/>
      <c r="EA266" s="320"/>
      <c r="EB266" s="320"/>
      <c r="EC266" s="320"/>
      <c r="ED266" s="320"/>
      <c r="EE266" s="320"/>
      <c r="EF266" s="583"/>
      <c r="EG266" s="320"/>
      <c r="EH266" s="320"/>
      <c r="EI266" s="320"/>
      <c r="EJ266" s="320"/>
      <c r="EK266" s="320"/>
      <c r="EL266" s="320"/>
      <c r="EM266" s="583"/>
      <c r="EN266" s="320"/>
      <c r="EO266" s="320"/>
      <c r="EP266" s="320"/>
      <c r="EQ266" s="344"/>
      <c r="ER266" s="320"/>
      <c r="ES266" s="320"/>
      <c r="ET266" s="583"/>
      <c r="EU266" s="320"/>
      <c r="EV266" s="320"/>
      <c r="EW266" s="320"/>
      <c r="EX266" s="320"/>
      <c r="EY266" s="320"/>
      <c r="EZ266" s="320"/>
      <c r="FA266" s="583"/>
      <c r="FB266" s="320"/>
      <c r="FC266" s="320"/>
      <c r="FD266" s="320"/>
      <c r="FE266" s="320"/>
      <c r="FF266" s="320"/>
      <c r="FG266" s="320"/>
      <c r="FH266" s="583"/>
      <c r="FI266" s="320"/>
      <c r="FJ266" s="320"/>
      <c r="FK266" s="320"/>
      <c r="FL266" s="320"/>
      <c r="FM266" s="320"/>
      <c r="FN266" s="320"/>
      <c r="FO266" s="583"/>
      <c r="FP266" s="320"/>
      <c r="FQ266" s="320"/>
      <c r="FR266" s="320"/>
      <c r="FS266" s="320"/>
      <c r="FT266" s="320"/>
      <c r="FU266" s="320"/>
      <c r="FV266" s="583"/>
    </row>
    <row r="267" spans="2:183" outlineLevel="1" x14ac:dyDescent="0.3">
      <c r="B267" s="247" t="s">
        <v>587</v>
      </c>
      <c r="C267" s="304" t="s">
        <v>592</v>
      </c>
      <c r="D267" s="305">
        <f>D266+D265</f>
        <v>0</v>
      </c>
      <c r="E267" s="305">
        <f t="shared" ref="E267:BP267" si="1006">E266+E265</f>
        <v>4</v>
      </c>
      <c r="F267" s="305">
        <f t="shared" si="1006"/>
        <v>4</v>
      </c>
      <c r="G267" s="305">
        <f t="shared" si="1006"/>
        <v>0</v>
      </c>
      <c r="H267" s="305">
        <f t="shared" si="1006"/>
        <v>4</v>
      </c>
      <c r="I267" s="305">
        <f t="shared" si="1006"/>
        <v>4</v>
      </c>
      <c r="J267" s="305">
        <f t="shared" si="1006"/>
        <v>8</v>
      </c>
      <c r="K267" s="305">
        <f t="shared" si="1006"/>
        <v>0</v>
      </c>
      <c r="L267" s="305">
        <f t="shared" si="1006"/>
        <v>5</v>
      </c>
      <c r="M267" s="305">
        <f t="shared" si="1006"/>
        <v>5</v>
      </c>
      <c r="N267" s="305">
        <f t="shared" si="1006"/>
        <v>0</v>
      </c>
      <c r="O267" s="305">
        <f t="shared" si="1006"/>
        <v>15</v>
      </c>
      <c r="P267" s="305">
        <f t="shared" si="1006"/>
        <v>15</v>
      </c>
      <c r="Q267" s="305">
        <f t="shared" si="1006"/>
        <v>20</v>
      </c>
      <c r="R267" s="305">
        <f t="shared" si="1006"/>
        <v>0</v>
      </c>
      <c r="S267" s="305">
        <f t="shared" si="1006"/>
        <v>12</v>
      </c>
      <c r="T267" s="305">
        <f t="shared" si="1006"/>
        <v>12</v>
      </c>
      <c r="U267" s="305">
        <f t="shared" si="1006"/>
        <v>0</v>
      </c>
      <c r="V267" s="305">
        <f t="shared" si="1006"/>
        <v>8</v>
      </c>
      <c r="W267" s="305">
        <f t="shared" si="1006"/>
        <v>8</v>
      </c>
      <c r="X267" s="305">
        <f t="shared" si="1006"/>
        <v>20</v>
      </c>
      <c r="Y267" s="305">
        <f t="shared" si="1006"/>
        <v>0</v>
      </c>
      <c r="Z267" s="305">
        <f t="shared" si="1006"/>
        <v>0</v>
      </c>
      <c r="AA267" s="305">
        <f t="shared" si="1006"/>
        <v>0</v>
      </c>
      <c r="AB267" s="305">
        <f t="shared" si="1006"/>
        <v>0</v>
      </c>
      <c r="AC267" s="305">
        <f t="shared" si="1006"/>
        <v>0</v>
      </c>
      <c r="AD267" s="305">
        <f t="shared" si="1006"/>
        <v>0</v>
      </c>
      <c r="AE267" s="305">
        <f t="shared" si="1006"/>
        <v>0</v>
      </c>
      <c r="AF267" s="305">
        <f t="shared" si="1006"/>
        <v>0</v>
      </c>
      <c r="AG267" s="305">
        <f t="shared" si="1006"/>
        <v>0</v>
      </c>
      <c r="AH267" s="305">
        <f t="shared" si="1006"/>
        <v>0</v>
      </c>
      <c r="AI267" s="305">
        <f t="shared" si="1006"/>
        <v>0</v>
      </c>
      <c r="AJ267" s="305">
        <f t="shared" si="1006"/>
        <v>0</v>
      </c>
      <c r="AK267" s="305">
        <f t="shared" si="1006"/>
        <v>0</v>
      </c>
      <c r="AL267" s="305">
        <f t="shared" si="1006"/>
        <v>0</v>
      </c>
      <c r="AM267" s="305">
        <f t="shared" si="1006"/>
        <v>0</v>
      </c>
      <c r="AN267" s="305">
        <f t="shared" si="1006"/>
        <v>0</v>
      </c>
      <c r="AO267" s="305">
        <f t="shared" si="1006"/>
        <v>0</v>
      </c>
      <c r="AP267" s="305">
        <f t="shared" si="1006"/>
        <v>0</v>
      </c>
      <c r="AQ267" s="305">
        <f t="shared" si="1006"/>
        <v>0</v>
      </c>
      <c r="AR267" s="305">
        <f t="shared" si="1006"/>
        <v>0</v>
      </c>
      <c r="AS267" s="305">
        <f t="shared" si="1006"/>
        <v>0</v>
      </c>
      <c r="AT267" s="305">
        <f t="shared" si="1006"/>
        <v>0</v>
      </c>
      <c r="AU267" s="305">
        <f t="shared" si="1006"/>
        <v>4</v>
      </c>
      <c r="AV267" s="305">
        <f t="shared" si="1006"/>
        <v>4</v>
      </c>
      <c r="AW267" s="305">
        <f t="shared" si="1006"/>
        <v>0</v>
      </c>
      <c r="AX267" s="305">
        <f t="shared" si="1006"/>
        <v>38</v>
      </c>
      <c r="AY267" s="305">
        <f t="shared" si="1006"/>
        <v>38</v>
      </c>
      <c r="AZ267" s="305">
        <f t="shared" si="1006"/>
        <v>42</v>
      </c>
      <c r="BA267" s="305">
        <f t="shared" si="1006"/>
        <v>0</v>
      </c>
      <c r="BB267" s="305">
        <f t="shared" si="1006"/>
        <v>5</v>
      </c>
      <c r="BC267" s="305">
        <f t="shared" si="1006"/>
        <v>5</v>
      </c>
      <c r="BD267" s="305">
        <f t="shared" si="1006"/>
        <v>0</v>
      </c>
      <c r="BE267" s="305">
        <f t="shared" si="1006"/>
        <v>37</v>
      </c>
      <c r="BF267" s="305">
        <f t="shared" si="1006"/>
        <v>37</v>
      </c>
      <c r="BG267" s="305">
        <f t="shared" si="1006"/>
        <v>42</v>
      </c>
      <c r="BH267" s="305">
        <f t="shared" si="1006"/>
        <v>0</v>
      </c>
      <c r="BI267" s="305">
        <f t="shared" si="1006"/>
        <v>8</v>
      </c>
      <c r="BJ267" s="305">
        <f t="shared" si="1006"/>
        <v>8</v>
      </c>
      <c r="BK267" s="305">
        <f t="shared" si="1006"/>
        <v>28</v>
      </c>
      <c r="BL267" s="305">
        <f t="shared" si="1006"/>
        <v>52</v>
      </c>
      <c r="BM267" s="305">
        <f t="shared" si="1006"/>
        <v>67</v>
      </c>
      <c r="BN267" s="305">
        <f t="shared" si="1006"/>
        <v>75</v>
      </c>
      <c r="BO267" s="305">
        <f t="shared" si="1006"/>
        <v>0</v>
      </c>
      <c r="BP267" s="305">
        <f t="shared" si="1006"/>
        <v>8</v>
      </c>
      <c r="BQ267" s="305">
        <f t="shared" ref="BQ267:DU267" si="1007">BQ266+BQ265</f>
        <v>8</v>
      </c>
      <c r="BR267" s="305">
        <f t="shared" si="1007"/>
        <v>0</v>
      </c>
      <c r="BS267" s="305">
        <f t="shared" si="1007"/>
        <v>49</v>
      </c>
      <c r="BT267" s="305">
        <f t="shared" si="1007"/>
        <v>49</v>
      </c>
      <c r="BU267" s="305">
        <f t="shared" si="1007"/>
        <v>57</v>
      </c>
      <c r="BV267" s="305">
        <f t="shared" si="1007"/>
        <v>0</v>
      </c>
      <c r="BW267" s="305">
        <f t="shared" si="1007"/>
        <v>9</v>
      </c>
      <c r="BX267" s="305">
        <f>BX266+BX265</f>
        <v>9</v>
      </c>
      <c r="BY267" s="305">
        <f t="shared" si="1007"/>
        <v>0</v>
      </c>
      <c r="BZ267" s="305">
        <f t="shared" si="1007"/>
        <v>29</v>
      </c>
      <c r="CA267" s="305">
        <f t="shared" si="1007"/>
        <v>29</v>
      </c>
      <c r="CB267" s="305">
        <f t="shared" si="1007"/>
        <v>38</v>
      </c>
      <c r="CC267" s="305">
        <f t="shared" si="1007"/>
        <v>0</v>
      </c>
      <c r="CD267" s="305">
        <f t="shared" si="1007"/>
        <v>10</v>
      </c>
      <c r="CE267" s="305">
        <f t="shared" si="1007"/>
        <v>10</v>
      </c>
      <c r="CF267" s="305">
        <f t="shared" si="1007"/>
        <v>0</v>
      </c>
      <c r="CG267" s="305">
        <f t="shared" si="1007"/>
        <v>28</v>
      </c>
      <c r="CH267" s="305">
        <f>CH266+CH265</f>
        <v>28</v>
      </c>
      <c r="CI267" s="305">
        <f t="shared" si="1007"/>
        <v>38</v>
      </c>
      <c r="CJ267" s="305">
        <f t="shared" si="1007"/>
        <v>0</v>
      </c>
      <c r="CK267" s="305">
        <f t="shared" si="1007"/>
        <v>10</v>
      </c>
      <c r="CL267" s="305">
        <f t="shared" si="1007"/>
        <v>10</v>
      </c>
      <c r="CM267" s="305">
        <f t="shared" si="1007"/>
        <v>0</v>
      </c>
      <c r="CN267" s="305">
        <f t="shared" si="1007"/>
        <v>30</v>
      </c>
      <c r="CO267" s="305">
        <f t="shared" si="1007"/>
        <v>30</v>
      </c>
      <c r="CP267" s="367">
        <f t="shared" si="1007"/>
        <v>40</v>
      </c>
      <c r="CQ267" s="367">
        <f t="shared" si="1007"/>
        <v>0</v>
      </c>
      <c r="CR267" s="367">
        <f t="shared" si="1007"/>
        <v>10</v>
      </c>
      <c r="CS267" s="367">
        <f t="shared" si="1007"/>
        <v>10</v>
      </c>
      <c r="CT267" s="367">
        <f t="shared" si="1007"/>
        <v>0</v>
      </c>
      <c r="CU267" s="367">
        <f t="shared" si="1007"/>
        <v>26</v>
      </c>
      <c r="CV267" s="367">
        <f t="shared" si="1007"/>
        <v>26</v>
      </c>
      <c r="CW267" s="367">
        <f t="shared" si="1007"/>
        <v>36</v>
      </c>
      <c r="CX267" s="367">
        <f t="shared" si="1007"/>
        <v>0</v>
      </c>
      <c r="CY267" s="367">
        <f t="shared" si="1007"/>
        <v>10</v>
      </c>
      <c r="CZ267" s="367">
        <f t="shared" si="1007"/>
        <v>10</v>
      </c>
      <c r="DA267" s="367">
        <f t="shared" si="1007"/>
        <v>0</v>
      </c>
      <c r="DB267" s="367">
        <f>DB266+DB265</f>
        <v>0</v>
      </c>
      <c r="DC267" s="367">
        <f>DC266+DC265</f>
        <v>0</v>
      </c>
      <c r="DD267" s="574">
        <f>DD266+DD265</f>
        <v>10</v>
      </c>
      <c r="DE267" s="367">
        <f>DE266+DE265</f>
        <v>0</v>
      </c>
      <c r="DF267" s="367">
        <f>DF266+DF265</f>
        <v>0</v>
      </c>
      <c r="DG267" s="367">
        <f t="shared" si="1007"/>
        <v>0</v>
      </c>
      <c r="DH267" s="367">
        <f t="shared" si="1007"/>
        <v>70</v>
      </c>
      <c r="DI267" s="367">
        <f t="shared" si="1007"/>
        <v>0</v>
      </c>
      <c r="DJ267" s="367">
        <f t="shared" si="1007"/>
        <v>0</v>
      </c>
      <c r="DK267" s="574">
        <f t="shared" si="1007"/>
        <v>0</v>
      </c>
      <c r="DL267" s="388">
        <f t="shared" si="1007"/>
        <v>0</v>
      </c>
      <c r="DM267" s="367">
        <f t="shared" si="1007"/>
        <v>40</v>
      </c>
      <c r="DN267" s="367">
        <f t="shared" si="1007"/>
        <v>40</v>
      </c>
      <c r="DO267" s="367">
        <f t="shared" si="1007"/>
        <v>0</v>
      </c>
      <c r="DP267" s="367">
        <f t="shared" si="1007"/>
        <v>30</v>
      </c>
      <c r="DQ267" s="367">
        <f t="shared" si="1007"/>
        <v>30</v>
      </c>
      <c r="DR267" s="574">
        <f t="shared" si="1007"/>
        <v>70</v>
      </c>
      <c r="DS267" s="305">
        <f t="shared" si="1007"/>
        <v>0</v>
      </c>
      <c r="DT267" s="305">
        <f t="shared" si="1007"/>
        <v>0</v>
      </c>
      <c r="DU267" s="305">
        <f t="shared" si="1007"/>
        <v>0</v>
      </c>
      <c r="DV267" s="305">
        <f t="shared" ref="DV267:EB267" si="1008">DV266+DV265</f>
        <v>1</v>
      </c>
      <c r="DW267" s="367">
        <f t="shared" si="1008"/>
        <v>0</v>
      </c>
      <c r="DX267" s="367">
        <f t="shared" si="1008"/>
        <v>0</v>
      </c>
      <c r="DY267" s="574">
        <f t="shared" si="1008"/>
        <v>0</v>
      </c>
      <c r="DZ267" s="305">
        <f t="shared" si="1008"/>
        <v>0</v>
      </c>
      <c r="EA267" s="305">
        <f t="shared" si="1008"/>
        <v>0</v>
      </c>
      <c r="EB267" s="305">
        <f t="shared" si="1008"/>
        <v>0</v>
      </c>
      <c r="EC267" s="305">
        <f t="shared" ref="EC267:EI267" si="1009">EC266+EC265</f>
        <v>0</v>
      </c>
      <c r="ED267" s="367">
        <f t="shared" si="1009"/>
        <v>0</v>
      </c>
      <c r="EE267" s="367">
        <f t="shared" si="1009"/>
        <v>0</v>
      </c>
      <c r="EF267" s="574">
        <f t="shared" si="1009"/>
        <v>0</v>
      </c>
      <c r="EG267" s="305">
        <f t="shared" si="1009"/>
        <v>0</v>
      </c>
      <c r="EH267" s="305">
        <f t="shared" si="1009"/>
        <v>0</v>
      </c>
      <c r="EI267" s="305">
        <f t="shared" si="1009"/>
        <v>0</v>
      </c>
      <c r="EJ267" s="305">
        <f>EJ266+EJ265</f>
        <v>0</v>
      </c>
      <c r="EK267" s="367">
        <f>EK266+EK265</f>
        <v>0</v>
      </c>
      <c r="EL267" s="367">
        <f>EL266+EL265</f>
        <v>0</v>
      </c>
      <c r="EM267" s="574">
        <f>EM266+EM265</f>
        <v>0</v>
      </c>
      <c r="EN267" s="305">
        <f t="shared" ref="EN267:EP267" si="1010">EN266+EN265</f>
        <v>0</v>
      </c>
      <c r="EO267" s="305">
        <f t="shared" si="1010"/>
        <v>0</v>
      </c>
      <c r="EP267" s="305">
        <f t="shared" si="1010"/>
        <v>0</v>
      </c>
      <c r="EQ267" s="402">
        <f t="shared" ref="EQ267" si="1011">EQ266+EQ265</f>
        <v>0</v>
      </c>
      <c r="ER267" s="305">
        <f t="shared" ref="ER267:FV267" si="1012">ER266+ER265</f>
        <v>0</v>
      </c>
      <c r="ES267" s="305">
        <f t="shared" si="1012"/>
        <v>0</v>
      </c>
      <c r="ET267" s="574">
        <f t="shared" si="1012"/>
        <v>0</v>
      </c>
      <c r="EU267" s="305">
        <f t="shared" si="1012"/>
        <v>0</v>
      </c>
      <c r="EV267" s="305">
        <f t="shared" si="1012"/>
        <v>0</v>
      </c>
      <c r="EW267" s="305">
        <f t="shared" si="1012"/>
        <v>0</v>
      </c>
      <c r="EX267" s="305">
        <f t="shared" si="1012"/>
        <v>0</v>
      </c>
      <c r="EY267" s="305">
        <f t="shared" si="1012"/>
        <v>0</v>
      </c>
      <c r="EZ267" s="305">
        <f t="shared" si="1012"/>
        <v>0</v>
      </c>
      <c r="FA267" s="574">
        <f t="shared" si="1012"/>
        <v>0</v>
      </c>
      <c r="FB267" s="305">
        <f t="shared" si="1012"/>
        <v>0</v>
      </c>
      <c r="FC267" s="305">
        <f t="shared" si="1012"/>
        <v>0</v>
      </c>
      <c r="FD267" s="305">
        <f t="shared" si="1012"/>
        <v>0</v>
      </c>
      <c r="FE267" s="305">
        <f t="shared" si="1012"/>
        <v>0</v>
      </c>
      <c r="FF267" s="305">
        <f t="shared" si="1012"/>
        <v>0</v>
      </c>
      <c r="FG267" s="305">
        <f t="shared" si="1012"/>
        <v>0</v>
      </c>
      <c r="FH267" s="574">
        <f t="shared" si="1012"/>
        <v>0</v>
      </c>
      <c r="FI267" s="305">
        <f t="shared" si="1012"/>
        <v>0</v>
      </c>
      <c r="FJ267" s="305">
        <f t="shared" si="1012"/>
        <v>0</v>
      </c>
      <c r="FK267" s="305">
        <f t="shared" si="1012"/>
        <v>0</v>
      </c>
      <c r="FL267" s="305">
        <f t="shared" si="1012"/>
        <v>0</v>
      </c>
      <c r="FM267" s="305">
        <f t="shared" si="1012"/>
        <v>0</v>
      </c>
      <c r="FN267" s="305">
        <f t="shared" si="1012"/>
        <v>0</v>
      </c>
      <c r="FO267" s="574">
        <f t="shared" si="1012"/>
        <v>0</v>
      </c>
      <c r="FP267" s="305">
        <f t="shared" si="1012"/>
        <v>0</v>
      </c>
      <c r="FQ267" s="305">
        <f t="shared" si="1012"/>
        <v>0</v>
      </c>
      <c r="FR267" s="305">
        <f t="shared" si="1012"/>
        <v>0</v>
      </c>
      <c r="FS267" s="305">
        <f t="shared" si="1012"/>
        <v>0</v>
      </c>
      <c r="FT267" s="305">
        <f t="shared" si="1012"/>
        <v>0</v>
      </c>
      <c r="FU267" s="305">
        <f t="shared" si="1012"/>
        <v>0</v>
      </c>
      <c r="FV267" s="574">
        <f t="shared" si="1012"/>
        <v>0</v>
      </c>
    </row>
    <row r="268" spans="2:183" outlineLevel="1" x14ac:dyDescent="0.3">
      <c r="B268" s="279" t="s">
        <v>600</v>
      </c>
      <c r="C268" s="517" t="s">
        <v>601</v>
      </c>
      <c r="K268" s="349" t="str">
        <f>IF(ISERROR(K267/D267-1),"nm",K267/D267-1)</f>
        <v>nm</v>
      </c>
      <c r="L268" s="349">
        <f>L267/E267-1</f>
        <v>0.25</v>
      </c>
      <c r="M268" s="349">
        <f>M267/F267-1</f>
        <v>0.25</v>
      </c>
      <c r="N268" s="349" t="str">
        <f>IF(ISERROR(N267/G267-1),"nm",N267/G267-1)</f>
        <v>nm</v>
      </c>
      <c r="O268" s="349">
        <f>O267/H267-1</f>
        <v>2.75</v>
      </c>
      <c r="P268" s="349">
        <f>P267/I267-1</f>
        <v>2.75</v>
      </c>
      <c r="Q268" s="349">
        <f>Q267/J267-1</f>
        <v>1.5</v>
      </c>
      <c r="R268" s="349" t="str">
        <f>IF(ISERROR(R267/K267-1),"nm",R267/K267-1)</f>
        <v>nm</v>
      </c>
      <c r="S268" s="349">
        <f>S267/L267-1</f>
        <v>1.4</v>
      </c>
      <c r="T268" s="349">
        <f>T267/M267-1</f>
        <v>1.4</v>
      </c>
      <c r="U268" s="349" t="str">
        <f t="shared" ref="U268:CF268" si="1013">IF(ISERROR(U267/N267-1),"nm",U267/N267-1)</f>
        <v>nm</v>
      </c>
      <c r="V268" s="349">
        <f t="shared" si="1013"/>
        <v>-0.46666666666666667</v>
      </c>
      <c r="W268" s="349">
        <f t="shared" si="1013"/>
        <v>-0.46666666666666667</v>
      </c>
      <c r="X268" s="349">
        <f t="shared" si="1013"/>
        <v>0</v>
      </c>
      <c r="Y268" s="349" t="str">
        <f t="shared" si="1013"/>
        <v>nm</v>
      </c>
      <c r="Z268" s="349">
        <f t="shared" si="1013"/>
        <v>-1</v>
      </c>
      <c r="AA268" s="349">
        <f t="shared" si="1013"/>
        <v>-1</v>
      </c>
      <c r="AB268" s="349" t="str">
        <f t="shared" si="1013"/>
        <v>nm</v>
      </c>
      <c r="AC268" s="349">
        <f t="shared" si="1013"/>
        <v>-1</v>
      </c>
      <c r="AD268" s="349">
        <f t="shared" si="1013"/>
        <v>-1</v>
      </c>
      <c r="AE268" s="349">
        <f t="shared" si="1013"/>
        <v>-1</v>
      </c>
      <c r="AF268" s="349" t="str">
        <f t="shared" si="1013"/>
        <v>nm</v>
      </c>
      <c r="AG268" s="349" t="str">
        <f t="shared" si="1013"/>
        <v>nm</v>
      </c>
      <c r="AH268" s="349" t="str">
        <f t="shared" si="1013"/>
        <v>nm</v>
      </c>
      <c r="AI268" s="349" t="str">
        <f t="shared" si="1013"/>
        <v>nm</v>
      </c>
      <c r="AJ268" s="349" t="str">
        <f t="shared" si="1013"/>
        <v>nm</v>
      </c>
      <c r="AK268" s="349" t="str">
        <f t="shared" si="1013"/>
        <v>nm</v>
      </c>
      <c r="AL268" s="349" t="str">
        <f t="shared" si="1013"/>
        <v>nm</v>
      </c>
      <c r="AM268" s="349" t="str">
        <f t="shared" si="1013"/>
        <v>nm</v>
      </c>
      <c r="AN268" s="349" t="str">
        <f t="shared" si="1013"/>
        <v>nm</v>
      </c>
      <c r="AO268" s="349" t="str">
        <f t="shared" si="1013"/>
        <v>nm</v>
      </c>
      <c r="AP268" s="349" t="str">
        <f t="shared" si="1013"/>
        <v>nm</v>
      </c>
      <c r="AQ268" s="349" t="str">
        <f t="shared" si="1013"/>
        <v>nm</v>
      </c>
      <c r="AR268" s="349" t="str">
        <f t="shared" si="1013"/>
        <v>nm</v>
      </c>
      <c r="AS268" s="349" t="str">
        <f t="shared" si="1013"/>
        <v>nm</v>
      </c>
      <c r="AT268" s="349" t="str">
        <f t="shared" si="1013"/>
        <v>nm</v>
      </c>
      <c r="AU268" s="349" t="str">
        <f t="shared" si="1013"/>
        <v>nm</v>
      </c>
      <c r="AV268" s="349" t="str">
        <f t="shared" si="1013"/>
        <v>nm</v>
      </c>
      <c r="AW268" s="349" t="str">
        <f t="shared" si="1013"/>
        <v>nm</v>
      </c>
      <c r="AX268" s="349" t="str">
        <f t="shared" si="1013"/>
        <v>nm</v>
      </c>
      <c r="AY268" s="349" t="str">
        <f t="shared" si="1013"/>
        <v>nm</v>
      </c>
      <c r="AZ268" s="349" t="str">
        <f t="shared" si="1013"/>
        <v>nm</v>
      </c>
      <c r="BA268" s="349" t="str">
        <f t="shared" si="1013"/>
        <v>nm</v>
      </c>
      <c r="BB268" s="349">
        <f t="shared" si="1013"/>
        <v>0.25</v>
      </c>
      <c r="BC268" s="349">
        <f t="shared" si="1013"/>
        <v>0.25</v>
      </c>
      <c r="BD268" s="349" t="str">
        <f t="shared" si="1013"/>
        <v>nm</v>
      </c>
      <c r="BE268" s="349">
        <f t="shared" si="1013"/>
        <v>-2.6315789473684181E-2</v>
      </c>
      <c r="BF268" s="349">
        <f t="shared" si="1013"/>
        <v>-2.6315789473684181E-2</v>
      </c>
      <c r="BG268" s="349">
        <f t="shared" si="1013"/>
        <v>0</v>
      </c>
      <c r="BH268" s="349" t="str">
        <f t="shared" si="1013"/>
        <v>nm</v>
      </c>
      <c r="BI268" s="349">
        <f t="shared" si="1013"/>
        <v>0.60000000000000009</v>
      </c>
      <c r="BJ268" s="349">
        <f t="shared" si="1013"/>
        <v>0.60000000000000009</v>
      </c>
      <c r="BK268" s="349" t="str">
        <f t="shared" si="1013"/>
        <v>nm</v>
      </c>
      <c r="BL268" s="349">
        <f t="shared" si="1013"/>
        <v>0.40540540540540548</v>
      </c>
      <c r="BM268" s="349">
        <f t="shared" si="1013"/>
        <v>0.81081081081081074</v>
      </c>
      <c r="BN268" s="349">
        <f t="shared" si="1013"/>
        <v>0.78571428571428581</v>
      </c>
      <c r="BO268" s="349" t="str">
        <f t="shared" si="1013"/>
        <v>nm</v>
      </c>
      <c r="BP268" s="349">
        <f t="shared" si="1013"/>
        <v>0</v>
      </c>
      <c r="BQ268" s="349">
        <f t="shared" si="1013"/>
        <v>0</v>
      </c>
      <c r="BR268" s="349">
        <f t="shared" si="1013"/>
        <v>-1</v>
      </c>
      <c r="BS268" s="349">
        <f t="shared" si="1013"/>
        <v>-5.7692307692307709E-2</v>
      </c>
      <c r="BT268" s="349">
        <f t="shared" si="1013"/>
        <v>-0.26865671641791045</v>
      </c>
      <c r="BU268" s="349">
        <f t="shared" si="1013"/>
        <v>-0.24</v>
      </c>
      <c r="BV268" s="349" t="str">
        <f t="shared" si="1013"/>
        <v>nm</v>
      </c>
      <c r="BW268" s="349">
        <f t="shared" si="1013"/>
        <v>0.125</v>
      </c>
      <c r="BX268" s="349">
        <f t="shared" si="1013"/>
        <v>0.125</v>
      </c>
      <c r="BY268" s="349" t="str">
        <f t="shared" si="1013"/>
        <v>nm</v>
      </c>
      <c r="BZ268" s="349">
        <f t="shared" si="1013"/>
        <v>-0.40816326530612246</v>
      </c>
      <c r="CA268" s="349">
        <f t="shared" si="1013"/>
        <v>-0.40816326530612246</v>
      </c>
      <c r="CB268" s="349">
        <f t="shared" si="1013"/>
        <v>-0.33333333333333337</v>
      </c>
      <c r="CC268" s="349" t="str">
        <f t="shared" si="1013"/>
        <v>nm</v>
      </c>
      <c r="CD268" s="349">
        <f t="shared" si="1013"/>
        <v>0.11111111111111116</v>
      </c>
      <c r="CE268" s="349">
        <f t="shared" si="1013"/>
        <v>0.11111111111111116</v>
      </c>
      <c r="CF268" s="349" t="str">
        <f t="shared" si="1013"/>
        <v>nm</v>
      </c>
      <c r="CG268" s="349">
        <f t="shared" ref="CG268:ER268" si="1014">IF(ISERROR(CG267/BZ267-1),"nm",CG267/BZ267-1)</f>
        <v>-3.4482758620689613E-2</v>
      </c>
      <c r="CH268" s="349">
        <f t="shared" si="1014"/>
        <v>-3.4482758620689613E-2</v>
      </c>
      <c r="CI268" s="349">
        <f t="shared" si="1014"/>
        <v>0</v>
      </c>
      <c r="CJ268" s="349" t="str">
        <f t="shared" si="1014"/>
        <v>nm</v>
      </c>
      <c r="CK268" s="349">
        <f t="shared" si="1014"/>
        <v>0</v>
      </c>
      <c r="CL268" s="349">
        <f t="shared" si="1014"/>
        <v>0</v>
      </c>
      <c r="CM268" s="349" t="str">
        <f t="shared" si="1014"/>
        <v>nm</v>
      </c>
      <c r="CN268" s="349">
        <f t="shared" si="1014"/>
        <v>7.1428571428571397E-2</v>
      </c>
      <c r="CO268" s="349">
        <f t="shared" si="1014"/>
        <v>7.1428571428571397E-2</v>
      </c>
      <c r="CP268" s="349">
        <f t="shared" si="1014"/>
        <v>5.2631578947368363E-2</v>
      </c>
      <c r="CQ268" s="349" t="str">
        <f t="shared" si="1014"/>
        <v>nm</v>
      </c>
      <c r="CR268" s="349">
        <f t="shared" si="1014"/>
        <v>0</v>
      </c>
      <c r="CS268" s="349">
        <f t="shared" si="1014"/>
        <v>0</v>
      </c>
      <c r="CT268" s="349" t="str">
        <f t="shared" si="1014"/>
        <v>nm</v>
      </c>
      <c r="CU268" s="349">
        <f t="shared" si="1014"/>
        <v>-0.1333333333333333</v>
      </c>
      <c r="CV268" s="349">
        <f t="shared" si="1014"/>
        <v>-0.1333333333333333</v>
      </c>
      <c r="CW268" s="349">
        <f t="shared" si="1014"/>
        <v>-9.9999999999999978E-2</v>
      </c>
      <c r="CX268" s="349" t="str">
        <f t="shared" si="1014"/>
        <v>nm</v>
      </c>
      <c r="CY268" s="349">
        <f t="shared" si="1014"/>
        <v>0</v>
      </c>
      <c r="CZ268" s="349">
        <f t="shared" si="1014"/>
        <v>0</v>
      </c>
      <c r="DA268" s="349" t="str">
        <f t="shared" si="1014"/>
        <v>nm</v>
      </c>
      <c r="DB268" s="349">
        <f>IF(ISERROR(DB267/CU267-1),"nm",DB267/CU267-1)</f>
        <v>-1</v>
      </c>
      <c r="DC268" s="349">
        <f>IF(ISERROR(DC267/CV267-1),"nm",DC267/CV267-1)</f>
        <v>-1</v>
      </c>
      <c r="DD268" s="573">
        <f>IF(ISERROR(DD267/CW267-1),"nm",DD267/CW267-1)</f>
        <v>-0.72222222222222221</v>
      </c>
      <c r="DE268" s="350" t="str">
        <f t="shared" si="1014"/>
        <v>nm</v>
      </c>
      <c r="DF268" s="350">
        <f t="shared" si="1014"/>
        <v>-1</v>
      </c>
      <c r="DG268" s="349">
        <f>IF(ISERROR(DG267/CZ267-1),"nm",DG267/CZ267-1)</f>
        <v>-1</v>
      </c>
      <c r="DH268" s="349" t="str">
        <f t="shared" si="1014"/>
        <v>nm</v>
      </c>
      <c r="DI268" s="349" t="str">
        <f>IF(ISERROR(DI267/DB267-1),"nm",DI267/DB267-1)</f>
        <v>nm</v>
      </c>
      <c r="DJ268" s="349" t="str">
        <f>IF(ISERROR(DJ267/DC267-1),"nm",DJ267/DC267-1)</f>
        <v>nm</v>
      </c>
      <c r="DK268" s="573">
        <f>IF(ISERROR(DK267/DD267-1),"nm",DK267/DD267-1)</f>
        <v>-1</v>
      </c>
      <c r="DL268" s="351" t="str">
        <f t="shared" si="1014"/>
        <v>nm</v>
      </c>
      <c r="DM268" s="350" t="str">
        <f t="shared" si="1014"/>
        <v>nm</v>
      </c>
      <c r="DN268" s="349" t="str">
        <f t="shared" si="1014"/>
        <v>nm</v>
      </c>
      <c r="DO268" s="350">
        <f t="shared" si="1014"/>
        <v>-1</v>
      </c>
      <c r="DP268" s="349" t="str">
        <f t="shared" si="1014"/>
        <v>nm</v>
      </c>
      <c r="DQ268" s="350" t="str">
        <f t="shared" si="1014"/>
        <v>nm</v>
      </c>
      <c r="DR268" s="573" t="str">
        <f t="shared" si="1014"/>
        <v>nm</v>
      </c>
      <c r="DS268" s="350" t="str">
        <f t="shared" si="1014"/>
        <v>nm</v>
      </c>
      <c r="DT268" s="350">
        <f t="shared" si="1014"/>
        <v>-1</v>
      </c>
      <c r="DU268" s="350">
        <f t="shared" si="1014"/>
        <v>-1</v>
      </c>
      <c r="DV268" s="350" t="str">
        <f t="shared" si="1014"/>
        <v>nm</v>
      </c>
      <c r="DW268" s="349">
        <f>IF(ISERROR(DW267/DP267-1),"nm",DW267/DP267-1)</f>
        <v>-1</v>
      </c>
      <c r="DX268" s="350">
        <f>IF(ISERROR(DX267/DQ267-1),"nm",DX267/DQ267-1)</f>
        <v>-1</v>
      </c>
      <c r="DY268" s="573">
        <f>IF(ISERROR(DY267/DR267-1),"nm",DY267/DR267-1)</f>
        <v>-1</v>
      </c>
      <c r="DZ268" s="350" t="str">
        <f t="shared" si="1014"/>
        <v>nm</v>
      </c>
      <c r="EA268" s="350" t="str">
        <f>IF(ISERROR(EA267/DT267-1),"nm",EA267/DT267-1)</f>
        <v>nm</v>
      </c>
      <c r="EB268" s="350" t="str">
        <f>IF(ISERROR(EB267/DU267-1),"nm",EB267/DU267-1)</f>
        <v>nm</v>
      </c>
      <c r="EC268" s="350">
        <f t="shared" si="1014"/>
        <v>-1</v>
      </c>
      <c r="ED268" s="349" t="str">
        <f>IF(ISERROR(ED267/DW267-1),"nm",ED267/DW267-1)</f>
        <v>nm</v>
      </c>
      <c r="EE268" s="350" t="str">
        <f>IF(ISERROR(EE267/DX267-1),"nm",EE267/DX267-1)</f>
        <v>nm</v>
      </c>
      <c r="EF268" s="573" t="str">
        <f>IF(ISERROR(EF267/DY267-1),"nm",EF267/DY267-1)</f>
        <v>nm</v>
      </c>
      <c r="EG268" s="350" t="str">
        <f t="shared" si="1014"/>
        <v>nm</v>
      </c>
      <c r="EH268" s="350" t="str">
        <f>IF(ISERROR(EH267/EA267-1),"nm",EH267/EA267-1)</f>
        <v>nm</v>
      </c>
      <c r="EI268" s="350" t="str">
        <f>IF(ISERROR(EI267/EB267-1),"nm",EI267/EB267-1)</f>
        <v>nm</v>
      </c>
      <c r="EJ268" s="350" t="str">
        <f t="shared" si="1014"/>
        <v>nm</v>
      </c>
      <c r="EK268" s="350" t="str">
        <f>IF(ISERROR(EK267/ED267-1),"nm",EK267/ED267-1)</f>
        <v>nm</v>
      </c>
      <c r="EL268" s="350" t="str">
        <f>IF(ISERROR(EL267/EE267-1),"nm",EL267/EE267-1)</f>
        <v>nm</v>
      </c>
      <c r="EM268" s="573" t="str">
        <f>IF(ISERROR(EM267/EF267-1),"nm",EM267/EF267-1)</f>
        <v>nm</v>
      </c>
      <c r="EN268" s="350" t="str">
        <f t="shared" si="1014"/>
        <v>nm</v>
      </c>
      <c r="EO268" s="350" t="str">
        <f>IF(ISERROR(EO267/EH267-1),"nm",EO267/EH267-1)</f>
        <v>nm</v>
      </c>
      <c r="EP268" s="350" t="str">
        <f>IF(ISERROR(EP267/EI267-1),"nm",EP267/EI267-1)</f>
        <v>nm</v>
      </c>
      <c r="EQ268" s="351" t="str">
        <f t="shared" si="1014"/>
        <v>nm</v>
      </c>
      <c r="ER268" s="349" t="str">
        <f t="shared" si="1014"/>
        <v>nm</v>
      </c>
      <c r="ES268" s="349" t="str">
        <f t="shared" ref="ES268:FV268" si="1015">IF(ISERROR(ES267/EL267-1),"nm",ES267/EL267-1)</f>
        <v>nm</v>
      </c>
      <c r="ET268" s="581" t="str">
        <f t="shared" si="1015"/>
        <v>nm</v>
      </c>
      <c r="EU268" s="349" t="str">
        <f t="shared" si="1015"/>
        <v>nm</v>
      </c>
      <c r="EV268" s="349" t="str">
        <f t="shared" si="1015"/>
        <v>nm</v>
      </c>
      <c r="EW268" s="349" t="str">
        <f t="shared" si="1015"/>
        <v>nm</v>
      </c>
      <c r="EX268" s="349" t="str">
        <f t="shared" si="1015"/>
        <v>nm</v>
      </c>
      <c r="EY268" s="349" t="str">
        <f t="shared" si="1015"/>
        <v>nm</v>
      </c>
      <c r="EZ268" s="349" t="str">
        <f t="shared" si="1015"/>
        <v>nm</v>
      </c>
      <c r="FA268" s="581" t="str">
        <f t="shared" si="1015"/>
        <v>nm</v>
      </c>
      <c r="FB268" s="349" t="str">
        <f t="shared" si="1015"/>
        <v>nm</v>
      </c>
      <c r="FC268" s="349" t="str">
        <f t="shared" si="1015"/>
        <v>nm</v>
      </c>
      <c r="FD268" s="349" t="str">
        <f t="shared" si="1015"/>
        <v>nm</v>
      </c>
      <c r="FE268" s="349" t="str">
        <f t="shared" si="1015"/>
        <v>nm</v>
      </c>
      <c r="FF268" s="349" t="str">
        <f t="shared" si="1015"/>
        <v>nm</v>
      </c>
      <c r="FG268" s="349" t="str">
        <f t="shared" si="1015"/>
        <v>nm</v>
      </c>
      <c r="FH268" s="581" t="str">
        <f t="shared" si="1015"/>
        <v>nm</v>
      </c>
      <c r="FI268" s="349" t="str">
        <f t="shared" si="1015"/>
        <v>nm</v>
      </c>
      <c r="FJ268" s="349" t="str">
        <f t="shared" si="1015"/>
        <v>nm</v>
      </c>
      <c r="FK268" s="349" t="str">
        <f t="shared" si="1015"/>
        <v>nm</v>
      </c>
      <c r="FL268" s="349" t="str">
        <f t="shared" si="1015"/>
        <v>nm</v>
      </c>
      <c r="FM268" s="349" t="str">
        <f t="shared" si="1015"/>
        <v>nm</v>
      </c>
      <c r="FN268" s="349" t="str">
        <f t="shared" si="1015"/>
        <v>nm</v>
      </c>
      <c r="FO268" s="581" t="str">
        <f t="shared" si="1015"/>
        <v>nm</v>
      </c>
      <c r="FP268" s="349" t="str">
        <f t="shared" si="1015"/>
        <v>nm</v>
      </c>
      <c r="FQ268" s="349" t="str">
        <f t="shared" si="1015"/>
        <v>nm</v>
      </c>
      <c r="FR268" s="349" t="str">
        <f t="shared" si="1015"/>
        <v>nm</v>
      </c>
      <c r="FS268" s="349" t="str">
        <f t="shared" si="1015"/>
        <v>nm</v>
      </c>
      <c r="FT268" s="349" t="str">
        <f t="shared" si="1015"/>
        <v>nm</v>
      </c>
      <c r="FU268" s="349" t="str">
        <f t="shared" si="1015"/>
        <v>nm</v>
      </c>
      <c r="FV268" s="581" t="str">
        <f t="shared" si="1015"/>
        <v>nm</v>
      </c>
    </row>
    <row r="269" spans="2:183" outlineLevel="1" x14ac:dyDescent="0.3">
      <c r="B269" s="279" t="s">
        <v>130</v>
      </c>
      <c r="C269" s="518">
        <f>'Financial Summary'!BB7</f>
        <v>36.869999999999997</v>
      </c>
      <c r="D269" s="349">
        <f t="shared" ref="D269:AS269" si="1016">(D267/100)/$C$269</f>
        <v>0</v>
      </c>
      <c r="E269" s="349">
        <f t="shared" si="1016"/>
        <v>1.0848928668294006E-3</v>
      </c>
      <c r="F269" s="349">
        <f t="shared" si="1016"/>
        <v>1.0848928668294006E-3</v>
      </c>
      <c r="G269" s="349">
        <f t="shared" si="1016"/>
        <v>0</v>
      </c>
      <c r="H269" s="349">
        <f t="shared" si="1016"/>
        <v>1.0848928668294006E-3</v>
      </c>
      <c r="I269" s="349">
        <f t="shared" si="1016"/>
        <v>1.0848928668294006E-3</v>
      </c>
      <c r="J269" s="349">
        <f t="shared" si="1016"/>
        <v>2.1697857336588013E-3</v>
      </c>
      <c r="K269" s="349">
        <f t="shared" si="1016"/>
        <v>0</v>
      </c>
      <c r="L269" s="349">
        <f t="shared" si="1016"/>
        <v>1.356116083536751E-3</v>
      </c>
      <c r="M269" s="349">
        <f t="shared" si="1016"/>
        <v>1.356116083536751E-3</v>
      </c>
      <c r="N269" s="349">
        <f t="shared" si="1016"/>
        <v>0</v>
      </c>
      <c r="O269" s="349">
        <f t="shared" si="1016"/>
        <v>4.0683482506102524E-3</v>
      </c>
      <c r="P269" s="349">
        <f t="shared" si="1016"/>
        <v>4.0683482506102524E-3</v>
      </c>
      <c r="Q269" s="349">
        <f t="shared" si="1016"/>
        <v>5.4244643341470038E-3</v>
      </c>
      <c r="R269" s="349">
        <f t="shared" si="1016"/>
        <v>0</v>
      </c>
      <c r="S269" s="349">
        <f t="shared" si="1016"/>
        <v>3.2546786004882017E-3</v>
      </c>
      <c r="T269" s="349">
        <f t="shared" si="1016"/>
        <v>3.2546786004882017E-3</v>
      </c>
      <c r="U269" s="349">
        <f t="shared" si="1016"/>
        <v>0</v>
      </c>
      <c r="V269" s="349">
        <f t="shared" si="1016"/>
        <v>2.1697857336588013E-3</v>
      </c>
      <c r="W269" s="349">
        <f t="shared" si="1016"/>
        <v>2.1697857336588013E-3</v>
      </c>
      <c r="X269" s="349">
        <f t="shared" si="1016"/>
        <v>5.4244643341470038E-3</v>
      </c>
      <c r="Y269" s="349">
        <f t="shared" si="1016"/>
        <v>0</v>
      </c>
      <c r="Z269" s="349">
        <f t="shared" si="1016"/>
        <v>0</v>
      </c>
      <c r="AA269" s="349">
        <f t="shared" si="1016"/>
        <v>0</v>
      </c>
      <c r="AB269" s="349">
        <f t="shared" si="1016"/>
        <v>0</v>
      </c>
      <c r="AC269" s="349">
        <f t="shared" si="1016"/>
        <v>0</v>
      </c>
      <c r="AD269" s="349">
        <f t="shared" si="1016"/>
        <v>0</v>
      </c>
      <c r="AE269" s="349">
        <f t="shared" si="1016"/>
        <v>0</v>
      </c>
      <c r="AF269" s="349">
        <f t="shared" si="1016"/>
        <v>0</v>
      </c>
      <c r="AG269" s="349">
        <f t="shared" si="1016"/>
        <v>0</v>
      </c>
      <c r="AH269" s="349">
        <f t="shared" si="1016"/>
        <v>0</v>
      </c>
      <c r="AI269" s="349">
        <f t="shared" si="1016"/>
        <v>0</v>
      </c>
      <c r="AJ269" s="349">
        <f t="shared" si="1016"/>
        <v>0</v>
      </c>
      <c r="AK269" s="349">
        <f t="shared" si="1016"/>
        <v>0</v>
      </c>
      <c r="AL269" s="349">
        <f t="shared" si="1016"/>
        <v>0</v>
      </c>
      <c r="AM269" s="349">
        <f t="shared" si="1016"/>
        <v>0</v>
      </c>
      <c r="AN269" s="349">
        <f t="shared" si="1016"/>
        <v>0</v>
      </c>
      <c r="AO269" s="349">
        <f t="shared" si="1016"/>
        <v>0</v>
      </c>
      <c r="AP269" s="349">
        <f t="shared" si="1016"/>
        <v>0</v>
      </c>
      <c r="AQ269" s="349">
        <f t="shared" si="1016"/>
        <v>0</v>
      </c>
      <c r="AR269" s="349">
        <f t="shared" si="1016"/>
        <v>0</v>
      </c>
      <c r="AS269" s="349">
        <f t="shared" si="1016"/>
        <v>0</v>
      </c>
      <c r="AT269" s="349" t="str">
        <f t="shared" ref="AT269:AZ269" si="1017">IFERROR((AT267/AT286/100)/$C$269,"n.m")</f>
        <v>n.m</v>
      </c>
      <c r="AU269" s="349" t="str">
        <f t="shared" si="1017"/>
        <v>n.m</v>
      </c>
      <c r="AV269" s="349" t="str">
        <f t="shared" si="1017"/>
        <v>n.m</v>
      </c>
      <c r="AW269" s="349" t="str">
        <f t="shared" si="1017"/>
        <v>n.m</v>
      </c>
      <c r="AX269" s="349" t="str">
        <f t="shared" si="1017"/>
        <v>n.m</v>
      </c>
      <c r="AY269" s="349" t="str">
        <f t="shared" si="1017"/>
        <v>n.m</v>
      </c>
      <c r="AZ269" s="349" t="str">
        <f t="shared" si="1017"/>
        <v>n.m</v>
      </c>
      <c r="BA269" s="349">
        <f t="shared" ref="BA269:DA269" si="1018">(BA267/BA286/100)/$C$269</f>
        <v>0</v>
      </c>
      <c r="BB269" s="349">
        <f t="shared" si="1018"/>
        <v>1.3049499979257721E-3</v>
      </c>
      <c r="BC269" s="349">
        <f t="shared" si="1018"/>
        <v>1.3235983270976398E-3</v>
      </c>
      <c r="BD269" s="349">
        <f t="shared" si="1018"/>
        <v>0</v>
      </c>
      <c r="BE269" s="349">
        <f t="shared" si="1018"/>
        <v>9.6575724842526463E-3</v>
      </c>
      <c r="BF269" s="349">
        <f t="shared" si="1018"/>
        <v>9.660926257646708E-3</v>
      </c>
      <c r="BG269" s="349">
        <f t="shared" si="1018"/>
        <v>1.1041819900726479E-2</v>
      </c>
      <c r="BH269" s="349">
        <f t="shared" si="1018"/>
        <v>0</v>
      </c>
      <c r="BI269" s="349">
        <f t="shared" si="1018"/>
        <v>2.3683778006985917E-3</v>
      </c>
      <c r="BJ269" s="349">
        <f t="shared" si="1018"/>
        <v>2.274618499524852E-3</v>
      </c>
      <c r="BK269" s="349">
        <f t="shared" si="1018"/>
        <v>8.1889810180124575E-3</v>
      </c>
      <c r="BL269" s="349">
        <f t="shared" si="1018"/>
        <v>1.5727166945191343E-2</v>
      </c>
      <c r="BM269" s="349">
        <f t="shared" si="1018"/>
        <v>1.9923844962116945E-2</v>
      </c>
      <c r="BN269" s="349">
        <f t="shared" si="1018"/>
        <v>2.1802712106017138E-2</v>
      </c>
      <c r="BO269" s="349">
        <f t="shared" si="1018"/>
        <v>0</v>
      </c>
      <c r="BP269" s="349">
        <f t="shared" si="1018"/>
        <v>2.3456566738160557E-3</v>
      </c>
      <c r="BQ269" s="349">
        <f t="shared" si="1018"/>
        <v>2.3354774908047812E-3</v>
      </c>
      <c r="BR269" s="349">
        <f t="shared" si="1018"/>
        <v>0</v>
      </c>
      <c r="BS269" s="349">
        <f t="shared" si="1018"/>
        <v>1.6896225816333932E-2</v>
      </c>
      <c r="BT269" s="349">
        <f t="shared" si="1018"/>
        <v>1.6194983293208103E-2</v>
      </c>
      <c r="BU269" s="349">
        <f t="shared" si="1018"/>
        <v>1.7671536263256724E-2</v>
      </c>
      <c r="BV269" s="349">
        <f t="shared" si="1018"/>
        <v>0</v>
      </c>
      <c r="BW269" s="349">
        <f t="shared" si="1018"/>
        <v>3.3647922774632045E-3</v>
      </c>
      <c r="BX269" s="349">
        <f t="shared" si="1018"/>
        <v>3.247213541664796E-3</v>
      </c>
      <c r="BY269" s="349">
        <f t="shared" si="1018"/>
        <v>0</v>
      </c>
      <c r="BZ269" s="349">
        <f t="shared" si="1018"/>
        <v>1.0878476572831353E-2</v>
      </c>
      <c r="CA269" s="349">
        <f t="shared" si="1018"/>
        <v>1.0898063244731613E-2</v>
      </c>
      <c r="CB269" s="349">
        <f t="shared" si="1018"/>
        <v>1.3989540084210411E-2</v>
      </c>
      <c r="CC269" s="349">
        <f t="shared" si="1018"/>
        <v>0</v>
      </c>
      <c r="CD269" s="349">
        <f t="shared" si="1018"/>
        <v>3.5766556446278669E-3</v>
      </c>
      <c r="CE269" s="349">
        <f t="shared" si="1018"/>
        <v>3.6066885811936763E-3</v>
      </c>
      <c r="CF269" s="349">
        <f t="shared" si="1018"/>
        <v>0</v>
      </c>
      <c r="CG269" s="349">
        <f t="shared" si="1018"/>
        <v>1.0017437336659664E-2</v>
      </c>
      <c r="CH269" s="349">
        <f t="shared" si="1018"/>
        <v>1.0076781448100546E-2</v>
      </c>
      <c r="CI269" s="349">
        <f t="shared" si="1018"/>
        <v>1.3699963093020479E-2</v>
      </c>
      <c r="CJ269" s="349">
        <f t="shared" si="1018"/>
        <v>0</v>
      </c>
      <c r="CK269" s="349">
        <f t="shared" si="1018"/>
        <v>3.4460735240118192E-3</v>
      </c>
      <c r="CL269" s="349">
        <f t="shared" si="1018"/>
        <v>3.5278391888834476E-3</v>
      </c>
      <c r="CM269" s="349">
        <f t="shared" si="1018"/>
        <v>0</v>
      </c>
      <c r="CN269" s="349">
        <f t="shared" si="1018"/>
        <v>1.0346107827860012E-2</v>
      </c>
      <c r="CO269" s="349">
        <f t="shared" si="1018"/>
        <v>1.0456798716427958E-2</v>
      </c>
      <c r="CP269" s="349">
        <f t="shared" si="1018"/>
        <v>1.4026368731633349E-2</v>
      </c>
      <c r="CQ269" s="349">
        <f t="shared" si="1018"/>
        <v>0</v>
      </c>
      <c r="CR269" s="349">
        <f t="shared" si="1018"/>
        <v>3.7067543625440781E-3</v>
      </c>
      <c r="CS269" s="349">
        <f t="shared" si="1018"/>
        <v>3.6441263875227592E-3</v>
      </c>
      <c r="CT269" s="349">
        <f t="shared" si="1018"/>
        <v>0</v>
      </c>
      <c r="CU269" s="349">
        <f t="shared" si="1018"/>
        <v>9.8894030026053254E-3</v>
      </c>
      <c r="CV269" s="349">
        <f t="shared" si="1018"/>
        <v>9.8039302561222126E-3</v>
      </c>
      <c r="CW269" s="349">
        <f t="shared" si="1018"/>
        <v>1.3342872066091804E-2</v>
      </c>
      <c r="CX269" s="349">
        <f t="shared" si="1018"/>
        <v>0</v>
      </c>
      <c r="CY269" s="349">
        <f t="shared" si="1018"/>
        <v>3.960715798778448E-3</v>
      </c>
      <c r="CZ269" s="349">
        <f t="shared" si="1018"/>
        <v>3.9063330858736429E-3</v>
      </c>
      <c r="DA269" s="349">
        <f t="shared" si="1018"/>
        <v>0</v>
      </c>
      <c r="DB269" s="349">
        <f>(DB267/DB286/100)/$C$269</f>
        <v>0</v>
      </c>
      <c r="DC269" s="349">
        <f>(DC267/DC286/100)/$C$269</f>
        <v>0</v>
      </c>
      <c r="DD269" s="573">
        <f>(DD267/DD286/100)/$C$269</f>
        <v>3.9537152199517756E-3</v>
      </c>
      <c r="DE269" s="350">
        <f>(DE267/DE286/100)/$C$269</f>
        <v>0</v>
      </c>
      <c r="DF269" s="350">
        <f>(DF267/DF286/100)/$C$269</f>
        <v>0</v>
      </c>
      <c r="DG269" s="349">
        <f t="shared" ref="DG269:FR269" si="1019">(DG267/DG286/100)/$C$269</f>
        <v>0</v>
      </c>
      <c r="DH269" s="349">
        <f t="shared" si="1019"/>
        <v>2.6395196843405955E-2</v>
      </c>
      <c r="DI269" s="349">
        <f t="shared" si="1019"/>
        <v>0</v>
      </c>
      <c r="DJ269" s="349">
        <f t="shared" si="1019"/>
        <v>0</v>
      </c>
      <c r="DK269" s="573">
        <f t="shared" si="1019"/>
        <v>0</v>
      </c>
      <c r="DL269" s="351">
        <f t="shared" si="1019"/>
        <v>0</v>
      </c>
      <c r="DM269" s="350">
        <f t="shared" si="1019"/>
        <v>1.4766169781473841E-2</v>
      </c>
      <c r="DN269" s="349">
        <f t="shared" si="1019"/>
        <v>1.4417492686529226E-2</v>
      </c>
      <c r="DO269" s="350">
        <f t="shared" si="1019"/>
        <v>0</v>
      </c>
      <c r="DP269" s="349">
        <f t="shared" si="1019"/>
        <v>1.1227264077574784E-2</v>
      </c>
      <c r="DQ269" s="350">
        <f t="shared" si="1019"/>
        <v>1.1195590151565708E-2</v>
      </c>
      <c r="DR269" s="573">
        <f t="shared" si="1019"/>
        <v>2.5669073540526253E-2</v>
      </c>
      <c r="DS269" s="350">
        <f t="shared" si="1019"/>
        <v>0</v>
      </c>
      <c r="DT269" s="350">
        <f t="shared" si="1019"/>
        <v>0</v>
      </c>
      <c r="DU269" s="350">
        <f t="shared" si="1019"/>
        <v>0</v>
      </c>
      <c r="DV269" s="350">
        <f t="shared" ref="DV269:EB269" si="1020">(DV267/DV286/100)/$C$269</f>
        <v>4.1256954169052344E-4</v>
      </c>
      <c r="DW269" s="349">
        <f t="shared" si="1020"/>
        <v>0</v>
      </c>
      <c r="DX269" s="350">
        <f t="shared" si="1020"/>
        <v>0</v>
      </c>
      <c r="DY269" s="573">
        <f t="shared" si="1020"/>
        <v>0</v>
      </c>
      <c r="DZ269" s="350">
        <f t="shared" si="1020"/>
        <v>0</v>
      </c>
      <c r="EA269" s="350">
        <f t="shared" si="1020"/>
        <v>0</v>
      </c>
      <c r="EB269" s="350">
        <f t="shared" si="1020"/>
        <v>0</v>
      </c>
      <c r="EC269" s="350">
        <f t="shared" ref="EC269:EI269" si="1021">(EC267/EC286/100)/$C$269</f>
        <v>0</v>
      </c>
      <c r="ED269" s="349">
        <f t="shared" si="1021"/>
        <v>0</v>
      </c>
      <c r="EE269" s="350">
        <f t="shared" si="1021"/>
        <v>0</v>
      </c>
      <c r="EF269" s="573">
        <f t="shared" si="1021"/>
        <v>0</v>
      </c>
      <c r="EG269" s="350">
        <f t="shared" si="1021"/>
        <v>0</v>
      </c>
      <c r="EH269" s="350">
        <f t="shared" si="1021"/>
        <v>0</v>
      </c>
      <c r="EI269" s="350">
        <f t="shared" si="1021"/>
        <v>0</v>
      </c>
      <c r="EJ269" s="350">
        <f>(EJ267/EJ286/100)/$C$269</f>
        <v>0</v>
      </c>
      <c r="EK269" s="350">
        <f>(EK267/EK286/100)/$C$269</f>
        <v>0</v>
      </c>
      <c r="EL269" s="350">
        <f>(EL267/EL286/100)/$C$269</f>
        <v>0</v>
      </c>
      <c r="EM269" s="573">
        <f>(EM267/EM286/100)/$C$269</f>
        <v>0</v>
      </c>
      <c r="EN269" s="350">
        <f t="shared" ref="EN269:EP269" si="1022">(EN267/EN286/100)/$C$269</f>
        <v>0</v>
      </c>
      <c r="EO269" s="350">
        <f t="shared" si="1022"/>
        <v>0</v>
      </c>
      <c r="EP269" s="350">
        <f t="shared" si="1022"/>
        <v>0</v>
      </c>
      <c r="EQ269" s="351">
        <f t="shared" ref="EQ269" si="1023">(EQ267/EQ286/100)/$C$269</f>
        <v>0</v>
      </c>
      <c r="ER269" s="349">
        <f t="shared" si="1019"/>
        <v>0</v>
      </c>
      <c r="ES269" s="349">
        <f t="shared" si="1019"/>
        <v>0</v>
      </c>
      <c r="ET269" s="581">
        <f t="shared" si="1019"/>
        <v>0</v>
      </c>
      <c r="EU269" s="349">
        <f t="shared" si="1019"/>
        <v>0</v>
      </c>
      <c r="EV269" s="349">
        <f t="shared" si="1019"/>
        <v>0</v>
      </c>
      <c r="EW269" s="349">
        <f t="shared" si="1019"/>
        <v>0</v>
      </c>
      <c r="EX269" s="349">
        <f t="shared" si="1019"/>
        <v>0</v>
      </c>
      <c r="EY269" s="349">
        <f t="shared" si="1019"/>
        <v>0</v>
      </c>
      <c r="EZ269" s="349">
        <f t="shared" si="1019"/>
        <v>0</v>
      </c>
      <c r="FA269" s="581">
        <f t="shared" si="1019"/>
        <v>0</v>
      </c>
      <c r="FB269" s="349">
        <f t="shared" si="1019"/>
        <v>0</v>
      </c>
      <c r="FC269" s="349">
        <f t="shared" si="1019"/>
        <v>0</v>
      </c>
      <c r="FD269" s="349">
        <f t="shared" si="1019"/>
        <v>0</v>
      </c>
      <c r="FE269" s="349">
        <f t="shared" si="1019"/>
        <v>0</v>
      </c>
      <c r="FF269" s="349">
        <f t="shared" si="1019"/>
        <v>0</v>
      </c>
      <c r="FG269" s="349">
        <f t="shared" si="1019"/>
        <v>0</v>
      </c>
      <c r="FH269" s="581">
        <f t="shared" si="1019"/>
        <v>0</v>
      </c>
      <c r="FI269" s="349">
        <f t="shared" si="1019"/>
        <v>0</v>
      </c>
      <c r="FJ269" s="349">
        <f t="shared" si="1019"/>
        <v>0</v>
      </c>
      <c r="FK269" s="349">
        <f t="shared" si="1019"/>
        <v>0</v>
      </c>
      <c r="FL269" s="349">
        <f t="shared" si="1019"/>
        <v>0</v>
      </c>
      <c r="FM269" s="349">
        <f t="shared" si="1019"/>
        <v>0</v>
      </c>
      <c r="FN269" s="349">
        <f t="shared" si="1019"/>
        <v>0</v>
      </c>
      <c r="FO269" s="581">
        <f t="shared" si="1019"/>
        <v>0</v>
      </c>
      <c r="FP269" s="349">
        <f t="shared" si="1019"/>
        <v>0</v>
      </c>
      <c r="FQ269" s="349">
        <f t="shared" si="1019"/>
        <v>0</v>
      </c>
      <c r="FR269" s="349">
        <f t="shared" si="1019"/>
        <v>0</v>
      </c>
      <c r="FS269" s="349">
        <f>(FS267/FS286/100)/$C$269</f>
        <v>0</v>
      </c>
      <c r="FT269" s="349">
        <f>(FT267/FT286/100)/$C$269</f>
        <v>0</v>
      </c>
      <c r="FU269" s="349">
        <f>(FU267/FU286/100)/$C$269</f>
        <v>0</v>
      </c>
      <c r="FV269" s="581">
        <f>(FV267/FV286/100)/$C$269</f>
        <v>0</v>
      </c>
    </row>
    <row r="270" spans="2:183" outlineLevel="1" x14ac:dyDescent="0.3">
      <c r="B270" s="440" t="s">
        <v>602</v>
      </c>
      <c r="C270" s="280"/>
    </row>
    <row r="271" spans="2:183" outlineLevel="1" x14ac:dyDescent="0.3">
      <c r="B271" s="279" t="s">
        <v>598</v>
      </c>
      <c r="C271" s="280" t="s">
        <v>413</v>
      </c>
      <c r="D271" s="398">
        <f t="shared" ref="D271:BL271" si="1024">D265/D261</f>
        <v>0</v>
      </c>
      <c r="E271" s="398">
        <f t="shared" si="1024"/>
        <v>0.35907692307692307</v>
      </c>
      <c r="F271" s="398">
        <f t="shared" si="1024"/>
        <v>0.16034482758620686</v>
      </c>
      <c r="G271" s="398">
        <f t="shared" si="1024"/>
        <v>0</v>
      </c>
      <c r="H271" s="398">
        <f t="shared" si="1024"/>
        <v>0.33886238532110097</v>
      </c>
      <c r="I271" s="398">
        <f t="shared" si="1024"/>
        <v>0.14622327790973869</v>
      </c>
      <c r="J271" s="398">
        <f t="shared" si="1024"/>
        <v>0.1962592986184909</v>
      </c>
      <c r="K271" s="398">
        <f t="shared" si="1024"/>
        <v>0</v>
      </c>
      <c r="L271" s="398">
        <f t="shared" si="1024"/>
        <v>0.34048316251830152</v>
      </c>
      <c r="M271" s="398">
        <f t="shared" si="1024"/>
        <v>0.17786259541984728</v>
      </c>
      <c r="N271" s="398">
        <f t="shared" si="1024"/>
        <v>0</v>
      </c>
      <c r="O271" s="398">
        <f t="shared" si="1024"/>
        <v>1.3610894941634242</v>
      </c>
      <c r="P271" s="398">
        <f t="shared" si="1024"/>
        <v>0.79013605442176893</v>
      </c>
      <c r="Q271" s="398">
        <f t="shared" si="1024"/>
        <v>0.42554744525547461</v>
      </c>
      <c r="R271" s="398">
        <f t="shared" si="1024"/>
        <v>0</v>
      </c>
      <c r="S271" s="398">
        <f t="shared" si="1024"/>
        <v>1.1421951219512192</v>
      </c>
      <c r="T271" s="398">
        <f t="shared" si="1024"/>
        <v>0.47046025104602501</v>
      </c>
      <c r="U271" s="398">
        <f t="shared" si="1024"/>
        <v>0</v>
      </c>
      <c r="V271" s="398">
        <f t="shared" si="1024"/>
        <v>2.2060606060606056</v>
      </c>
      <c r="W271" s="398">
        <f t="shared" si="1024"/>
        <v>0.67034990791896842</v>
      </c>
      <c r="X271" s="398">
        <f t="shared" si="1024"/>
        <v>0.52359033371691599</v>
      </c>
      <c r="Y271" s="398">
        <f t="shared" si="1024"/>
        <v>0</v>
      </c>
      <c r="Z271" s="398">
        <f t="shared" si="1024"/>
        <v>0</v>
      </c>
      <c r="AA271" s="398">
        <f t="shared" si="1024"/>
        <v>0</v>
      </c>
      <c r="AB271" s="398">
        <f t="shared" si="1024"/>
        <v>0</v>
      </c>
      <c r="AC271" s="398">
        <f t="shared" si="1024"/>
        <v>0</v>
      </c>
      <c r="AD271" s="398">
        <f t="shared" si="1024"/>
        <v>0</v>
      </c>
      <c r="AE271" s="398">
        <f t="shared" si="1024"/>
        <v>0</v>
      </c>
      <c r="AF271" s="398">
        <f t="shared" si="1024"/>
        <v>0</v>
      </c>
      <c r="AG271" s="398">
        <f t="shared" si="1024"/>
        <v>0</v>
      </c>
      <c r="AH271" s="398">
        <f t="shared" si="1024"/>
        <v>0</v>
      </c>
      <c r="AI271" s="398">
        <f t="shared" si="1024"/>
        <v>0</v>
      </c>
      <c r="AJ271" s="398">
        <f t="shared" si="1024"/>
        <v>0</v>
      </c>
      <c r="AK271" s="398">
        <f t="shared" si="1024"/>
        <v>0</v>
      </c>
      <c r="AL271" s="398">
        <f t="shared" si="1024"/>
        <v>0</v>
      </c>
      <c r="AM271" s="350">
        <f t="shared" si="1024"/>
        <v>0</v>
      </c>
      <c r="AN271" s="350">
        <f t="shared" si="1024"/>
        <v>0</v>
      </c>
      <c r="AO271" s="350">
        <f t="shared" si="1024"/>
        <v>0</v>
      </c>
      <c r="AP271" s="350">
        <f t="shared" si="1024"/>
        <v>0</v>
      </c>
      <c r="AQ271" s="350">
        <f t="shared" si="1024"/>
        <v>0</v>
      </c>
      <c r="AR271" s="350">
        <f t="shared" si="1024"/>
        <v>0</v>
      </c>
      <c r="AS271" s="350">
        <f t="shared" si="1024"/>
        <v>0</v>
      </c>
      <c r="AT271" s="350">
        <f t="shared" si="1024"/>
        <v>0</v>
      </c>
      <c r="AU271" s="350">
        <f t="shared" si="1024"/>
        <v>0.42307692307692313</v>
      </c>
      <c r="AV271" s="350">
        <f t="shared" si="1024"/>
        <v>0.21648216482164817</v>
      </c>
      <c r="AW271" s="350">
        <f t="shared" si="1024"/>
        <v>0</v>
      </c>
      <c r="AX271" s="350">
        <f t="shared" si="1024"/>
        <v>4.7788982138405833</v>
      </c>
      <c r="AY271" s="350">
        <f t="shared" si="1024"/>
        <v>2.6310476190476204</v>
      </c>
      <c r="AZ271" s="350">
        <f t="shared" si="1024"/>
        <v>1.2745530145530144</v>
      </c>
      <c r="BA271" s="350">
        <f t="shared" si="1024"/>
        <v>0</v>
      </c>
      <c r="BB271" s="350">
        <f t="shared" si="1024"/>
        <v>0.5651670951156812</v>
      </c>
      <c r="BC271" s="350">
        <f t="shared" si="1024"/>
        <v>0.26559854897218871</v>
      </c>
      <c r="BD271" s="350">
        <f t="shared" si="1024"/>
        <v>0</v>
      </c>
      <c r="BE271" s="350">
        <f t="shared" si="1024"/>
        <v>1.8742019543973942</v>
      </c>
      <c r="BF271" s="350">
        <f t="shared" si="1024"/>
        <v>0.99519127273519192</v>
      </c>
      <c r="BG271" s="350">
        <f t="shared" si="1024"/>
        <v>0.56608137044967866</v>
      </c>
      <c r="BH271" s="350">
        <f t="shared" si="1024"/>
        <v>0</v>
      </c>
      <c r="BI271" s="350">
        <f t="shared" si="1024"/>
        <v>0.63019538188277069</v>
      </c>
      <c r="BJ271" s="350">
        <f t="shared" si="1024"/>
        <v>0.32738688827331486</v>
      </c>
      <c r="BK271" s="350">
        <f t="shared" si="1024"/>
        <v>0</v>
      </c>
      <c r="BL271" s="350">
        <f t="shared" si="1024"/>
        <v>3.1251214128035323</v>
      </c>
      <c r="BM271" s="463">
        <v>0.95</v>
      </c>
      <c r="BN271" s="350">
        <f>BN265/BN261</f>
        <v>0.60842372022301083</v>
      </c>
      <c r="BO271" s="350">
        <f>BO265/BO261</f>
        <v>0</v>
      </c>
      <c r="BP271" s="350">
        <f>BP265/BP261</f>
        <v>0.54532110091743113</v>
      </c>
      <c r="BQ271" s="463">
        <v>0.55000000000000004</v>
      </c>
      <c r="BR271" s="350">
        <f>BR265/BR261</f>
        <v>0</v>
      </c>
      <c r="BS271" s="350">
        <f>BS265/BS261</f>
        <v>2.1034554973821988</v>
      </c>
      <c r="BT271" s="463">
        <v>1.4</v>
      </c>
      <c r="BU271" s="350">
        <f t="shared" ref="BU271:CD271" si="1025">BU265/BU261</f>
        <v>0.69968383017163527</v>
      </c>
      <c r="BV271" s="350">
        <f t="shared" si="1025"/>
        <v>0</v>
      </c>
      <c r="BW271" s="350">
        <f t="shared" si="1025"/>
        <v>0.61472477064220143</v>
      </c>
      <c r="BX271" s="350">
        <f t="shared" si="1025"/>
        <v>0.30881118881118869</v>
      </c>
      <c r="BY271" s="350">
        <f t="shared" si="1025"/>
        <v>0</v>
      </c>
      <c r="BZ271" s="350">
        <f t="shared" si="1025"/>
        <v>2.2188487972508599</v>
      </c>
      <c r="CA271" s="350">
        <f t="shared" si="1025"/>
        <v>1.1253977272727276</v>
      </c>
      <c r="CB271" s="350">
        <f t="shared" si="1025"/>
        <v>0.70000414937759314</v>
      </c>
      <c r="CC271" s="350">
        <f t="shared" si="1025"/>
        <v>0</v>
      </c>
      <c r="CD271" s="350">
        <f t="shared" si="1025"/>
        <v>0.59625167336010698</v>
      </c>
      <c r="CE271" s="463">
        <v>0.32</v>
      </c>
      <c r="CF271" s="350">
        <f t="shared" ref="CF271:CU271" si="1026">CF265/CF261</f>
        <v>0</v>
      </c>
      <c r="CG271" s="350">
        <f t="shared" si="1026"/>
        <v>2.2442884647272736</v>
      </c>
      <c r="CH271" s="350">
        <f t="shared" si="1026"/>
        <v>1.152007434944238</v>
      </c>
      <c r="CI271" s="350">
        <f t="shared" si="1026"/>
        <v>0.67743775100401604</v>
      </c>
      <c r="CJ271" s="350">
        <f t="shared" si="1026"/>
        <v>0</v>
      </c>
      <c r="CK271" s="350">
        <f t="shared" si="1026"/>
        <v>0.59986413043478248</v>
      </c>
      <c r="CL271" s="350">
        <f t="shared" si="1026"/>
        <v>0.32534559040590416</v>
      </c>
      <c r="CM271" s="350">
        <f t="shared" si="1026"/>
        <v>0</v>
      </c>
      <c r="CN271" s="350">
        <f t="shared" si="1026"/>
        <v>1.6400686692747566</v>
      </c>
      <c r="CO271" s="350">
        <f t="shared" si="1026"/>
        <v>0.87771883289124675</v>
      </c>
      <c r="CP271" s="350">
        <f t="shared" si="1026"/>
        <v>0.61795319594830622</v>
      </c>
      <c r="CQ271" s="350">
        <f t="shared" si="1026"/>
        <v>0</v>
      </c>
      <c r="CR271" s="350">
        <f t="shared" si="1026"/>
        <v>0.54771322620519158</v>
      </c>
      <c r="CS271" s="350">
        <f t="shared" si="1026"/>
        <v>0.27457967537313432</v>
      </c>
      <c r="CT271" s="350">
        <f t="shared" si="1026"/>
        <v>0</v>
      </c>
      <c r="CU271" s="350">
        <f t="shared" si="1026"/>
        <v>1.5718359622713367</v>
      </c>
      <c r="CV271" s="519">
        <v>0.95</v>
      </c>
      <c r="CW271" s="350">
        <f>CW265/CW261</f>
        <v>0.5307154742096506</v>
      </c>
      <c r="CX271" s="350">
        <f>CX265/CX261</f>
        <v>0</v>
      </c>
      <c r="CY271" s="350">
        <f>CY265/CY261</f>
        <v>0.45081135902636937</v>
      </c>
      <c r="CZ271" s="350">
        <v>0.25</v>
      </c>
      <c r="DA271" s="350">
        <f>DA265/DA261</f>
        <v>0</v>
      </c>
      <c r="DB271" s="350">
        <f>DB265/DB261</f>
        <v>0</v>
      </c>
      <c r="DC271" s="519">
        <v>0.95</v>
      </c>
      <c r="DD271" s="573">
        <f>DD265/DD261</f>
        <v>0.12580736543909349</v>
      </c>
      <c r="DE271" s="350">
        <f>DE265/DE261</f>
        <v>0</v>
      </c>
      <c r="DF271" s="350">
        <f>DF265/DF261</f>
        <v>0</v>
      </c>
      <c r="DG271" s="350"/>
      <c r="DH271" s="350">
        <f>DH265/DH261</f>
        <v>0</v>
      </c>
      <c r="DI271" s="350">
        <f>DI265/DI261</f>
        <v>0</v>
      </c>
      <c r="DJ271" s="519">
        <v>0.95</v>
      </c>
      <c r="DK271" s="573">
        <f t="shared" ref="DK271:DU271" si="1027">DK265/DK261</f>
        <v>0</v>
      </c>
      <c r="DL271" s="351">
        <f t="shared" si="1027"/>
        <v>0</v>
      </c>
      <c r="DM271" s="350">
        <f t="shared" si="1027"/>
        <v>1.1494845360824744</v>
      </c>
      <c r="DN271" s="350">
        <f t="shared" si="1027"/>
        <v>0.61644782308223911</v>
      </c>
      <c r="DO271" s="350">
        <f t="shared" si="1027"/>
        <v>0</v>
      </c>
      <c r="DP271" s="350">
        <f t="shared" si="1027"/>
        <v>0.75489615709470181</v>
      </c>
      <c r="DQ271" s="350">
        <f t="shared" si="1027"/>
        <v>0.40286749169936609</v>
      </c>
      <c r="DR271" s="573">
        <f t="shared" si="1027"/>
        <v>0.50286772998227813</v>
      </c>
      <c r="DS271" s="350">
        <f t="shared" si="1027"/>
        <v>0</v>
      </c>
      <c r="DT271" s="350">
        <f t="shared" si="1027"/>
        <v>0</v>
      </c>
      <c r="DU271" s="350">
        <f t="shared" si="1027"/>
        <v>0</v>
      </c>
      <c r="DV271" s="350">
        <f t="shared" ref="DV271:EB271" si="1028">DV265/DV261</f>
        <v>0</v>
      </c>
      <c r="DW271" s="350">
        <f t="shared" si="1028"/>
        <v>0</v>
      </c>
      <c r="DX271" s="350">
        <f t="shared" si="1028"/>
        <v>0</v>
      </c>
      <c r="DY271" s="573">
        <f t="shared" si="1028"/>
        <v>0</v>
      </c>
      <c r="DZ271" s="350">
        <f t="shared" si="1028"/>
        <v>0</v>
      </c>
      <c r="EA271" s="350">
        <f t="shared" si="1028"/>
        <v>0</v>
      </c>
      <c r="EB271" s="350">
        <f t="shared" si="1028"/>
        <v>0</v>
      </c>
      <c r="EC271" s="350">
        <f t="shared" ref="EC271:EI271" si="1029">EC265/EC261</f>
        <v>0</v>
      </c>
      <c r="ED271" s="350">
        <f t="shared" si="1029"/>
        <v>0</v>
      </c>
      <c r="EE271" s="350">
        <f t="shared" si="1029"/>
        <v>0</v>
      </c>
      <c r="EF271" s="573">
        <f t="shared" si="1029"/>
        <v>0</v>
      </c>
      <c r="EG271" s="350">
        <f t="shared" si="1029"/>
        <v>0</v>
      </c>
      <c r="EH271" s="350">
        <f t="shared" si="1029"/>
        <v>0</v>
      </c>
      <c r="EI271" s="350">
        <f t="shared" si="1029"/>
        <v>0</v>
      </c>
      <c r="EJ271" s="350">
        <f t="shared" ref="EJ271:EP271" si="1030">EJ265/EJ261</f>
        <v>0</v>
      </c>
      <c r="EK271" s="350">
        <f t="shared" si="1030"/>
        <v>0</v>
      </c>
      <c r="EL271" s="350">
        <f t="shared" si="1030"/>
        <v>0</v>
      </c>
      <c r="EM271" s="573">
        <f t="shared" si="1030"/>
        <v>0</v>
      </c>
      <c r="EN271" s="350">
        <f t="shared" si="1030"/>
        <v>0</v>
      </c>
      <c r="EO271" s="350">
        <f t="shared" si="1030"/>
        <v>0</v>
      </c>
      <c r="EP271" s="350">
        <f t="shared" si="1030"/>
        <v>0</v>
      </c>
      <c r="EQ271" s="351">
        <f t="shared" ref="EQ271" si="1031">EQ265/EQ261</f>
        <v>0</v>
      </c>
      <c r="ER271" s="350">
        <f>ER265/ER261</f>
        <v>0</v>
      </c>
      <c r="ES271" s="519">
        <f>EL271</f>
        <v>0</v>
      </c>
      <c r="ET271" s="573">
        <f>ET265/ET261</f>
        <v>0</v>
      </c>
      <c r="EU271" s="350">
        <f>EU265/EU261</f>
        <v>0</v>
      </c>
      <c r="EV271" s="350">
        <f>EV265/EV261</f>
        <v>0</v>
      </c>
      <c r="EW271" s="350">
        <f>EP271</f>
        <v>0</v>
      </c>
      <c r="EX271" s="350">
        <f>EX265/EX261</f>
        <v>0</v>
      </c>
      <c r="EY271" s="350">
        <f>EY265/EY261</f>
        <v>0</v>
      </c>
      <c r="EZ271" s="519">
        <f>ES271</f>
        <v>0</v>
      </c>
      <c r="FA271" s="573">
        <f>FA265/FA261</f>
        <v>0</v>
      </c>
      <c r="FB271" s="350">
        <f>FB265/FB261</f>
        <v>0</v>
      </c>
      <c r="FC271" s="350">
        <f>FC265/FC261</f>
        <v>0</v>
      </c>
      <c r="FD271" s="350">
        <f>EW271</f>
        <v>0</v>
      </c>
      <c r="FE271" s="350">
        <f>FE265/FE261</f>
        <v>0</v>
      </c>
      <c r="FF271" s="350">
        <f>FF265/FF261</f>
        <v>0</v>
      </c>
      <c r="FG271" s="519">
        <f>EZ271</f>
        <v>0</v>
      </c>
      <c r="FH271" s="573">
        <f>FH265/FH261</f>
        <v>0</v>
      </c>
      <c r="FI271" s="350">
        <f>FI265/FI261</f>
        <v>0</v>
      </c>
      <c r="FJ271" s="350">
        <f>FJ265/FJ261</f>
        <v>0</v>
      </c>
      <c r="FK271" s="350">
        <f>FD271</f>
        <v>0</v>
      </c>
      <c r="FL271" s="350">
        <f>FL265/FL261</f>
        <v>0</v>
      </c>
      <c r="FM271" s="350">
        <f>FM265/FM261</f>
        <v>0</v>
      </c>
      <c r="FN271" s="519">
        <f>FG271</f>
        <v>0</v>
      </c>
      <c r="FO271" s="573">
        <f>FO265/FO261</f>
        <v>0</v>
      </c>
      <c r="FP271" s="350">
        <f>FP265/FP261</f>
        <v>0</v>
      </c>
      <c r="FQ271" s="350">
        <f>FQ265/FQ261</f>
        <v>0</v>
      </c>
      <c r="FR271" s="350">
        <f>FK271</f>
        <v>0</v>
      </c>
      <c r="FS271" s="350">
        <f>FS265/FS261</f>
        <v>0</v>
      </c>
      <c r="FT271" s="350">
        <f>FT265/FT261</f>
        <v>0</v>
      </c>
      <c r="FU271" s="519">
        <f>FN271</f>
        <v>0</v>
      </c>
      <c r="FV271" s="573">
        <f>FV265/FV261</f>
        <v>0</v>
      </c>
    </row>
    <row r="272" spans="2:183" outlineLevel="1" x14ac:dyDescent="0.3">
      <c r="B272" s="279" t="s">
        <v>599</v>
      </c>
      <c r="C272" s="280" t="s">
        <v>413</v>
      </c>
      <c r="D272" s="398">
        <f t="shared" ref="D272:BO272" si="1032">D266/D261</f>
        <v>0</v>
      </c>
      <c r="E272" s="398">
        <f t="shared" si="1032"/>
        <v>0</v>
      </c>
      <c r="F272" s="398">
        <f t="shared" si="1032"/>
        <v>0</v>
      </c>
      <c r="G272" s="398">
        <f t="shared" si="1032"/>
        <v>0</v>
      </c>
      <c r="H272" s="398">
        <f t="shared" si="1032"/>
        <v>0</v>
      </c>
      <c r="I272" s="398">
        <f t="shared" si="1032"/>
        <v>0</v>
      </c>
      <c r="J272" s="398">
        <f t="shared" si="1032"/>
        <v>0</v>
      </c>
      <c r="K272" s="398">
        <f t="shared" si="1032"/>
        <v>0</v>
      </c>
      <c r="L272" s="398">
        <f t="shared" si="1032"/>
        <v>0</v>
      </c>
      <c r="M272" s="398">
        <f t="shared" si="1032"/>
        <v>0</v>
      </c>
      <c r="N272" s="398">
        <f t="shared" si="1032"/>
        <v>0</v>
      </c>
      <c r="O272" s="398">
        <f t="shared" si="1032"/>
        <v>0</v>
      </c>
      <c r="P272" s="398">
        <f t="shared" si="1032"/>
        <v>0</v>
      </c>
      <c r="Q272" s="398">
        <f t="shared" si="1032"/>
        <v>0</v>
      </c>
      <c r="R272" s="398">
        <f t="shared" si="1032"/>
        <v>0</v>
      </c>
      <c r="S272" s="398">
        <f t="shared" si="1032"/>
        <v>0</v>
      </c>
      <c r="T272" s="398">
        <f t="shared" si="1032"/>
        <v>0</v>
      </c>
      <c r="U272" s="398">
        <f t="shared" si="1032"/>
        <v>0</v>
      </c>
      <c r="V272" s="398">
        <f t="shared" si="1032"/>
        <v>0</v>
      </c>
      <c r="W272" s="398">
        <f t="shared" si="1032"/>
        <v>0</v>
      </c>
      <c r="X272" s="398">
        <f t="shared" si="1032"/>
        <v>0</v>
      </c>
      <c r="Y272" s="398">
        <f t="shared" si="1032"/>
        <v>0</v>
      </c>
      <c r="Z272" s="398">
        <f t="shared" si="1032"/>
        <v>0</v>
      </c>
      <c r="AA272" s="398">
        <f t="shared" si="1032"/>
        <v>0</v>
      </c>
      <c r="AB272" s="398">
        <f t="shared" si="1032"/>
        <v>0</v>
      </c>
      <c r="AC272" s="398">
        <f t="shared" si="1032"/>
        <v>0</v>
      </c>
      <c r="AD272" s="398">
        <f t="shared" si="1032"/>
        <v>0</v>
      </c>
      <c r="AE272" s="398">
        <f t="shared" si="1032"/>
        <v>0</v>
      </c>
      <c r="AF272" s="398">
        <f t="shared" si="1032"/>
        <v>0</v>
      </c>
      <c r="AG272" s="398">
        <f t="shared" si="1032"/>
        <v>0</v>
      </c>
      <c r="AH272" s="398">
        <f t="shared" si="1032"/>
        <v>0</v>
      </c>
      <c r="AI272" s="398">
        <f t="shared" si="1032"/>
        <v>0</v>
      </c>
      <c r="AJ272" s="398">
        <f t="shared" si="1032"/>
        <v>0</v>
      </c>
      <c r="AK272" s="398">
        <f t="shared" si="1032"/>
        <v>0</v>
      </c>
      <c r="AL272" s="398">
        <f t="shared" si="1032"/>
        <v>0</v>
      </c>
      <c r="AM272" s="398">
        <f t="shared" si="1032"/>
        <v>0</v>
      </c>
      <c r="AN272" s="398">
        <f t="shared" si="1032"/>
        <v>0</v>
      </c>
      <c r="AO272" s="398">
        <f t="shared" si="1032"/>
        <v>0</v>
      </c>
      <c r="AP272" s="398">
        <f t="shared" si="1032"/>
        <v>0</v>
      </c>
      <c r="AQ272" s="398">
        <f t="shared" si="1032"/>
        <v>0</v>
      </c>
      <c r="AR272" s="398">
        <f t="shared" si="1032"/>
        <v>0</v>
      </c>
      <c r="AS272" s="398">
        <f t="shared" si="1032"/>
        <v>0</v>
      </c>
      <c r="AT272" s="398">
        <f t="shared" si="1032"/>
        <v>0</v>
      </c>
      <c r="AU272" s="398">
        <f t="shared" si="1032"/>
        <v>0</v>
      </c>
      <c r="AV272" s="398">
        <f t="shared" si="1032"/>
        <v>0</v>
      </c>
      <c r="AW272" s="398">
        <f t="shared" si="1032"/>
        <v>0</v>
      </c>
      <c r="AX272" s="398">
        <f t="shared" si="1032"/>
        <v>0</v>
      </c>
      <c r="AY272" s="398">
        <f t="shared" si="1032"/>
        <v>0</v>
      </c>
      <c r="AZ272" s="398">
        <f t="shared" si="1032"/>
        <v>0</v>
      </c>
      <c r="BA272" s="398">
        <f t="shared" si="1032"/>
        <v>0</v>
      </c>
      <c r="BB272" s="398">
        <f t="shared" si="1032"/>
        <v>0</v>
      </c>
      <c r="BC272" s="398">
        <f t="shared" si="1032"/>
        <v>0</v>
      </c>
      <c r="BD272" s="398">
        <f t="shared" si="1032"/>
        <v>0</v>
      </c>
      <c r="BE272" s="398">
        <f t="shared" si="1032"/>
        <v>3.4600651465798049</v>
      </c>
      <c r="BF272" s="398">
        <f t="shared" si="1032"/>
        <v>1.837276195818816</v>
      </c>
      <c r="BG272" s="398">
        <f t="shared" si="1032"/>
        <v>0.75477516059957162</v>
      </c>
      <c r="BH272" s="398">
        <f t="shared" si="1032"/>
        <v>0</v>
      </c>
      <c r="BI272" s="398">
        <f t="shared" si="1032"/>
        <v>0</v>
      </c>
      <c r="BJ272" s="398">
        <f t="shared" si="1032"/>
        <v>0</v>
      </c>
      <c r="BK272" s="398">
        <f t="shared" si="1032"/>
        <v>2.8525400457665904</v>
      </c>
      <c r="BL272" s="398">
        <f t="shared" si="1032"/>
        <v>1.9532008830022076</v>
      </c>
      <c r="BM272" s="398">
        <f t="shared" si="1032"/>
        <v>2.3870561797752816</v>
      </c>
      <c r="BN272" s="398">
        <f t="shared" si="1032"/>
        <v>1.0816421692853526</v>
      </c>
      <c r="BO272" s="398">
        <f t="shared" si="1032"/>
        <v>0</v>
      </c>
      <c r="BP272" s="398">
        <f t="shared" ref="BP272:DM272" si="1033">BP266/BP261</f>
        <v>0</v>
      </c>
      <c r="BQ272" s="398">
        <f t="shared" si="1033"/>
        <v>0</v>
      </c>
      <c r="BR272" s="398">
        <f t="shared" si="1033"/>
        <v>0</v>
      </c>
      <c r="BS272" s="398">
        <f t="shared" si="1033"/>
        <v>1.7139267015706805</v>
      </c>
      <c r="BT272" s="398">
        <f t="shared" si="1033"/>
        <v>0.91947119924457021</v>
      </c>
      <c r="BU272" s="398">
        <f t="shared" si="1033"/>
        <v>0.43980126467931357</v>
      </c>
      <c r="BV272" s="398">
        <f t="shared" si="1033"/>
        <v>0</v>
      </c>
      <c r="BW272" s="398">
        <f t="shared" si="1033"/>
        <v>0</v>
      </c>
      <c r="BX272" s="398">
        <f t="shared" si="1033"/>
        <v>0</v>
      </c>
      <c r="BY272" s="398">
        <f t="shared" si="1033"/>
        <v>0</v>
      </c>
      <c r="BZ272" s="398">
        <f t="shared" si="1033"/>
        <v>0</v>
      </c>
      <c r="CA272" s="398">
        <f t="shared" si="1033"/>
        <v>0</v>
      </c>
      <c r="CB272" s="398">
        <f t="shared" si="1033"/>
        <v>0</v>
      </c>
      <c r="CC272" s="398">
        <f t="shared" si="1033"/>
        <v>0</v>
      </c>
      <c r="CD272" s="398">
        <f t="shared" si="1033"/>
        <v>0</v>
      </c>
      <c r="CE272" s="398">
        <f t="shared" si="1033"/>
        <v>0</v>
      </c>
      <c r="CF272" s="398">
        <f t="shared" si="1033"/>
        <v>0</v>
      </c>
      <c r="CG272" s="398">
        <f t="shared" si="1033"/>
        <v>0</v>
      </c>
      <c r="CH272" s="398">
        <f t="shared" si="1033"/>
        <v>0</v>
      </c>
      <c r="CI272" s="398">
        <f t="shared" si="1033"/>
        <v>0</v>
      </c>
      <c r="CJ272" s="398">
        <f t="shared" si="1033"/>
        <v>0</v>
      </c>
      <c r="CK272" s="398">
        <f t="shared" si="1033"/>
        <v>0</v>
      </c>
      <c r="CL272" s="398">
        <f t="shared" si="1033"/>
        <v>0</v>
      </c>
      <c r="CM272" s="398">
        <f t="shared" si="1033"/>
        <v>0</v>
      </c>
      <c r="CN272" s="398">
        <f t="shared" si="1033"/>
        <v>0</v>
      </c>
      <c r="CO272" s="398">
        <f t="shared" si="1033"/>
        <v>0</v>
      </c>
      <c r="CP272" s="398">
        <f t="shared" si="1033"/>
        <v>0</v>
      </c>
      <c r="CQ272" s="398">
        <f t="shared" si="1033"/>
        <v>0</v>
      </c>
      <c r="CR272" s="398">
        <f t="shared" si="1033"/>
        <v>0</v>
      </c>
      <c r="CS272" s="398">
        <f t="shared" si="1033"/>
        <v>0</v>
      </c>
      <c r="CT272" s="398">
        <f t="shared" si="1033"/>
        <v>0</v>
      </c>
      <c r="CU272" s="398">
        <f t="shared" si="1033"/>
        <v>0</v>
      </c>
      <c r="CV272" s="398">
        <f t="shared" si="1033"/>
        <v>0</v>
      </c>
      <c r="CW272" s="398">
        <f t="shared" si="1033"/>
        <v>0</v>
      </c>
      <c r="CX272" s="398">
        <f t="shared" si="1033"/>
        <v>0</v>
      </c>
      <c r="CY272" s="398">
        <f t="shared" si="1033"/>
        <v>0</v>
      </c>
      <c r="CZ272" s="398">
        <f t="shared" si="1033"/>
        <v>0</v>
      </c>
      <c r="DA272" s="398">
        <f t="shared" si="1033"/>
        <v>0</v>
      </c>
      <c r="DB272" s="398">
        <f t="shared" si="1033"/>
        <v>0</v>
      </c>
      <c r="DC272" s="398">
        <f>DC266/DC261</f>
        <v>0</v>
      </c>
      <c r="DD272" s="578">
        <f>DD266/DD261</f>
        <v>0</v>
      </c>
      <c r="DE272" s="398">
        <f>DE266/DE261</f>
        <v>0</v>
      </c>
      <c r="DF272" s="398">
        <f>DF266/DF261</f>
        <v>0</v>
      </c>
      <c r="DG272" s="398">
        <f t="shared" si="1033"/>
        <v>0</v>
      </c>
      <c r="DH272" s="398">
        <f t="shared" si="1033"/>
        <v>2.5291970802919712</v>
      </c>
      <c r="DI272" s="398">
        <f t="shared" si="1033"/>
        <v>0</v>
      </c>
      <c r="DJ272" s="398">
        <f t="shared" si="1033"/>
        <v>0</v>
      </c>
      <c r="DK272" s="578">
        <f t="shared" si="1033"/>
        <v>0</v>
      </c>
      <c r="DL272" s="399">
        <f t="shared" si="1033"/>
        <v>0</v>
      </c>
      <c r="DM272" s="398">
        <f t="shared" si="1033"/>
        <v>0</v>
      </c>
      <c r="DN272" s="398">
        <f t="shared" ref="DN272:EM272" si="1034">DN266/DN261</f>
        <v>0</v>
      </c>
      <c r="DO272" s="398">
        <f t="shared" si="1034"/>
        <v>0</v>
      </c>
      <c r="DP272" s="398">
        <f t="shared" si="1034"/>
        <v>0</v>
      </c>
      <c r="DQ272" s="398">
        <f t="shared" si="1034"/>
        <v>0</v>
      </c>
      <c r="DR272" s="578">
        <f t="shared" si="1034"/>
        <v>0</v>
      </c>
      <c r="DS272" s="398">
        <f t="shared" si="1034"/>
        <v>0</v>
      </c>
      <c r="DT272" s="398">
        <f t="shared" si="1034"/>
        <v>0</v>
      </c>
      <c r="DU272" s="398">
        <f t="shared" si="1034"/>
        <v>0</v>
      </c>
      <c r="DV272" s="398">
        <f t="shared" si="1034"/>
        <v>3.4142419601837677E-2</v>
      </c>
      <c r="DW272" s="398">
        <f t="shared" si="1034"/>
        <v>0</v>
      </c>
      <c r="DX272" s="398">
        <f t="shared" si="1034"/>
        <v>0</v>
      </c>
      <c r="DY272" s="578">
        <f t="shared" si="1034"/>
        <v>0</v>
      </c>
      <c r="DZ272" s="398">
        <f t="shared" si="1034"/>
        <v>0</v>
      </c>
      <c r="EA272" s="398">
        <f t="shared" si="1034"/>
        <v>0</v>
      </c>
      <c r="EB272" s="398">
        <f t="shared" si="1034"/>
        <v>0</v>
      </c>
      <c r="EC272" s="398">
        <f t="shared" si="1034"/>
        <v>0</v>
      </c>
      <c r="ED272" s="398">
        <f t="shared" si="1034"/>
        <v>0</v>
      </c>
      <c r="EE272" s="398">
        <f t="shared" si="1034"/>
        <v>0</v>
      </c>
      <c r="EF272" s="578">
        <f t="shared" si="1034"/>
        <v>0</v>
      </c>
      <c r="EG272" s="398">
        <f t="shared" si="1034"/>
        <v>0</v>
      </c>
      <c r="EH272" s="398">
        <f t="shared" si="1034"/>
        <v>0</v>
      </c>
      <c r="EI272" s="398">
        <f t="shared" si="1034"/>
        <v>0</v>
      </c>
      <c r="EJ272" s="398">
        <f t="shared" si="1034"/>
        <v>0</v>
      </c>
      <c r="EK272" s="398">
        <f t="shared" si="1034"/>
        <v>0</v>
      </c>
      <c r="EL272" s="398">
        <f t="shared" si="1034"/>
        <v>0</v>
      </c>
      <c r="EM272" s="578">
        <f t="shared" si="1034"/>
        <v>0</v>
      </c>
      <c r="EN272" s="398">
        <f t="shared" ref="EN272:EP272" si="1035">EN266/EN261</f>
        <v>0</v>
      </c>
      <c r="EO272" s="398">
        <f t="shared" si="1035"/>
        <v>0</v>
      </c>
      <c r="EP272" s="398">
        <f t="shared" si="1035"/>
        <v>0</v>
      </c>
      <c r="EQ272" s="399">
        <f t="shared" ref="EQ272" si="1036">EQ266/EQ261</f>
        <v>0</v>
      </c>
      <c r="ER272" s="398">
        <f t="shared" ref="ER272:FV272" si="1037">ER266/ER261</f>
        <v>0</v>
      </c>
      <c r="ES272" s="398">
        <f t="shared" si="1037"/>
        <v>0</v>
      </c>
      <c r="ET272" s="578">
        <f t="shared" si="1037"/>
        <v>0</v>
      </c>
      <c r="EU272" s="398">
        <f t="shared" si="1037"/>
        <v>0</v>
      </c>
      <c r="EV272" s="398">
        <f t="shared" si="1037"/>
        <v>0</v>
      </c>
      <c r="EW272" s="398">
        <f t="shared" si="1037"/>
        <v>0</v>
      </c>
      <c r="EX272" s="398">
        <f t="shared" si="1037"/>
        <v>0</v>
      </c>
      <c r="EY272" s="398">
        <f t="shared" si="1037"/>
        <v>0</v>
      </c>
      <c r="EZ272" s="398">
        <f t="shared" si="1037"/>
        <v>0</v>
      </c>
      <c r="FA272" s="578">
        <f t="shared" si="1037"/>
        <v>0</v>
      </c>
      <c r="FB272" s="398">
        <f t="shared" si="1037"/>
        <v>0</v>
      </c>
      <c r="FC272" s="398">
        <f t="shared" si="1037"/>
        <v>0</v>
      </c>
      <c r="FD272" s="398">
        <f t="shared" si="1037"/>
        <v>0</v>
      </c>
      <c r="FE272" s="398">
        <f t="shared" si="1037"/>
        <v>0</v>
      </c>
      <c r="FF272" s="398">
        <f t="shared" si="1037"/>
        <v>0</v>
      </c>
      <c r="FG272" s="398">
        <f t="shared" si="1037"/>
        <v>0</v>
      </c>
      <c r="FH272" s="578">
        <f t="shared" si="1037"/>
        <v>0</v>
      </c>
      <c r="FI272" s="398">
        <f t="shared" si="1037"/>
        <v>0</v>
      </c>
      <c r="FJ272" s="398">
        <f t="shared" si="1037"/>
        <v>0</v>
      </c>
      <c r="FK272" s="398">
        <f t="shared" si="1037"/>
        <v>0</v>
      </c>
      <c r="FL272" s="398">
        <f t="shared" si="1037"/>
        <v>0</v>
      </c>
      <c r="FM272" s="398">
        <f t="shared" si="1037"/>
        <v>0</v>
      </c>
      <c r="FN272" s="398">
        <f t="shared" si="1037"/>
        <v>0</v>
      </c>
      <c r="FO272" s="578">
        <f t="shared" si="1037"/>
        <v>0</v>
      </c>
      <c r="FP272" s="398">
        <f t="shared" si="1037"/>
        <v>0</v>
      </c>
      <c r="FQ272" s="398">
        <f t="shared" si="1037"/>
        <v>0</v>
      </c>
      <c r="FR272" s="398">
        <f t="shared" si="1037"/>
        <v>0</v>
      </c>
      <c r="FS272" s="398">
        <f t="shared" si="1037"/>
        <v>0</v>
      </c>
      <c r="FT272" s="398">
        <f t="shared" si="1037"/>
        <v>0</v>
      </c>
      <c r="FU272" s="398">
        <f t="shared" si="1037"/>
        <v>0</v>
      </c>
      <c r="FV272" s="578">
        <f t="shared" si="1037"/>
        <v>0</v>
      </c>
    </row>
    <row r="273" spans="2:178" outlineLevel="1" x14ac:dyDescent="0.3">
      <c r="B273" s="253" t="s">
        <v>587</v>
      </c>
      <c r="C273" s="280" t="s">
        <v>413</v>
      </c>
      <c r="D273" s="398">
        <f t="shared" ref="D273:BO273" si="1038">D267/D261</f>
        <v>0</v>
      </c>
      <c r="E273" s="398">
        <f t="shared" si="1038"/>
        <v>0.35907692307692307</v>
      </c>
      <c r="F273" s="398">
        <f t="shared" si="1038"/>
        <v>0.16034482758620686</v>
      </c>
      <c r="G273" s="398">
        <f t="shared" si="1038"/>
        <v>0</v>
      </c>
      <c r="H273" s="398">
        <f t="shared" si="1038"/>
        <v>0.33886238532110097</v>
      </c>
      <c r="I273" s="398">
        <f t="shared" si="1038"/>
        <v>0.14622327790973869</v>
      </c>
      <c r="J273" s="398">
        <f t="shared" si="1038"/>
        <v>0.1962592986184909</v>
      </c>
      <c r="K273" s="398">
        <f t="shared" si="1038"/>
        <v>0</v>
      </c>
      <c r="L273" s="398">
        <f t="shared" si="1038"/>
        <v>0.34048316251830152</v>
      </c>
      <c r="M273" s="398">
        <f t="shared" si="1038"/>
        <v>0.17786259541984728</v>
      </c>
      <c r="N273" s="398">
        <f t="shared" si="1038"/>
        <v>0</v>
      </c>
      <c r="O273" s="398">
        <f t="shared" si="1038"/>
        <v>1.3610894941634242</v>
      </c>
      <c r="P273" s="398">
        <f t="shared" si="1038"/>
        <v>0.79013605442176893</v>
      </c>
      <c r="Q273" s="398">
        <f t="shared" si="1038"/>
        <v>0.42554744525547461</v>
      </c>
      <c r="R273" s="398">
        <f t="shared" si="1038"/>
        <v>0</v>
      </c>
      <c r="S273" s="398">
        <f t="shared" si="1038"/>
        <v>1.1421951219512192</v>
      </c>
      <c r="T273" s="398">
        <f t="shared" si="1038"/>
        <v>0.47046025104602501</v>
      </c>
      <c r="U273" s="398">
        <f t="shared" si="1038"/>
        <v>0</v>
      </c>
      <c r="V273" s="398">
        <f t="shared" si="1038"/>
        <v>2.2060606060606056</v>
      </c>
      <c r="W273" s="398">
        <f t="shared" si="1038"/>
        <v>0.67034990791896842</v>
      </c>
      <c r="X273" s="398">
        <f t="shared" si="1038"/>
        <v>0.52359033371691599</v>
      </c>
      <c r="Y273" s="398">
        <f t="shared" si="1038"/>
        <v>0</v>
      </c>
      <c r="Z273" s="398">
        <f t="shared" si="1038"/>
        <v>0</v>
      </c>
      <c r="AA273" s="398">
        <f t="shared" si="1038"/>
        <v>0</v>
      </c>
      <c r="AB273" s="398">
        <f t="shared" si="1038"/>
        <v>0</v>
      </c>
      <c r="AC273" s="398">
        <f t="shared" si="1038"/>
        <v>0</v>
      </c>
      <c r="AD273" s="398">
        <f t="shared" si="1038"/>
        <v>0</v>
      </c>
      <c r="AE273" s="398">
        <f t="shared" si="1038"/>
        <v>0</v>
      </c>
      <c r="AF273" s="398">
        <f t="shared" si="1038"/>
        <v>0</v>
      </c>
      <c r="AG273" s="398">
        <f t="shared" si="1038"/>
        <v>0</v>
      </c>
      <c r="AH273" s="398">
        <f t="shared" si="1038"/>
        <v>0</v>
      </c>
      <c r="AI273" s="398">
        <f t="shared" si="1038"/>
        <v>0</v>
      </c>
      <c r="AJ273" s="398">
        <f t="shared" si="1038"/>
        <v>0</v>
      </c>
      <c r="AK273" s="398">
        <f t="shared" si="1038"/>
        <v>0</v>
      </c>
      <c r="AL273" s="398">
        <f t="shared" si="1038"/>
        <v>0</v>
      </c>
      <c r="AM273" s="398">
        <f t="shared" si="1038"/>
        <v>0</v>
      </c>
      <c r="AN273" s="398">
        <f t="shared" si="1038"/>
        <v>0</v>
      </c>
      <c r="AO273" s="398">
        <f t="shared" si="1038"/>
        <v>0</v>
      </c>
      <c r="AP273" s="398">
        <f t="shared" si="1038"/>
        <v>0</v>
      </c>
      <c r="AQ273" s="398">
        <f t="shared" si="1038"/>
        <v>0</v>
      </c>
      <c r="AR273" s="398">
        <f t="shared" si="1038"/>
        <v>0</v>
      </c>
      <c r="AS273" s="398">
        <f t="shared" si="1038"/>
        <v>0</v>
      </c>
      <c r="AT273" s="398">
        <f t="shared" si="1038"/>
        <v>0</v>
      </c>
      <c r="AU273" s="398">
        <f t="shared" si="1038"/>
        <v>0.42307692307692313</v>
      </c>
      <c r="AV273" s="398">
        <f t="shared" si="1038"/>
        <v>0.21648216482164817</v>
      </c>
      <c r="AW273" s="398">
        <f t="shared" si="1038"/>
        <v>0</v>
      </c>
      <c r="AX273" s="398">
        <f t="shared" si="1038"/>
        <v>4.7788982138405833</v>
      </c>
      <c r="AY273" s="398">
        <f t="shared" si="1038"/>
        <v>2.6310476190476204</v>
      </c>
      <c r="AZ273" s="398">
        <f t="shared" si="1038"/>
        <v>1.2745530145530144</v>
      </c>
      <c r="BA273" s="398">
        <f t="shared" si="1038"/>
        <v>0</v>
      </c>
      <c r="BB273" s="398">
        <f t="shared" si="1038"/>
        <v>0.5651670951156812</v>
      </c>
      <c r="BC273" s="398">
        <f t="shared" si="1038"/>
        <v>0.26559854897218871</v>
      </c>
      <c r="BD273" s="398">
        <f t="shared" si="1038"/>
        <v>0</v>
      </c>
      <c r="BE273" s="398">
        <f t="shared" si="1038"/>
        <v>5.3342671009771987</v>
      </c>
      <c r="BF273" s="398">
        <f t="shared" si="1038"/>
        <v>2.8324674685540079</v>
      </c>
      <c r="BG273" s="398">
        <f t="shared" si="1038"/>
        <v>1.3208565310492504</v>
      </c>
      <c r="BH273" s="398">
        <f t="shared" si="1038"/>
        <v>0</v>
      </c>
      <c r="BI273" s="398">
        <f t="shared" si="1038"/>
        <v>0.63019538188277069</v>
      </c>
      <c r="BJ273" s="398">
        <f t="shared" si="1038"/>
        <v>0.32738688827331486</v>
      </c>
      <c r="BK273" s="398">
        <f t="shared" si="1038"/>
        <v>2.8525400457665904</v>
      </c>
      <c r="BL273" s="398">
        <f t="shared" si="1038"/>
        <v>5.0783222958057399</v>
      </c>
      <c r="BM273" s="398">
        <f t="shared" si="1038"/>
        <v>3.3319325842696639</v>
      </c>
      <c r="BN273" s="398">
        <f t="shared" si="1038"/>
        <v>1.6900658895083633</v>
      </c>
      <c r="BO273" s="398">
        <f t="shared" si="1038"/>
        <v>0</v>
      </c>
      <c r="BP273" s="398">
        <f t="shared" ref="BP273:DM273" si="1039">BP267/BP261</f>
        <v>0.54532110091743113</v>
      </c>
      <c r="BQ273" s="398">
        <f t="shared" si="1039"/>
        <v>0.3087099567099566</v>
      </c>
      <c r="BR273" s="398">
        <f t="shared" si="1039"/>
        <v>0</v>
      </c>
      <c r="BS273" s="398">
        <f t="shared" si="1039"/>
        <v>3.8173821989528789</v>
      </c>
      <c r="BT273" s="398">
        <f t="shared" si="1039"/>
        <v>2.047913125590179</v>
      </c>
      <c r="BU273" s="398">
        <f t="shared" si="1039"/>
        <v>1.1394850948509487</v>
      </c>
      <c r="BV273" s="398">
        <f t="shared" si="1039"/>
        <v>0</v>
      </c>
      <c r="BW273" s="398">
        <f t="shared" si="1039"/>
        <v>0.61472477064220143</v>
      </c>
      <c r="BX273" s="398">
        <f t="shared" si="1039"/>
        <v>0.30881118881118869</v>
      </c>
      <c r="BY273" s="398">
        <f t="shared" si="1039"/>
        <v>0</v>
      </c>
      <c r="BZ273" s="398">
        <f t="shared" si="1039"/>
        <v>2.2188487972508599</v>
      </c>
      <c r="CA273" s="398">
        <f t="shared" si="1039"/>
        <v>1.1253977272727276</v>
      </c>
      <c r="CB273" s="398">
        <f t="shared" si="1039"/>
        <v>0.70000414937759314</v>
      </c>
      <c r="CC273" s="398">
        <f t="shared" si="1039"/>
        <v>0</v>
      </c>
      <c r="CD273" s="398">
        <f t="shared" si="1039"/>
        <v>0.59625167336010698</v>
      </c>
      <c r="CE273" s="398">
        <f t="shared" si="1039"/>
        <v>0.31326348161244694</v>
      </c>
      <c r="CF273" s="398">
        <f t="shared" si="1039"/>
        <v>0</v>
      </c>
      <c r="CG273" s="398">
        <f t="shared" si="1039"/>
        <v>2.2442884647272736</v>
      </c>
      <c r="CH273" s="398">
        <f t="shared" si="1039"/>
        <v>1.152007434944238</v>
      </c>
      <c r="CI273" s="398">
        <f t="shared" si="1039"/>
        <v>0.67743775100401604</v>
      </c>
      <c r="CJ273" s="398">
        <f t="shared" si="1039"/>
        <v>0</v>
      </c>
      <c r="CK273" s="398">
        <f t="shared" si="1039"/>
        <v>0.59986413043478248</v>
      </c>
      <c r="CL273" s="398">
        <f t="shared" si="1039"/>
        <v>0.32534559040590416</v>
      </c>
      <c r="CM273" s="398">
        <f t="shared" si="1039"/>
        <v>0</v>
      </c>
      <c r="CN273" s="398">
        <f t="shared" si="1039"/>
        <v>1.6400686692747566</v>
      </c>
      <c r="CO273" s="398">
        <f t="shared" si="1039"/>
        <v>0.87771883289124675</v>
      </c>
      <c r="CP273" s="398">
        <f t="shared" si="1039"/>
        <v>0.61795319594830622</v>
      </c>
      <c r="CQ273" s="398">
        <f t="shared" si="1039"/>
        <v>0</v>
      </c>
      <c r="CR273" s="398">
        <f t="shared" si="1039"/>
        <v>0.54771322620519158</v>
      </c>
      <c r="CS273" s="398">
        <f t="shared" si="1039"/>
        <v>0.27457967537313432</v>
      </c>
      <c r="CT273" s="398">
        <f t="shared" si="1039"/>
        <v>0</v>
      </c>
      <c r="CU273" s="398">
        <f t="shared" si="1039"/>
        <v>1.5718359622713367</v>
      </c>
      <c r="CV273" s="398">
        <f t="shared" si="1039"/>
        <v>0.82243378668575517</v>
      </c>
      <c r="CW273" s="398">
        <f t="shared" si="1039"/>
        <v>0.5307154742096506</v>
      </c>
      <c r="CX273" s="398">
        <f t="shared" si="1039"/>
        <v>0</v>
      </c>
      <c r="CY273" s="398">
        <f t="shared" si="1039"/>
        <v>0.45081135902636937</v>
      </c>
      <c r="CZ273" s="398">
        <f t="shared" si="1039"/>
        <v>0.23425312764830511</v>
      </c>
      <c r="DA273" s="398">
        <f t="shared" si="1039"/>
        <v>0</v>
      </c>
      <c r="DB273" s="398">
        <f t="shared" si="1039"/>
        <v>0</v>
      </c>
      <c r="DC273" s="398">
        <f>DC267/DC261</f>
        <v>0</v>
      </c>
      <c r="DD273" s="578">
        <f>DD267/DD261</f>
        <v>0.12580736543909349</v>
      </c>
      <c r="DE273" s="398">
        <f>DE267/DE261</f>
        <v>0</v>
      </c>
      <c r="DF273" s="398">
        <f>DF267/DF261</f>
        <v>0</v>
      </c>
      <c r="DG273" s="398">
        <f t="shared" si="1039"/>
        <v>0</v>
      </c>
      <c r="DH273" s="398">
        <f t="shared" si="1039"/>
        <v>2.5291970802919712</v>
      </c>
      <c r="DI273" s="398">
        <f t="shared" si="1039"/>
        <v>0</v>
      </c>
      <c r="DJ273" s="398">
        <f t="shared" si="1039"/>
        <v>0</v>
      </c>
      <c r="DK273" s="578">
        <f t="shared" si="1039"/>
        <v>0</v>
      </c>
      <c r="DL273" s="399">
        <f t="shared" si="1039"/>
        <v>0</v>
      </c>
      <c r="DM273" s="398">
        <f t="shared" si="1039"/>
        <v>1.1494845360824744</v>
      </c>
      <c r="DN273" s="398">
        <f t="shared" ref="DN273:EM273" si="1040">DN267/DN261</f>
        <v>0.61644782308223911</v>
      </c>
      <c r="DO273" s="398">
        <f t="shared" si="1040"/>
        <v>0</v>
      </c>
      <c r="DP273" s="398">
        <f t="shared" si="1040"/>
        <v>0.75489615709470181</v>
      </c>
      <c r="DQ273" s="398">
        <f t="shared" si="1040"/>
        <v>0.40286749169936609</v>
      </c>
      <c r="DR273" s="578">
        <f t="shared" si="1040"/>
        <v>0.50286772998227813</v>
      </c>
      <c r="DS273" s="398">
        <f t="shared" si="1040"/>
        <v>0</v>
      </c>
      <c r="DT273" s="398">
        <f t="shared" si="1040"/>
        <v>0</v>
      </c>
      <c r="DU273" s="398">
        <f t="shared" si="1040"/>
        <v>0</v>
      </c>
      <c r="DV273" s="398">
        <f t="shared" si="1040"/>
        <v>3.4142419601837677E-2</v>
      </c>
      <c r="DW273" s="398">
        <f t="shared" si="1040"/>
        <v>0</v>
      </c>
      <c r="DX273" s="398">
        <f t="shared" si="1040"/>
        <v>0</v>
      </c>
      <c r="DY273" s="578">
        <f t="shared" si="1040"/>
        <v>0</v>
      </c>
      <c r="DZ273" s="398">
        <f t="shared" si="1040"/>
        <v>0</v>
      </c>
      <c r="EA273" s="398">
        <f t="shared" si="1040"/>
        <v>0</v>
      </c>
      <c r="EB273" s="398">
        <f t="shared" si="1040"/>
        <v>0</v>
      </c>
      <c r="EC273" s="398">
        <f t="shared" si="1040"/>
        <v>0</v>
      </c>
      <c r="ED273" s="398">
        <f t="shared" si="1040"/>
        <v>0</v>
      </c>
      <c r="EE273" s="398">
        <f t="shared" si="1040"/>
        <v>0</v>
      </c>
      <c r="EF273" s="578">
        <f t="shared" si="1040"/>
        <v>0</v>
      </c>
      <c r="EG273" s="398">
        <f t="shared" si="1040"/>
        <v>0</v>
      </c>
      <c r="EH273" s="398">
        <f t="shared" si="1040"/>
        <v>0</v>
      </c>
      <c r="EI273" s="398">
        <f t="shared" si="1040"/>
        <v>0</v>
      </c>
      <c r="EJ273" s="398">
        <f t="shared" si="1040"/>
        <v>0</v>
      </c>
      <c r="EK273" s="398">
        <f t="shared" si="1040"/>
        <v>0</v>
      </c>
      <c r="EL273" s="398">
        <f t="shared" si="1040"/>
        <v>0</v>
      </c>
      <c r="EM273" s="578">
        <f t="shared" si="1040"/>
        <v>0</v>
      </c>
      <c r="EN273" s="398">
        <f t="shared" ref="EN273:EP273" si="1041">EN267/EN261</f>
        <v>0</v>
      </c>
      <c r="EO273" s="398">
        <f t="shared" si="1041"/>
        <v>0</v>
      </c>
      <c r="EP273" s="398">
        <f t="shared" si="1041"/>
        <v>0</v>
      </c>
      <c r="EQ273" s="399">
        <f t="shared" ref="EQ273" si="1042">EQ267/EQ261</f>
        <v>0</v>
      </c>
      <c r="ER273" s="398">
        <f t="shared" ref="ER273:FV273" si="1043">ER267/ER261</f>
        <v>0</v>
      </c>
      <c r="ES273" s="398">
        <f t="shared" si="1043"/>
        <v>0</v>
      </c>
      <c r="ET273" s="578">
        <f t="shared" si="1043"/>
        <v>0</v>
      </c>
      <c r="EU273" s="398">
        <f t="shared" si="1043"/>
        <v>0</v>
      </c>
      <c r="EV273" s="398">
        <f t="shared" si="1043"/>
        <v>0</v>
      </c>
      <c r="EW273" s="398">
        <f t="shared" si="1043"/>
        <v>0</v>
      </c>
      <c r="EX273" s="398">
        <f t="shared" si="1043"/>
        <v>0</v>
      </c>
      <c r="EY273" s="398">
        <f t="shared" si="1043"/>
        <v>0</v>
      </c>
      <c r="EZ273" s="398">
        <f t="shared" si="1043"/>
        <v>0</v>
      </c>
      <c r="FA273" s="578">
        <f t="shared" si="1043"/>
        <v>0</v>
      </c>
      <c r="FB273" s="398">
        <f t="shared" si="1043"/>
        <v>0</v>
      </c>
      <c r="FC273" s="398">
        <f t="shared" si="1043"/>
        <v>0</v>
      </c>
      <c r="FD273" s="398">
        <f t="shared" si="1043"/>
        <v>0</v>
      </c>
      <c r="FE273" s="398">
        <f t="shared" si="1043"/>
        <v>0</v>
      </c>
      <c r="FF273" s="398">
        <f t="shared" si="1043"/>
        <v>0</v>
      </c>
      <c r="FG273" s="398">
        <f t="shared" si="1043"/>
        <v>0</v>
      </c>
      <c r="FH273" s="578">
        <f t="shared" si="1043"/>
        <v>0</v>
      </c>
      <c r="FI273" s="398">
        <f t="shared" si="1043"/>
        <v>0</v>
      </c>
      <c r="FJ273" s="398">
        <f t="shared" si="1043"/>
        <v>0</v>
      </c>
      <c r="FK273" s="398">
        <f t="shared" si="1043"/>
        <v>0</v>
      </c>
      <c r="FL273" s="398">
        <f t="shared" si="1043"/>
        <v>0</v>
      </c>
      <c r="FM273" s="398">
        <f t="shared" si="1043"/>
        <v>0</v>
      </c>
      <c r="FN273" s="398">
        <f t="shared" si="1043"/>
        <v>0</v>
      </c>
      <c r="FO273" s="578">
        <f t="shared" si="1043"/>
        <v>0</v>
      </c>
      <c r="FP273" s="398">
        <f t="shared" si="1043"/>
        <v>0</v>
      </c>
      <c r="FQ273" s="398">
        <f t="shared" si="1043"/>
        <v>0</v>
      </c>
      <c r="FR273" s="398">
        <f t="shared" si="1043"/>
        <v>0</v>
      </c>
      <c r="FS273" s="398">
        <f t="shared" si="1043"/>
        <v>0</v>
      </c>
      <c r="FT273" s="398">
        <f t="shared" si="1043"/>
        <v>0</v>
      </c>
      <c r="FU273" s="398">
        <f t="shared" si="1043"/>
        <v>0</v>
      </c>
      <c r="FV273" s="578">
        <f t="shared" si="1043"/>
        <v>0</v>
      </c>
    </row>
    <row r="274" spans="2:178" outlineLevel="1" x14ac:dyDescent="0.3">
      <c r="B274" s="440" t="s">
        <v>603</v>
      </c>
      <c r="C274" s="280"/>
      <c r="D274" s="520"/>
    </row>
    <row r="275" spans="2:178" outlineLevel="1" x14ac:dyDescent="0.3">
      <c r="B275" s="253" t="s">
        <v>604</v>
      </c>
      <c r="C275" s="280" t="s">
        <v>413</v>
      </c>
      <c r="R275" s="521">
        <v>0</v>
      </c>
      <c r="S275" s="521">
        <v>0</v>
      </c>
      <c r="T275" s="521">
        <v>0</v>
      </c>
      <c r="U275" s="521">
        <v>0</v>
      </c>
      <c r="V275" s="521">
        <v>0</v>
      </c>
      <c r="W275" s="521">
        <v>0</v>
      </c>
      <c r="X275" s="521">
        <v>0</v>
      </c>
      <c r="Y275" s="521">
        <v>0</v>
      </c>
      <c r="Z275" s="521">
        <v>0</v>
      </c>
      <c r="AA275" s="521">
        <v>0</v>
      </c>
      <c r="AB275" s="521">
        <v>0</v>
      </c>
      <c r="AC275" s="521">
        <v>0</v>
      </c>
      <c r="AD275" s="521">
        <v>0</v>
      </c>
      <c r="AE275" s="521">
        <v>0</v>
      </c>
      <c r="AF275" s="521">
        <v>0</v>
      </c>
      <c r="AG275" s="521">
        <v>0</v>
      </c>
      <c r="AH275" s="521">
        <v>0</v>
      </c>
      <c r="AI275" s="521">
        <v>0</v>
      </c>
      <c r="AJ275" s="521">
        <v>0</v>
      </c>
      <c r="AK275" s="521">
        <v>0</v>
      </c>
      <c r="AL275" s="521">
        <v>0</v>
      </c>
      <c r="AM275" s="521">
        <v>0</v>
      </c>
      <c r="AN275" s="398">
        <f>AM275</f>
        <v>0</v>
      </c>
      <c r="AO275" s="398">
        <f t="shared" ref="AO275:CZ275" si="1044">AN275</f>
        <v>0</v>
      </c>
      <c r="AP275" s="398">
        <f t="shared" si="1044"/>
        <v>0</v>
      </c>
      <c r="AQ275" s="398">
        <f t="shared" si="1044"/>
        <v>0</v>
      </c>
      <c r="AR275" s="398">
        <f t="shared" si="1044"/>
        <v>0</v>
      </c>
      <c r="AS275" s="398">
        <f t="shared" si="1044"/>
        <v>0</v>
      </c>
      <c r="AT275" s="398">
        <f t="shared" si="1044"/>
        <v>0</v>
      </c>
      <c r="AU275" s="398">
        <f t="shared" si="1044"/>
        <v>0</v>
      </c>
      <c r="AV275" s="398">
        <f t="shared" si="1044"/>
        <v>0</v>
      </c>
      <c r="AW275" s="398">
        <f t="shared" si="1044"/>
        <v>0</v>
      </c>
      <c r="AX275" s="398">
        <f t="shared" si="1044"/>
        <v>0</v>
      </c>
      <c r="AY275" s="398">
        <f t="shared" si="1044"/>
        <v>0</v>
      </c>
      <c r="AZ275" s="398">
        <f t="shared" si="1044"/>
        <v>0</v>
      </c>
      <c r="BA275" s="398">
        <f t="shared" si="1044"/>
        <v>0</v>
      </c>
      <c r="BB275" s="398">
        <f t="shared" si="1044"/>
        <v>0</v>
      </c>
      <c r="BC275" s="398">
        <f t="shared" si="1044"/>
        <v>0</v>
      </c>
      <c r="BD275" s="398">
        <f t="shared" si="1044"/>
        <v>0</v>
      </c>
      <c r="BE275" s="398">
        <f t="shared" si="1044"/>
        <v>0</v>
      </c>
      <c r="BF275" s="398">
        <f t="shared" si="1044"/>
        <v>0</v>
      </c>
      <c r="BG275" s="398">
        <f t="shared" si="1044"/>
        <v>0</v>
      </c>
      <c r="BH275" s="398">
        <f t="shared" si="1044"/>
        <v>0</v>
      </c>
      <c r="BI275" s="398">
        <f t="shared" si="1044"/>
        <v>0</v>
      </c>
      <c r="BJ275" s="398">
        <f t="shared" si="1044"/>
        <v>0</v>
      </c>
      <c r="BK275" s="398">
        <f t="shared" si="1044"/>
        <v>0</v>
      </c>
      <c r="BL275" s="398">
        <f t="shared" si="1044"/>
        <v>0</v>
      </c>
      <c r="BM275" s="398">
        <f t="shared" si="1044"/>
        <v>0</v>
      </c>
      <c r="BN275" s="398">
        <f t="shared" si="1044"/>
        <v>0</v>
      </c>
      <c r="BO275" s="398">
        <f t="shared" si="1044"/>
        <v>0</v>
      </c>
      <c r="BP275" s="398">
        <f t="shared" si="1044"/>
        <v>0</v>
      </c>
      <c r="BQ275" s="398">
        <f t="shared" si="1044"/>
        <v>0</v>
      </c>
      <c r="BR275" s="398">
        <f t="shared" si="1044"/>
        <v>0</v>
      </c>
      <c r="BS275" s="398">
        <f t="shared" si="1044"/>
        <v>0</v>
      </c>
      <c r="BT275" s="398">
        <f t="shared" si="1044"/>
        <v>0</v>
      </c>
      <c r="BU275" s="398">
        <f t="shared" si="1044"/>
        <v>0</v>
      </c>
      <c r="BV275" s="398">
        <f t="shared" si="1044"/>
        <v>0</v>
      </c>
      <c r="BW275" s="398">
        <f t="shared" si="1044"/>
        <v>0</v>
      </c>
      <c r="BX275" s="398">
        <f t="shared" si="1044"/>
        <v>0</v>
      </c>
      <c r="BY275" s="398">
        <f t="shared" si="1044"/>
        <v>0</v>
      </c>
      <c r="BZ275" s="398">
        <f t="shared" si="1044"/>
        <v>0</v>
      </c>
      <c r="CA275" s="398">
        <f t="shared" si="1044"/>
        <v>0</v>
      </c>
      <c r="CB275" s="398">
        <f t="shared" si="1044"/>
        <v>0</v>
      </c>
      <c r="CC275" s="398">
        <f t="shared" si="1044"/>
        <v>0</v>
      </c>
      <c r="CD275" s="398">
        <f t="shared" si="1044"/>
        <v>0</v>
      </c>
      <c r="CE275" s="398">
        <f t="shared" si="1044"/>
        <v>0</v>
      </c>
      <c r="CF275" s="398">
        <f t="shared" si="1044"/>
        <v>0</v>
      </c>
      <c r="CG275" s="398">
        <f t="shared" si="1044"/>
        <v>0</v>
      </c>
      <c r="CH275" s="398">
        <f t="shared" si="1044"/>
        <v>0</v>
      </c>
      <c r="CI275" s="398">
        <f t="shared" si="1044"/>
        <v>0</v>
      </c>
      <c r="CJ275" s="398">
        <f t="shared" si="1044"/>
        <v>0</v>
      </c>
      <c r="CK275" s="398">
        <f>CJ275</f>
        <v>0</v>
      </c>
      <c r="CL275" s="398">
        <f>CK275</f>
        <v>0</v>
      </c>
      <c r="CM275" s="398">
        <f t="shared" si="1044"/>
        <v>0</v>
      </c>
      <c r="CN275" s="398">
        <f>CM275</f>
        <v>0</v>
      </c>
      <c r="CO275" s="398">
        <f>CN275</f>
        <v>0</v>
      </c>
      <c r="CP275" s="398">
        <f>CO275</f>
        <v>0</v>
      </c>
      <c r="CQ275" s="398">
        <f t="shared" si="1044"/>
        <v>0</v>
      </c>
      <c r="CR275" s="398">
        <f t="shared" si="1044"/>
        <v>0</v>
      </c>
      <c r="CS275" s="398">
        <f t="shared" si="1044"/>
        <v>0</v>
      </c>
      <c r="CT275" s="398">
        <f t="shared" si="1044"/>
        <v>0</v>
      </c>
      <c r="CU275" s="398">
        <f t="shared" si="1044"/>
        <v>0</v>
      </c>
      <c r="CV275" s="398">
        <f t="shared" si="1044"/>
        <v>0</v>
      </c>
      <c r="CW275" s="398">
        <f t="shared" si="1044"/>
        <v>0</v>
      </c>
      <c r="CX275" s="398">
        <f t="shared" si="1044"/>
        <v>0</v>
      </c>
      <c r="CY275" s="398">
        <f t="shared" si="1044"/>
        <v>0</v>
      </c>
      <c r="CZ275" s="398">
        <f t="shared" si="1044"/>
        <v>0</v>
      </c>
      <c r="DA275" s="398">
        <f t="shared" ref="DA275:FL275" si="1045">CZ275</f>
        <v>0</v>
      </c>
      <c r="DB275" s="398">
        <f t="shared" si="1045"/>
        <v>0</v>
      </c>
      <c r="DC275" s="398">
        <f t="shared" si="1045"/>
        <v>0</v>
      </c>
      <c r="DD275" s="578">
        <f t="shared" si="1045"/>
        <v>0</v>
      </c>
      <c r="DE275" s="398">
        <f t="shared" si="1045"/>
        <v>0</v>
      </c>
      <c r="DF275" s="398">
        <f t="shared" si="1045"/>
        <v>0</v>
      </c>
      <c r="DG275" s="398">
        <f t="shared" si="1045"/>
        <v>0</v>
      </c>
      <c r="DH275" s="398">
        <f t="shared" si="1045"/>
        <v>0</v>
      </c>
      <c r="DI275" s="398">
        <f t="shared" si="1045"/>
        <v>0</v>
      </c>
      <c r="DJ275" s="398">
        <f t="shared" si="1045"/>
        <v>0</v>
      </c>
      <c r="DK275" s="578">
        <f t="shared" si="1045"/>
        <v>0</v>
      </c>
      <c r="DL275" s="399">
        <f t="shared" si="1045"/>
        <v>0</v>
      </c>
      <c r="DM275" s="398">
        <f t="shared" si="1045"/>
        <v>0</v>
      </c>
      <c r="DN275" s="398">
        <f t="shared" si="1045"/>
        <v>0</v>
      </c>
      <c r="DO275" s="398">
        <f t="shared" si="1045"/>
        <v>0</v>
      </c>
      <c r="DP275" s="398">
        <f t="shared" si="1045"/>
        <v>0</v>
      </c>
      <c r="DQ275" s="398">
        <f t="shared" si="1045"/>
        <v>0</v>
      </c>
      <c r="DR275" s="578">
        <f t="shared" si="1045"/>
        <v>0</v>
      </c>
      <c r="DS275" s="398">
        <f t="shared" si="1045"/>
        <v>0</v>
      </c>
      <c r="DT275" s="398">
        <f t="shared" si="1045"/>
        <v>0</v>
      </c>
      <c r="DU275" s="398">
        <f t="shared" si="1045"/>
        <v>0</v>
      </c>
      <c r="DV275" s="398">
        <f t="shared" si="1045"/>
        <v>0</v>
      </c>
      <c r="DW275" s="398">
        <f>DV275</f>
        <v>0</v>
      </c>
      <c r="DX275" s="398">
        <f>DW275</f>
        <v>0</v>
      </c>
      <c r="DY275" s="578">
        <f>DX275</f>
        <v>0</v>
      </c>
      <c r="DZ275" s="398">
        <f t="shared" si="1045"/>
        <v>0</v>
      </c>
      <c r="EA275" s="398">
        <f>DZ275</f>
        <v>0</v>
      </c>
      <c r="EB275" s="398">
        <f>EA275</f>
        <v>0</v>
      </c>
      <c r="EC275" s="398">
        <f t="shared" si="1045"/>
        <v>0</v>
      </c>
      <c r="ED275" s="398">
        <f>EC275</f>
        <v>0</v>
      </c>
      <c r="EE275" s="398">
        <f>ED275</f>
        <v>0</v>
      </c>
      <c r="EF275" s="578">
        <f>EE275</f>
        <v>0</v>
      </c>
      <c r="EG275" s="398">
        <f t="shared" si="1045"/>
        <v>0</v>
      </c>
      <c r="EH275" s="398">
        <f>EG275</f>
        <v>0</v>
      </c>
      <c r="EI275" s="398">
        <f>EH275</f>
        <v>0</v>
      </c>
      <c r="EJ275" s="398">
        <f t="shared" si="1045"/>
        <v>0</v>
      </c>
      <c r="EK275" s="398">
        <f>EJ275</f>
        <v>0</v>
      </c>
      <c r="EL275" s="398">
        <f>EK275</f>
        <v>0</v>
      </c>
      <c r="EM275" s="578">
        <f>EL275</f>
        <v>0</v>
      </c>
      <c r="EN275" s="398">
        <f t="shared" si="1045"/>
        <v>0</v>
      </c>
      <c r="EO275" s="398">
        <f>EN275</f>
        <v>0</v>
      </c>
      <c r="EP275" s="398">
        <f>EO275</f>
        <v>0</v>
      </c>
      <c r="EQ275" s="399">
        <f t="shared" si="1045"/>
        <v>0</v>
      </c>
      <c r="ER275" s="398">
        <f t="shared" si="1045"/>
        <v>0</v>
      </c>
      <c r="ES275" s="398">
        <f t="shared" si="1045"/>
        <v>0</v>
      </c>
      <c r="ET275" s="578">
        <f t="shared" si="1045"/>
        <v>0</v>
      </c>
      <c r="EU275" s="398">
        <f t="shared" si="1045"/>
        <v>0</v>
      </c>
      <c r="EV275" s="398">
        <f t="shared" si="1045"/>
        <v>0</v>
      </c>
      <c r="EW275" s="398">
        <f t="shared" si="1045"/>
        <v>0</v>
      </c>
      <c r="EX275" s="398">
        <f t="shared" si="1045"/>
        <v>0</v>
      </c>
      <c r="EY275" s="398">
        <f t="shared" si="1045"/>
        <v>0</v>
      </c>
      <c r="EZ275" s="398">
        <f t="shared" si="1045"/>
        <v>0</v>
      </c>
      <c r="FA275" s="578">
        <f t="shared" si="1045"/>
        <v>0</v>
      </c>
      <c r="FB275" s="398">
        <f t="shared" si="1045"/>
        <v>0</v>
      </c>
      <c r="FC275" s="398">
        <f t="shared" si="1045"/>
        <v>0</v>
      </c>
      <c r="FD275" s="398">
        <f t="shared" si="1045"/>
        <v>0</v>
      </c>
      <c r="FE275" s="398">
        <f t="shared" si="1045"/>
        <v>0</v>
      </c>
      <c r="FF275" s="398">
        <f t="shared" si="1045"/>
        <v>0</v>
      </c>
      <c r="FG275" s="398">
        <f t="shared" si="1045"/>
        <v>0</v>
      </c>
      <c r="FH275" s="578">
        <f t="shared" si="1045"/>
        <v>0</v>
      </c>
      <c r="FI275" s="398">
        <f t="shared" si="1045"/>
        <v>0</v>
      </c>
      <c r="FJ275" s="398">
        <f t="shared" si="1045"/>
        <v>0</v>
      </c>
      <c r="FK275" s="398">
        <f t="shared" si="1045"/>
        <v>0</v>
      </c>
      <c r="FL275" s="398">
        <f t="shared" si="1045"/>
        <v>0</v>
      </c>
      <c r="FM275" s="398">
        <f t="shared" ref="FM275:FV275" si="1046">FL275</f>
        <v>0</v>
      </c>
      <c r="FN275" s="398">
        <f t="shared" si="1046"/>
        <v>0</v>
      </c>
      <c r="FO275" s="578">
        <f t="shared" si="1046"/>
        <v>0</v>
      </c>
      <c r="FP275" s="398">
        <f t="shared" si="1046"/>
        <v>0</v>
      </c>
      <c r="FQ275" s="398">
        <f t="shared" si="1046"/>
        <v>0</v>
      </c>
      <c r="FR275" s="398">
        <f t="shared" si="1046"/>
        <v>0</v>
      </c>
      <c r="FS275" s="398">
        <f t="shared" si="1046"/>
        <v>0</v>
      </c>
      <c r="FT275" s="398">
        <f t="shared" si="1046"/>
        <v>0</v>
      </c>
      <c r="FU275" s="398">
        <f t="shared" si="1046"/>
        <v>0</v>
      </c>
      <c r="FV275" s="578">
        <f t="shared" si="1046"/>
        <v>0</v>
      </c>
    </row>
    <row r="276" spans="2:178" outlineLevel="1" x14ac:dyDescent="0.3">
      <c r="B276" s="253" t="s">
        <v>605</v>
      </c>
      <c r="C276" s="280" t="s">
        <v>413</v>
      </c>
    </row>
    <row r="277" spans="2:178" outlineLevel="1" x14ac:dyDescent="0.3">
      <c r="B277" s="253" t="s">
        <v>606</v>
      </c>
      <c r="C277" s="280" t="s">
        <v>413</v>
      </c>
      <c r="R277" s="521">
        <v>0</v>
      </c>
      <c r="S277" s="521">
        <v>0</v>
      </c>
      <c r="T277" s="521">
        <v>0</v>
      </c>
      <c r="U277" s="521">
        <v>0</v>
      </c>
      <c r="V277" s="521">
        <v>0</v>
      </c>
      <c r="W277" s="521">
        <v>0</v>
      </c>
      <c r="X277" s="521">
        <v>0</v>
      </c>
      <c r="Y277" s="521">
        <v>0</v>
      </c>
      <c r="Z277" s="521">
        <v>0</v>
      </c>
      <c r="AA277" s="521">
        <v>0</v>
      </c>
      <c r="AB277" s="521">
        <v>0</v>
      </c>
      <c r="AC277" s="521">
        <v>0</v>
      </c>
      <c r="AD277" s="521">
        <v>0</v>
      </c>
      <c r="AE277" s="521">
        <v>0</v>
      </c>
      <c r="AF277" s="521">
        <v>0</v>
      </c>
      <c r="AG277" s="521">
        <v>0</v>
      </c>
      <c r="AH277" s="521">
        <v>0</v>
      </c>
      <c r="AI277" s="521">
        <v>0</v>
      </c>
      <c r="AJ277" s="521">
        <v>0</v>
      </c>
      <c r="AK277" s="521">
        <v>0</v>
      </c>
      <c r="AL277" s="521">
        <v>0</v>
      </c>
      <c r="AM277" s="521">
        <v>0</v>
      </c>
      <c r="AN277" s="398">
        <f>AN275</f>
        <v>0</v>
      </c>
      <c r="AO277" s="398">
        <f t="shared" ref="AO277:CZ277" si="1047">AO275</f>
        <v>0</v>
      </c>
      <c r="AP277" s="398">
        <f t="shared" si="1047"/>
        <v>0</v>
      </c>
      <c r="AQ277" s="398">
        <f t="shared" si="1047"/>
        <v>0</v>
      </c>
      <c r="AR277" s="398">
        <f t="shared" si="1047"/>
        <v>0</v>
      </c>
      <c r="AS277" s="398">
        <f t="shared" si="1047"/>
        <v>0</v>
      </c>
      <c r="AT277" s="398">
        <f t="shared" si="1047"/>
        <v>0</v>
      </c>
      <c r="AU277" s="398">
        <f t="shared" si="1047"/>
        <v>0</v>
      </c>
      <c r="AV277" s="398">
        <f t="shared" si="1047"/>
        <v>0</v>
      </c>
      <c r="AW277" s="398">
        <f t="shared" si="1047"/>
        <v>0</v>
      </c>
      <c r="AX277" s="398">
        <f t="shared" si="1047"/>
        <v>0</v>
      </c>
      <c r="AY277" s="398">
        <f t="shared" si="1047"/>
        <v>0</v>
      </c>
      <c r="AZ277" s="398">
        <f t="shared" si="1047"/>
        <v>0</v>
      </c>
      <c r="BA277" s="398">
        <f t="shared" si="1047"/>
        <v>0</v>
      </c>
      <c r="BB277" s="398">
        <f t="shared" si="1047"/>
        <v>0</v>
      </c>
      <c r="BC277" s="398">
        <f t="shared" si="1047"/>
        <v>0</v>
      </c>
      <c r="BD277" s="398">
        <f t="shared" si="1047"/>
        <v>0</v>
      </c>
      <c r="BE277" s="398">
        <f t="shared" si="1047"/>
        <v>0</v>
      </c>
      <c r="BF277" s="398">
        <f t="shared" si="1047"/>
        <v>0</v>
      </c>
      <c r="BG277" s="398">
        <f t="shared" si="1047"/>
        <v>0</v>
      </c>
      <c r="BH277" s="398">
        <f t="shared" si="1047"/>
        <v>0</v>
      </c>
      <c r="BI277" s="398">
        <f t="shared" si="1047"/>
        <v>0</v>
      </c>
      <c r="BJ277" s="398">
        <f t="shared" si="1047"/>
        <v>0</v>
      </c>
      <c r="BK277" s="398">
        <f t="shared" si="1047"/>
        <v>0</v>
      </c>
      <c r="BL277" s="398">
        <f t="shared" si="1047"/>
        <v>0</v>
      </c>
      <c r="BM277" s="398">
        <f t="shared" si="1047"/>
        <v>0</v>
      </c>
      <c r="BN277" s="398">
        <f t="shared" si="1047"/>
        <v>0</v>
      </c>
      <c r="BO277" s="398">
        <f t="shared" si="1047"/>
        <v>0</v>
      </c>
      <c r="BP277" s="398">
        <f t="shared" si="1047"/>
        <v>0</v>
      </c>
      <c r="BQ277" s="398">
        <f t="shared" si="1047"/>
        <v>0</v>
      </c>
      <c r="BR277" s="398">
        <f t="shared" si="1047"/>
        <v>0</v>
      </c>
      <c r="BS277" s="398">
        <f t="shared" si="1047"/>
        <v>0</v>
      </c>
      <c r="BT277" s="398">
        <f t="shared" si="1047"/>
        <v>0</v>
      </c>
      <c r="BU277" s="398">
        <f t="shared" si="1047"/>
        <v>0</v>
      </c>
      <c r="BV277" s="398">
        <f t="shared" si="1047"/>
        <v>0</v>
      </c>
      <c r="BW277" s="398">
        <f t="shared" si="1047"/>
        <v>0</v>
      </c>
      <c r="BX277" s="398">
        <f t="shared" si="1047"/>
        <v>0</v>
      </c>
      <c r="BY277" s="398">
        <f t="shared" si="1047"/>
        <v>0</v>
      </c>
      <c r="BZ277" s="398">
        <f t="shared" si="1047"/>
        <v>0</v>
      </c>
      <c r="CA277" s="398">
        <f t="shared" si="1047"/>
        <v>0</v>
      </c>
      <c r="CB277" s="398">
        <f t="shared" si="1047"/>
        <v>0</v>
      </c>
      <c r="CC277" s="398">
        <f t="shared" si="1047"/>
        <v>0</v>
      </c>
      <c r="CD277" s="398">
        <f t="shared" si="1047"/>
        <v>0</v>
      </c>
      <c r="CE277" s="398">
        <f t="shared" si="1047"/>
        <v>0</v>
      </c>
      <c r="CF277" s="398">
        <f t="shared" si="1047"/>
        <v>0</v>
      </c>
      <c r="CG277" s="398">
        <f t="shared" si="1047"/>
        <v>0</v>
      </c>
      <c r="CH277" s="398">
        <f t="shared" si="1047"/>
        <v>0</v>
      </c>
      <c r="CI277" s="398">
        <f t="shared" si="1047"/>
        <v>0</v>
      </c>
      <c r="CJ277" s="398">
        <f t="shared" si="1047"/>
        <v>0</v>
      </c>
      <c r="CK277" s="398">
        <f t="shared" si="1047"/>
        <v>0</v>
      </c>
      <c r="CL277" s="398">
        <f t="shared" si="1047"/>
        <v>0</v>
      </c>
      <c r="CM277" s="398">
        <f t="shared" si="1047"/>
        <v>0</v>
      </c>
      <c r="CN277" s="398">
        <f>CN275</f>
        <v>0</v>
      </c>
      <c r="CO277" s="398">
        <f>CO275</f>
        <v>0</v>
      </c>
      <c r="CP277" s="398">
        <f>CP275</f>
        <v>0</v>
      </c>
      <c r="CQ277" s="398">
        <f>CQ275</f>
        <v>0</v>
      </c>
      <c r="CR277" s="398">
        <f t="shared" si="1047"/>
        <v>0</v>
      </c>
      <c r="CS277" s="398">
        <f t="shared" si="1047"/>
        <v>0</v>
      </c>
      <c r="CT277" s="398">
        <f t="shared" si="1047"/>
        <v>0</v>
      </c>
      <c r="CU277" s="398">
        <f t="shared" si="1047"/>
        <v>0</v>
      </c>
      <c r="CV277" s="398">
        <f t="shared" si="1047"/>
        <v>0</v>
      </c>
      <c r="CW277" s="398">
        <f t="shared" si="1047"/>
        <v>0</v>
      </c>
      <c r="CX277" s="398">
        <f t="shared" si="1047"/>
        <v>0</v>
      </c>
      <c r="CY277" s="398">
        <f t="shared" si="1047"/>
        <v>0</v>
      </c>
      <c r="CZ277" s="398">
        <f t="shared" si="1047"/>
        <v>0</v>
      </c>
      <c r="DA277" s="398">
        <f t="shared" ref="DA277:FL277" si="1048">DA275</f>
        <v>0</v>
      </c>
      <c r="DB277" s="398">
        <f t="shared" si="1048"/>
        <v>0</v>
      </c>
      <c r="DC277" s="398">
        <f t="shared" si="1048"/>
        <v>0</v>
      </c>
      <c r="DD277" s="578">
        <f t="shared" si="1048"/>
        <v>0</v>
      </c>
      <c r="DE277" s="398">
        <f t="shared" si="1048"/>
        <v>0</v>
      </c>
      <c r="DF277" s="398">
        <f>DF275</f>
        <v>0</v>
      </c>
      <c r="DG277" s="398">
        <f t="shared" si="1048"/>
        <v>0</v>
      </c>
      <c r="DH277" s="398">
        <f t="shared" si="1048"/>
        <v>0</v>
      </c>
      <c r="DI277" s="398">
        <f t="shared" si="1048"/>
        <v>0</v>
      </c>
      <c r="DJ277" s="398">
        <f t="shared" si="1048"/>
        <v>0</v>
      </c>
      <c r="DK277" s="578">
        <f t="shared" si="1048"/>
        <v>0</v>
      </c>
      <c r="DL277" s="399">
        <f t="shared" si="1048"/>
        <v>0</v>
      </c>
      <c r="DM277" s="398">
        <f t="shared" si="1048"/>
        <v>0</v>
      </c>
      <c r="DN277" s="398">
        <f t="shared" si="1048"/>
        <v>0</v>
      </c>
      <c r="DO277" s="398">
        <f t="shared" si="1048"/>
        <v>0</v>
      </c>
      <c r="DP277" s="398">
        <f t="shared" si="1048"/>
        <v>0</v>
      </c>
      <c r="DQ277" s="398">
        <f t="shared" si="1048"/>
        <v>0</v>
      </c>
      <c r="DR277" s="578">
        <f t="shared" si="1048"/>
        <v>0</v>
      </c>
      <c r="DS277" s="398">
        <f t="shared" si="1048"/>
        <v>0</v>
      </c>
      <c r="DT277" s="398">
        <f t="shared" si="1048"/>
        <v>0</v>
      </c>
      <c r="DU277" s="398">
        <f t="shared" si="1048"/>
        <v>0</v>
      </c>
      <c r="DV277" s="398">
        <f t="shared" ref="DV277:EB277" si="1049">DV275</f>
        <v>0</v>
      </c>
      <c r="DW277" s="398">
        <f t="shared" si="1049"/>
        <v>0</v>
      </c>
      <c r="DX277" s="398">
        <f t="shared" si="1049"/>
        <v>0</v>
      </c>
      <c r="DY277" s="578">
        <f t="shared" si="1049"/>
        <v>0</v>
      </c>
      <c r="DZ277" s="398">
        <f t="shared" si="1049"/>
        <v>0</v>
      </c>
      <c r="EA277" s="398">
        <f t="shared" si="1049"/>
        <v>0</v>
      </c>
      <c r="EB277" s="398">
        <f t="shared" si="1049"/>
        <v>0</v>
      </c>
      <c r="EC277" s="398">
        <f t="shared" ref="EC277:EI277" si="1050">EC275</f>
        <v>0</v>
      </c>
      <c r="ED277" s="398">
        <f t="shared" si="1050"/>
        <v>0</v>
      </c>
      <c r="EE277" s="398">
        <f t="shared" si="1050"/>
        <v>0</v>
      </c>
      <c r="EF277" s="578">
        <f t="shared" si="1050"/>
        <v>0</v>
      </c>
      <c r="EG277" s="398">
        <f t="shared" si="1050"/>
        <v>0</v>
      </c>
      <c r="EH277" s="398">
        <f t="shared" si="1050"/>
        <v>0</v>
      </c>
      <c r="EI277" s="398">
        <f t="shared" si="1050"/>
        <v>0</v>
      </c>
      <c r="EJ277" s="398">
        <f>EJ275</f>
        <v>0</v>
      </c>
      <c r="EK277" s="398">
        <f>EK275</f>
        <v>0</v>
      </c>
      <c r="EL277" s="398">
        <f>EL275</f>
        <v>0</v>
      </c>
      <c r="EM277" s="578">
        <f>EM275</f>
        <v>0</v>
      </c>
      <c r="EN277" s="398">
        <f t="shared" ref="EN277:EP277" si="1051">EN275</f>
        <v>0</v>
      </c>
      <c r="EO277" s="398">
        <f t="shared" si="1051"/>
        <v>0</v>
      </c>
      <c r="EP277" s="398">
        <f t="shared" si="1051"/>
        <v>0</v>
      </c>
      <c r="EQ277" s="399">
        <f t="shared" ref="EQ277" si="1052">EQ275</f>
        <v>0</v>
      </c>
      <c r="ER277" s="398">
        <f t="shared" si="1048"/>
        <v>0</v>
      </c>
      <c r="ES277" s="398">
        <f t="shared" si="1048"/>
        <v>0</v>
      </c>
      <c r="ET277" s="578">
        <f t="shared" si="1048"/>
        <v>0</v>
      </c>
      <c r="EU277" s="398">
        <f t="shared" si="1048"/>
        <v>0</v>
      </c>
      <c r="EV277" s="398">
        <f t="shared" si="1048"/>
        <v>0</v>
      </c>
      <c r="EW277" s="398">
        <f t="shared" si="1048"/>
        <v>0</v>
      </c>
      <c r="EX277" s="398">
        <f t="shared" si="1048"/>
        <v>0</v>
      </c>
      <c r="EY277" s="398">
        <f t="shared" si="1048"/>
        <v>0</v>
      </c>
      <c r="EZ277" s="398">
        <f t="shared" si="1048"/>
        <v>0</v>
      </c>
      <c r="FA277" s="578">
        <f t="shared" si="1048"/>
        <v>0</v>
      </c>
      <c r="FB277" s="398">
        <f t="shared" si="1048"/>
        <v>0</v>
      </c>
      <c r="FC277" s="398">
        <f t="shared" si="1048"/>
        <v>0</v>
      </c>
      <c r="FD277" s="398">
        <f t="shared" si="1048"/>
        <v>0</v>
      </c>
      <c r="FE277" s="398">
        <f t="shared" si="1048"/>
        <v>0</v>
      </c>
      <c r="FF277" s="398">
        <f t="shared" si="1048"/>
        <v>0</v>
      </c>
      <c r="FG277" s="398">
        <f t="shared" si="1048"/>
        <v>0</v>
      </c>
      <c r="FH277" s="578">
        <f t="shared" si="1048"/>
        <v>0</v>
      </c>
      <c r="FI277" s="398">
        <f t="shared" si="1048"/>
        <v>0</v>
      </c>
      <c r="FJ277" s="398">
        <f t="shared" si="1048"/>
        <v>0</v>
      </c>
      <c r="FK277" s="398">
        <f t="shared" si="1048"/>
        <v>0</v>
      </c>
      <c r="FL277" s="398">
        <f t="shared" si="1048"/>
        <v>0</v>
      </c>
      <c r="FM277" s="398">
        <f t="shared" ref="FM277:FV277" si="1053">FM275</f>
        <v>0</v>
      </c>
      <c r="FN277" s="398">
        <f t="shared" si="1053"/>
        <v>0</v>
      </c>
      <c r="FO277" s="578">
        <f t="shared" si="1053"/>
        <v>0</v>
      </c>
      <c r="FP277" s="398">
        <f t="shared" si="1053"/>
        <v>0</v>
      </c>
      <c r="FQ277" s="398">
        <f t="shared" si="1053"/>
        <v>0</v>
      </c>
      <c r="FR277" s="398">
        <f t="shared" si="1053"/>
        <v>0</v>
      </c>
      <c r="FS277" s="398">
        <f t="shared" si="1053"/>
        <v>0</v>
      </c>
      <c r="FT277" s="398">
        <f t="shared" si="1053"/>
        <v>0</v>
      </c>
      <c r="FU277" s="398">
        <f t="shared" si="1053"/>
        <v>0</v>
      </c>
      <c r="FV277" s="578">
        <f t="shared" si="1053"/>
        <v>0</v>
      </c>
    </row>
    <row r="278" spans="2:178" outlineLevel="1" x14ac:dyDescent="0.3">
      <c r="B278" s="440" t="s">
        <v>607</v>
      </c>
      <c r="C278" s="280"/>
    </row>
    <row r="279" spans="2:178" outlineLevel="1" x14ac:dyDescent="0.3">
      <c r="B279" s="253" t="s">
        <v>604</v>
      </c>
      <c r="C279" s="280" t="s">
        <v>226</v>
      </c>
      <c r="D279" s="281">
        <f t="shared" ref="D279:AM279" si="1054">D265*D249/100</f>
        <v>0</v>
      </c>
      <c r="E279" s="281">
        <f t="shared" si="1054"/>
        <v>18.48406452</v>
      </c>
      <c r="F279" s="281">
        <f t="shared" si="1054"/>
        <v>18.48406452</v>
      </c>
      <c r="G279" s="281">
        <f t="shared" si="1054"/>
        <v>0</v>
      </c>
      <c r="H279" s="281">
        <f t="shared" si="1054"/>
        <v>18.532260440000002</v>
      </c>
      <c r="I279" s="281">
        <f t="shared" si="1054"/>
        <v>18.532260440000002</v>
      </c>
      <c r="J279" s="281">
        <f t="shared" si="1054"/>
        <v>37.064520880000003</v>
      </c>
      <c r="K279" s="281">
        <f t="shared" si="1054"/>
        <v>0</v>
      </c>
      <c r="L279" s="281">
        <f t="shared" si="1054"/>
        <v>23.186772250000004</v>
      </c>
      <c r="M279" s="281">
        <f t="shared" si="1054"/>
        <v>23.186772250000004</v>
      </c>
      <c r="N279" s="281">
        <f t="shared" si="1054"/>
        <v>0</v>
      </c>
      <c r="O279" s="281">
        <f t="shared" si="1054"/>
        <v>70.094308650000002</v>
      </c>
      <c r="P279" s="281">
        <f t="shared" si="1054"/>
        <v>70.094308650000002</v>
      </c>
      <c r="Q279" s="281">
        <f t="shared" si="1054"/>
        <v>93.459078200000008</v>
      </c>
      <c r="R279" s="281">
        <f t="shared" si="1054"/>
        <v>0</v>
      </c>
      <c r="S279" s="281">
        <f t="shared" si="1054"/>
        <v>56.124210120000001</v>
      </c>
      <c r="T279" s="281">
        <f t="shared" si="1054"/>
        <v>56.124210120000001</v>
      </c>
      <c r="U279" s="281">
        <f t="shared" si="1054"/>
        <v>0</v>
      </c>
      <c r="V279" s="281">
        <f t="shared" si="1054"/>
        <v>34.577173440000003</v>
      </c>
      <c r="W279" s="281">
        <f t="shared" si="1054"/>
        <v>34.577173440000003</v>
      </c>
      <c r="X279" s="281">
        <f t="shared" si="1054"/>
        <v>86.442933600000003</v>
      </c>
      <c r="Y279" s="281">
        <f t="shared" si="1054"/>
        <v>0</v>
      </c>
      <c r="Z279" s="281">
        <f t="shared" si="1054"/>
        <v>0</v>
      </c>
      <c r="AA279" s="281">
        <f t="shared" si="1054"/>
        <v>0</v>
      </c>
      <c r="AB279" s="281">
        <f t="shared" si="1054"/>
        <v>0</v>
      </c>
      <c r="AC279" s="281">
        <f t="shared" si="1054"/>
        <v>0</v>
      </c>
      <c r="AD279" s="281">
        <f t="shared" si="1054"/>
        <v>0</v>
      </c>
      <c r="AE279" s="281">
        <f t="shared" si="1054"/>
        <v>0</v>
      </c>
      <c r="AF279" s="281">
        <f t="shared" si="1054"/>
        <v>0</v>
      </c>
      <c r="AG279" s="281">
        <f t="shared" si="1054"/>
        <v>0</v>
      </c>
      <c r="AH279" s="281">
        <f t="shared" si="1054"/>
        <v>0</v>
      </c>
      <c r="AI279" s="281">
        <f t="shared" si="1054"/>
        <v>0</v>
      </c>
      <c r="AJ279" s="281">
        <f t="shared" si="1054"/>
        <v>0</v>
      </c>
      <c r="AK279" s="281">
        <f t="shared" si="1054"/>
        <v>0</v>
      </c>
      <c r="AL279" s="281">
        <f t="shared" si="1054"/>
        <v>0</v>
      </c>
      <c r="AM279" s="281">
        <f t="shared" si="1054"/>
        <v>0</v>
      </c>
      <c r="AN279" s="281">
        <f>AN265*AM249/100</f>
        <v>0</v>
      </c>
      <c r="AO279" s="281">
        <f>AN279+AM279</f>
        <v>0</v>
      </c>
      <c r="AP279" s="281">
        <f>AP265*AO249/100</f>
        <v>0</v>
      </c>
      <c r="AQ279" s="281">
        <f>AQ265*AP249/100</f>
        <v>0</v>
      </c>
      <c r="AR279" s="281">
        <f>AQ279+AP279</f>
        <v>0</v>
      </c>
      <c r="AS279" s="281">
        <f>AR279+AO279</f>
        <v>0</v>
      </c>
      <c r="AT279" s="281">
        <f>AT265*AQ249</f>
        <v>0</v>
      </c>
      <c r="AU279" s="281">
        <f>AU265*AT249/100</f>
        <v>17.381050720000001</v>
      </c>
      <c r="AV279" s="281">
        <f>AU279+AT279</f>
        <v>17.381050720000001</v>
      </c>
      <c r="AW279" s="281">
        <f>AW265*AV249/100</f>
        <v>0</v>
      </c>
      <c r="AX279" s="281">
        <f>AX265*AW249/100</f>
        <v>164.80265286500003</v>
      </c>
      <c r="AY279" s="281">
        <f>AX279+AW279</f>
        <v>164.80265286500003</v>
      </c>
      <c r="AZ279" s="281">
        <f>AY279+AV279</f>
        <v>182.18370358500002</v>
      </c>
      <c r="BA279" s="281">
        <f>BA265*AX249</f>
        <v>0</v>
      </c>
      <c r="BB279" s="281">
        <f>BB265*BA249/100</f>
        <v>21.895</v>
      </c>
      <c r="BC279" s="281">
        <f>BB279+BA279</f>
        <v>21.895</v>
      </c>
      <c r="BD279" s="281">
        <f>BD265*BC249/100</f>
        <v>0</v>
      </c>
      <c r="BE279" s="289">
        <v>163.6</v>
      </c>
      <c r="BF279" s="281">
        <f>BE279+BD279</f>
        <v>163.6</v>
      </c>
      <c r="BG279" s="281">
        <f>BF279+BC279</f>
        <v>185.495</v>
      </c>
      <c r="BH279" s="281">
        <f>BH267*BE249</f>
        <v>0</v>
      </c>
      <c r="BI279" s="281">
        <f>BI267*BH249/100</f>
        <v>35.367323759999998</v>
      </c>
      <c r="BJ279" s="281">
        <f>BI279+BH279</f>
        <v>35.367323759999998</v>
      </c>
      <c r="BK279" s="281">
        <f>BK267*BJ249/100</f>
        <v>123.816</v>
      </c>
      <c r="BL279" s="281">
        <f>BL267*BK249/100</f>
        <v>229.94399999999999</v>
      </c>
      <c r="BM279" s="281">
        <f>BL279+BK279</f>
        <v>353.76</v>
      </c>
      <c r="BN279" s="281">
        <f>BM279+BJ279</f>
        <v>389.12732375999997</v>
      </c>
      <c r="BO279" s="281">
        <f>BO267*BL249</f>
        <v>0</v>
      </c>
      <c r="BP279" s="281">
        <f>BP267*BO249/100</f>
        <v>35.408000000000001</v>
      </c>
      <c r="BQ279" s="281">
        <f>BP279+BO279</f>
        <v>35.408000000000001</v>
      </c>
      <c r="BR279" s="281">
        <f>BR267*BQ249/100</f>
        <v>0</v>
      </c>
      <c r="BS279" s="281">
        <f>BS267*BR249/100</f>
        <v>218.05</v>
      </c>
      <c r="BT279" s="281">
        <f>BS279+BR279</f>
        <v>218.05</v>
      </c>
      <c r="BU279" s="281">
        <f>BT279+BQ279</f>
        <v>253.45800000000003</v>
      </c>
      <c r="BV279" s="281">
        <f>BV267*BS249</f>
        <v>0</v>
      </c>
      <c r="BW279" s="281">
        <f>BW267*BV249/100</f>
        <v>40.113</v>
      </c>
      <c r="BX279" s="281">
        <f>BW279+BV279</f>
        <v>40.113</v>
      </c>
      <c r="BY279" s="281">
        <f>BY267*BX249/100</f>
        <v>0</v>
      </c>
      <c r="BZ279" s="281">
        <f>BZ267*BY249/100</f>
        <v>129.137</v>
      </c>
      <c r="CA279" s="281">
        <f>BZ279+BY279</f>
        <v>129.137</v>
      </c>
      <c r="CB279" s="281">
        <f>CA279+BX279</f>
        <v>169.25</v>
      </c>
      <c r="CC279" s="281">
        <f>CC267*BZ249</f>
        <v>0</v>
      </c>
      <c r="CD279" s="281">
        <f>CD267*CD250/100</f>
        <v>44.36</v>
      </c>
      <c r="CE279" s="281">
        <f>CD279+CC279</f>
        <v>44.36</v>
      </c>
      <c r="CF279" s="281">
        <f>CF267*CE249/100</f>
        <v>0</v>
      </c>
      <c r="CG279" s="281">
        <f>CG267*CF249/100</f>
        <v>123.43561412</v>
      </c>
      <c r="CH279" s="281">
        <f>CG279+CF279</f>
        <v>123.43561412</v>
      </c>
      <c r="CI279" s="281">
        <f>CH279+CE279</f>
        <v>167.79561411999998</v>
      </c>
      <c r="CJ279" s="281">
        <f>CJ267*CG249</f>
        <v>0</v>
      </c>
      <c r="CK279" s="281">
        <f>CK267*CJ249/100</f>
        <v>44.0871317</v>
      </c>
      <c r="CL279" s="281">
        <f>CK279+CJ279</f>
        <v>44.0871317</v>
      </c>
      <c r="CM279" s="281">
        <f>CM267*CL249/100</f>
        <v>0</v>
      </c>
      <c r="CN279" s="281">
        <f>CN267*CM249/100</f>
        <v>132.38999999999999</v>
      </c>
      <c r="CO279" s="281">
        <f>CN279+CM279</f>
        <v>132.38999999999999</v>
      </c>
      <c r="CP279" s="320">
        <f>CO279+CL279</f>
        <v>176.47713169999997</v>
      </c>
      <c r="CQ279" s="320">
        <f>CQ267*CN249</f>
        <v>0</v>
      </c>
      <c r="CR279" s="320">
        <f>CR267*CQ249/100</f>
        <v>44.152411800000003</v>
      </c>
      <c r="CS279" s="320">
        <f>CR279+CQ279</f>
        <v>44.152411800000003</v>
      </c>
      <c r="CT279" s="320">
        <f>CT267*CS249/100</f>
        <v>0</v>
      </c>
      <c r="CU279" s="320">
        <f>CU267*CT249/100</f>
        <v>114.946</v>
      </c>
      <c r="CV279" s="320">
        <f>CU279+CT279</f>
        <v>114.946</v>
      </c>
      <c r="CW279" s="320">
        <f>CV279+CS279</f>
        <v>159.09841180000001</v>
      </c>
      <c r="CX279" s="320">
        <f>CX267*CU249</f>
        <v>0</v>
      </c>
      <c r="CY279" s="320">
        <f>CY267*CX249/100</f>
        <v>44.227033400000003</v>
      </c>
      <c r="CZ279" s="320">
        <f>CY279+CX279</f>
        <v>44.227033400000003</v>
      </c>
      <c r="DA279" s="320">
        <f>DA267*CZ249/100</f>
        <v>0</v>
      </c>
      <c r="DB279" s="320">
        <f>DB267*DA249/100</f>
        <v>0</v>
      </c>
      <c r="DC279" s="320">
        <f>DB279+DA279</f>
        <v>0</v>
      </c>
      <c r="DD279" s="583">
        <f>DC279+CZ279</f>
        <v>44.227033400000003</v>
      </c>
      <c r="DE279" s="320">
        <f>DE267*DB249</f>
        <v>0</v>
      </c>
      <c r="DF279" s="320">
        <f>DF267*DC249</f>
        <v>0</v>
      </c>
      <c r="DG279" s="320">
        <f>DF279+DE279</f>
        <v>0</v>
      </c>
      <c r="DH279" s="320">
        <f>DH265*DG249/100</f>
        <v>0</v>
      </c>
      <c r="DI279" s="320">
        <f>DI267*DH249/100</f>
        <v>0</v>
      </c>
      <c r="DJ279" s="320">
        <f>DI279+DH279</f>
        <v>0</v>
      </c>
      <c r="DK279" s="583">
        <f>DJ279+DG279</f>
        <v>0</v>
      </c>
      <c r="DL279" s="344">
        <f>DL267*DI249</f>
        <v>0</v>
      </c>
      <c r="DM279" s="320">
        <v>0</v>
      </c>
      <c r="DN279" s="320">
        <f>DM279+DL279</f>
        <v>0</v>
      </c>
      <c r="DO279" s="320">
        <f>DO265*DN249/100</f>
        <v>0</v>
      </c>
      <c r="DP279" s="320">
        <f>DO279+DN279</f>
        <v>0</v>
      </c>
      <c r="DQ279" s="320">
        <f>DP279+DM279</f>
        <v>0</v>
      </c>
      <c r="DR279" s="583">
        <f>DQ279+DN279</f>
        <v>0</v>
      </c>
      <c r="DS279" s="320">
        <f>DS267*DP249</f>
        <v>0</v>
      </c>
      <c r="DT279" s="320"/>
      <c r="DU279" s="320">
        <f>DT279+DS279</f>
        <v>0</v>
      </c>
      <c r="DV279" s="320">
        <f>DV265*DU249/100</f>
        <v>0</v>
      </c>
      <c r="DW279" s="320">
        <f>DV279+DU279</f>
        <v>0</v>
      </c>
      <c r="DX279" s="320">
        <f>DW279+DT279</f>
        <v>0</v>
      </c>
      <c r="DY279" s="583">
        <f>DX279+DU279</f>
        <v>0</v>
      </c>
      <c r="DZ279" s="320">
        <f>DZ267*DW249</f>
        <v>0</v>
      </c>
      <c r="EA279" s="320"/>
      <c r="EB279" s="320">
        <f>EA279+DZ279</f>
        <v>0</v>
      </c>
      <c r="EC279" s="320">
        <f>EC265*EB249/100</f>
        <v>0</v>
      </c>
      <c r="ED279" s="320">
        <f>EC279+EB279</f>
        <v>0</v>
      </c>
      <c r="EE279" s="320">
        <f>ED279+EA279</f>
        <v>0</v>
      </c>
      <c r="EF279" s="583">
        <f>EE279+EB279</f>
        <v>0</v>
      </c>
      <c r="EG279" s="320">
        <f>EG267*ED249</f>
        <v>0</v>
      </c>
      <c r="EH279" s="320"/>
      <c r="EI279" s="320">
        <f>EH279+EG279</f>
        <v>0</v>
      </c>
      <c r="EJ279" s="320">
        <f>EJ265*EI249/100</f>
        <v>0</v>
      </c>
      <c r="EK279" s="320">
        <f>EJ279+EI279</f>
        <v>0</v>
      </c>
      <c r="EL279" s="320">
        <f>EK279+EH279</f>
        <v>0</v>
      </c>
      <c r="EM279" s="583">
        <f>EL279+EI279</f>
        <v>0</v>
      </c>
      <c r="EN279" s="320">
        <f>EN267*EK249</f>
        <v>0</v>
      </c>
      <c r="EO279" s="320"/>
      <c r="EP279" s="320">
        <f>EO279+EN279</f>
        <v>0</v>
      </c>
      <c r="EQ279" s="344">
        <f>EQ267*EN249</f>
        <v>0</v>
      </c>
      <c r="ER279" s="320">
        <f>ER267*EQ249/100</f>
        <v>0</v>
      </c>
      <c r="ES279" s="320">
        <f>ER279+EQ279</f>
        <v>0</v>
      </c>
      <c r="ET279" s="583">
        <f>ES279+EP279</f>
        <v>0</v>
      </c>
      <c r="EU279" s="320">
        <f>EU267*ER249</f>
        <v>0</v>
      </c>
      <c r="EV279" s="320">
        <f>EV267*EU249/100</f>
        <v>0</v>
      </c>
      <c r="EW279" s="320">
        <f>EV279+EU279</f>
        <v>0</v>
      </c>
      <c r="EX279" s="320">
        <f>EX267*EW249/100</f>
        <v>0</v>
      </c>
      <c r="EY279" s="320">
        <f>EY267*EX249/100</f>
        <v>0</v>
      </c>
      <c r="EZ279" s="320">
        <f>EY279+EX279</f>
        <v>0</v>
      </c>
      <c r="FA279" s="583">
        <f>EZ279+EW279</f>
        <v>0</v>
      </c>
      <c r="FB279" s="320">
        <f>FB267*EY249</f>
        <v>0</v>
      </c>
      <c r="FC279" s="320">
        <f>FC267*FB249/100</f>
        <v>0</v>
      </c>
      <c r="FD279" s="320">
        <f>FC279+FB279</f>
        <v>0</v>
      </c>
      <c r="FE279" s="320">
        <f>FE267*FD249/100</f>
        <v>0</v>
      </c>
      <c r="FF279" s="320">
        <f>FF267*FE249/100</f>
        <v>0</v>
      </c>
      <c r="FG279" s="320">
        <f>FF279+FE279</f>
        <v>0</v>
      </c>
      <c r="FH279" s="583">
        <f>FG279+FD279</f>
        <v>0</v>
      </c>
      <c r="FI279" s="320">
        <f>FI267*FF249</f>
        <v>0</v>
      </c>
      <c r="FJ279" s="320">
        <f>FJ267*FI249/100</f>
        <v>0</v>
      </c>
      <c r="FK279" s="320">
        <f>FJ279+FI279</f>
        <v>0</v>
      </c>
      <c r="FL279" s="320">
        <f>FL267*FK249/100</f>
        <v>0</v>
      </c>
      <c r="FM279" s="320">
        <f>FM267*FL249/100</f>
        <v>0</v>
      </c>
      <c r="FN279" s="320">
        <f>FM279+FL279</f>
        <v>0</v>
      </c>
      <c r="FO279" s="583">
        <f>FN279+FK279</f>
        <v>0</v>
      </c>
      <c r="FP279" s="320">
        <f>FP267*FM249</f>
        <v>0</v>
      </c>
      <c r="FQ279" s="320">
        <f>FQ267*FP249/100</f>
        <v>0</v>
      </c>
      <c r="FR279" s="320">
        <f>FQ279+FP279</f>
        <v>0</v>
      </c>
      <c r="FS279" s="320">
        <f>FS267*FR249/100</f>
        <v>0</v>
      </c>
      <c r="FT279" s="320">
        <f>FT267*FS249/100</f>
        <v>0</v>
      </c>
      <c r="FU279" s="320">
        <f>FT279+FS279</f>
        <v>0</v>
      </c>
      <c r="FV279" s="583">
        <f>FU279+FR279</f>
        <v>0</v>
      </c>
    </row>
    <row r="280" spans="2:178" outlineLevel="1" x14ac:dyDescent="0.3">
      <c r="B280" s="253" t="s">
        <v>605</v>
      </c>
      <c r="C280" s="280" t="s">
        <v>226</v>
      </c>
      <c r="CP280" s="320"/>
      <c r="CQ280" s="320"/>
      <c r="CR280" s="320"/>
      <c r="CS280" s="320"/>
      <c r="CT280" s="320"/>
      <c r="CU280" s="320"/>
      <c r="CV280" s="320"/>
      <c r="CW280" s="320"/>
      <c r="CX280" s="320"/>
      <c r="CY280" s="320"/>
      <c r="CZ280" s="320"/>
      <c r="DA280" s="320"/>
      <c r="DB280" s="320"/>
      <c r="DC280" s="320"/>
      <c r="DD280" s="583"/>
      <c r="DE280" s="320"/>
      <c r="DF280" s="320"/>
      <c r="DG280" s="320"/>
      <c r="DH280" s="320">
        <v>0</v>
      </c>
      <c r="DI280" s="320"/>
      <c r="DJ280" s="320"/>
      <c r="DK280" s="583"/>
      <c r="DL280" s="344"/>
      <c r="DM280" s="320"/>
      <c r="DN280" s="320"/>
      <c r="DO280" s="320">
        <v>0</v>
      </c>
      <c r="DP280" s="320"/>
      <c r="DQ280" s="320"/>
      <c r="DR280" s="583"/>
      <c r="DS280" s="320"/>
      <c r="DT280" s="320"/>
      <c r="DU280" s="320"/>
      <c r="DV280" s="320"/>
      <c r="DW280" s="320"/>
      <c r="DX280" s="320"/>
      <c r="DY280" s="583"/>
      <c r="DZ280" s="320"/>
      <c r="EA280" s="320"/>
      <c r="EB280" s="320"/>
      <c r="EC280" s="320"/>
      <c r="ED280" s="320"/>
      <c r="EE280" s="320"/>
      <c r="EF280" s="583"/>
      <c r="EG280" s="320"/>
      <c r="EH280" s="320"/>
      <c r="EI280" s="320"/>
      <c r="EJ280" s="320"/>
      <c r="EK280" s="320"/>
      <c r="EL280" s="320"/>
      <c r="EM280" s="583"/>
      <c r="EN280" s="320"/>
      <c r="EO280" s="320"/>
      <c r="EP280" s="320"/>
      <c r="EQ280" s="344"/>
      <c r="ER280" s="320"/>
      <c r="ES280" s="320"/>
      <c r="ET280" s="583"/>
      <c r="EU280" s="320"/>
      <c r="EV280" s="320"/>
      <c r="EW280" s="320"/>
      <c r="EX280" s="320"/>
      <c r="EY280" s="320"/>
      <c r="EZ280" s="320"/>
      <c r="FA280" s="583"/>
      <c r="FB280" s="320"/>
      <c r="FC280" s="320"/>
      <c r="FD280" s="320"/>
      <c r="FE280" s="320"/>
      <c r="FF280" s="320"/>
      <c r="FG280" s="320"/>
      <c r="FH280" s="583"/>
      <c r="FI280" s="320"/>
      <c r="FJ280" s="320"/>
      <c r="FK280" s="320"/>
      <c r="FL280" s="320"/>
      <c r="FM280" s="320"/>
      <c r="FN280" s="320"/>
      <c r="FO280" s="583"/>
      <c r="FP280" s="320"/>
      <c r="FQ280" s="320"/>
      <c r="FR280" s="320"/>
      <c r="FS280" s="320"/>
      <c r="FT280" s="320"/>
      <c r="FU280" s="320"/>
      <c r="FV280" s="583"/>
    </row>
    <row r="281" spans="2:178" outlineLevel="1" x14ac:dyDescent="0.3">
      <c r="B281" s="253" t="s">
        <v>608</v>
      </c>
      <c r="C281" s="280" t="s">
        <v>226</v>
      </c>
      <c r="D281" s="281">
        <f>SUM(D279:D280)</f>
        <v>0</v>
      </c>
      <c r="E281" s="281">
        <f t="shared" ref="E281:BP281" si="1055">SUM(E279:E280)</f>
        <v>18.48406452</v>
      </c>
      <c r="F281" s="281">
        <f t="shared" si="1055"/>
        <v>18.48406452</v>
      </c>
      <c r="G281" s="281">
        <f t="shared" si="1055"/>
        <v>0</v>
      </c>
      <c r="H281" s="281">
        <f t="shared" si="1055"/>
        <v>18.532260440000002</v>
      </c>
      <c r="I281" s="281">
        <f t="shared" si="1055"/>
        <v>18.532260440000002</v>
      </c>
      <c r="J281" s="281">
        <f t="shared" si="1055"/>
        <v>37.064520880000003</v>
      </c>
      <c r="K281" s="281">
        <f t="shared" si="1055"/>
        <v>0</v>
      </c>
      <c r="L281" s="281">
        <f t="shared" si="1055"/>
        <v>23.186772250000004</v>
      </c>
      <c r="M281" s="281">
        <f t="shared" si="1055"/>
        <v>23.186772250000004</v>
      </c>
      <c r="N281" s="281">
        <f t="shared" si="1055"/>
        <v>0</v>
      </c>
      <c r="O281" s="281">
        <f t="shared" si="1055"/>
        <v>70.094308650000002</v>
      </c>
      <c r="P281" s="281">
        <f t="shared" si="1055"/>
        <v>70.094308650000002</v>
      </c>
      <c r="Q281" s="281">
        <f t="shared" si="1055"/>
        <v>93.459078200000008</v>
      </c>
      <c r="R281" s="281">
        <f t="shared" si="1055"/>
        <v>0</v>
      </c>
      <c r="S281" s="281">
        <f t="shared" si="1055"/>
        <v>56.124210120000001</v>
      </c>
      <c r="T281" s="281">
        <f t="shared" si="1055"/>
        <v>56.124210120000001</v>
      </c>
      <c r="U281" s="281">
        <f t="shared" si="1055"/>
        <v>0</v>
      </c>
      <c r="V281" s="281">
        <f t="shared" si="1055"/>
        <v>34.577173440000003</v>
      </c>
      <c r="W281" s="281">
        <f t="shared" si="1055"/>
        <v>34.577173440000003</v>
      </c>
      <c r="X281" s="281">
        <f t="shared" si="1055"/>
        <v>86.442933600000003</v>
      </c>
      <c r="Y281" s="281">
        <f t="shared" si="1055"/>
        <v>0</v>
      </c>
      <c r="Z281" s="281">
        <f t="shared" si="1055"/>
        <v>0</v>
      </c>
      <c r="AA281" s="281">
        <f t="shared" si="1055"/>
        <v>0</v>
      </c>
      <c r="AB281" s="281">
        <f t="shared" si="1055"/>
        <v>0</v>
      </c>
      <c r="AC281" s="281">
        <f t="shared" si="1055"/>
        <v>0</v>
      </c>
      <c r="AD281" s="281">
        <f t="shared" si="1055"/>
        <v>0</v>
      </c>
      <c r="AE281" s="281">
        <f t="shared" si="1055"/>
        <v>0</v>
      </c>
      <c r="AF281" s="281">
        <f t="shared" si="1055"/>
        <v>0</v>
      </c>
      <c r="AG281" s="281">
        <f t="shared" si="1055"/>
        <v>0</v>
      </c>
      <c r="AH281" s="281">
        <f t="shared" si="1055"/>
        <v>0</v>
      </c>
      <c r="AI281" s="281">
        <f t="shared" si="1055"/>
        <v>0</v>
      </c>
      <c r="AJ281" s="281">
        <f t="shared" si="1055"/>
        <v>0</v>
      </c>
      <c r="AK281" s="281">
        <f t="shared" si="1055"/>
        <v>0</v>
      </c>
      <c r="AL281" s="281">
        <f t="shared" si="1055"/>
        <v>0</v>
      </c>
      <c r="AM281" s="281">
        <f t="shared" si="1055"/>
        <v>0</v>
      </c>
      <c r="AN281" s="281">
        <f t="shared" si="1055"/>
        <v>0</v>
      </c>
      <c r="AO281" s="281">
        <f t="shared" si="1055"/>
        <v>0</v>
      </c>
      <c r="AP281" s="281">
        <f t="shared" si="1055"/>
        <v>0</v>
      </c>
      <c r="AQ281" s="281">
        <f t="shared" si="1055"/>
        <v>0</v>
      </c>
      <c r="AR281" s="281">
        <f t="shared" si="1055"/>
        <v>0</v>
      </c>
      <c r="AS281" s="281">
        <f t="shared" si="1055"/>
        <v>0</v>
      </c>
      <c r="AT281" s="281">
        <f t="shared" si="1055"/>
        <v>0</v>
      </c>
      <c r="AU281" s="281">
        <f t="shared" si="1055"/>
        <v>17.381050720000001</v>
      </c>
      <c r="AV281" s="281">
        <f t="shared" si="1055"/>
        <v>17.381050720000001</v>
      </c>
      <c r="AW281" s="281">
        <f t="shared" si="1055"/>
        <v>0</v>
      </c>
      <c r="AX281" s="281">
        <f t="shared" si="1055"/>
        <v>164.80265286500003</v>
      </c>
      <c r="AY281" s="281">
        <f t="shared" si="1055"/>
        <v>164.80265286500003</v>
      </c>
      <c r="AZ281" s="281">
        <f t="shared" si="1055"/>
        <v>182.18370358500002</v>
      </c>
      <c r="BA281" s="281">
        <f t="shared" si="1055"/>
        <v>0</v>
      </c>
      <c r="BB281" s="281">
        <f t="shared" si="1055"/>
        <v>21.895</v>
      </c>
      <c r="BC281" s="281">
        <f t="shared" si="1055"/>
        <v>21.895</v>
      </c>
      <c r="BD281" s="281">
        <f t="shared" si="1055"/>
        <v>0</v>
      </c>
      <c r="BE281" s="281">
        <f t="shared" si="1055"/>
        <v>163.6</v>
      </c>
      <c r="BF281" s="281">
        <f t="shared" si="1055"/>
        <v>163.6</v>
      </c>
      <c r="BG281" s="281">
        <f t="shared" si="1055"/>
        <v>185.495</v>
      </c>
      <c r="BH281" s="281">
        <f t="shared" si="1055"/>
        <v>0</v>
      </c>
      <c r="BI281" s="281">
        <f t="shared" si="1055"/>
        <v>35.367323759999998</v>
      </c>
      <c r="BJ281" s="281">
        <f t="shared" si="1055"/>
        <v>35.367323759999998</v>
      </c>
      <c r="BK281" s="281">
        <f t="shared" si="1055"/>
        <v>123.816</v>
      </c>
      <c r="BL281" s="281">
        <f t="shared" si="1055"/>
        <v>229.94399999999999</v>
      </c>
      <c r="BM281" s="281">
        <f t="shared" si="1055"/>
        <v>353.76</v>
      </c>
      <c r="BN281" s="281">
        <f t="shared" si="1055"/>
        <v>389.12732375999997</v>
      </c>
      <c r="BO281" s="281">
        <f t="shared" si="1055"/>
        <v>0</v>
      </c>
      <c r="BP281" s="281">
        <f t="shared" si="1055"/>
        <v>35.408000000000001</v>
      </c>
      <c r="BQ281" s="281">
        <f t="shared" ref="BQ281:DM281" si="1056">SUM(BQ279:BQ280)</f>
        <v>35.408000000000001</v>
      </c>
      <c r="BR281" s="281">
        <f t="shared" si="1056"/>
        <v>0</v>
      </c>
      <c r="BS281" s="281">
        <f t="shared" si="1056"/>
        <v>218.05</v>
      </c>
      <c r="BT281" s="281">
        <f t="shared" si="1056"/>
        <v>218.05</v>
      </c>
      <c r="BU281" s="281">
        <f t="shared" si="1056"/>
        <v>253.45800000000003</v>
      </c>
      <c r="BV281" s="281">
        <f t="shared" si="1056"/>
        <v>0</v>
      </c>
      <c r="BW281" s="281">
        <f t="shared" si="1056"/>
        <v>40.113</v>
      </c>
      <c r="BX281" s="281">
        <f t="shared" si="1056"/>
        <v>40.113</v>
      </c>
      <c r="BY281" s="281">
        <f t="shared" si="1056"/>
        <v>0</v>
      </c>
      <c r="BZ281" s="281">
        <f t="shared" si="1056"/>
        <v>129.137</v>
      </c>
      <c r="CA281" s="281">
        <f t="shared" si="1056"/>
        <v>129.137</v>
      </c>
      <c r="CB281" s="281">
        <f t="shared" si="1056"/>
        <v>169.25</v>
      </c>
      <c r="CC281" s="281">
        <f t="shared" si="1056"/>
        <v>0</v>
      </c>
      <c r="CD281" s="281">
        <f t="shared" si="1056"/>
        <v>44.36</v>
      </c>
      <c r="CE281" s="281">
        <f t="shared" si="1056"/>
        <v>44.36</v>
      </c>
      <c r="CF281" s="281">
        <f t="shared" si="1056"/>
        <v>0</v>
      </c>
      <c r="CG281" s="281">
        <f t="shared" si="1056"/>
        <v>123.43561412</v>
      </c>
      <c r="CH281" s="281">
        <f t="shared" si="1056"/>
        <v>123.43561412</v>
      </c>
      <c r="CI281" s="281">
        <f t="shared" si="1056"/>
        <v>167.79561411999998</v>
      </c>
      <c r="CJ281" s="281">
        <f t="shared" si="1056"/>
        <v>0</v>
      </c>
      <c r="CK281" s="281">
        <f t="shared" si="1056"/>
        <v>44.0871317</v>
      </c>
      <c r="CL281" s="281">
        <f t="shared" si="1056"/>
        <v>44.0871317</v>
      </c>
      <c r="CM281" s="281">
        <f t="shared" si="1056"/>
        <v>0</v>
      </c>
      <c r="CN281" s="281">
        <f t="shared" si="1056"/>
        <v>132.38999999999999</v>
      </c>
      <c r="CO281" s="281">
        <f t="shared" si="1056"/>
        <v>132.38999999999999</v>
      </c>
      <c r="CP281" s="320">
        <f t="shared" si="1056"/>
        <v>176.47713169999997</v>
      </c>
      <c r="CQ281" s="320">
        <f t="shared" si="1056"/>
        <v>0</v>
      </c>
      <c r="CR281" s="320">
        <f t="shared" si="1056"/>
        <v>44.152411800000003</v>
      </c>
      <c r="CS281" s="320">
        <f t="shared" si="1056"/>
        <v>44.152411800000003</v>
      </c>
      <c r="CT281" s="320">
        <f t="shared" si="1056"/>
        <v>0</v>
      </c>
      <c r="CU281" s="320">
        <f t="shared" si="1056"/>
        <v>114.946</v>
      </c>
      <c r="CV281" s="320">
        <f t="shared" si="1056"/>
        <v>114.946</v>
      </c>
      <c r="CW281" s="320">
        <f t="shared" si="1056"/>
        <v>159.09841180000001</v>
      </c>
      <c r="CX281" s="320">
        <f t="shared" si="1056"/>
        <v>0</v>
      </c>
      <c r="CY281" s="320">
        <f t="shared" si="1056"/>
        <v>44.227033400000003</v>
      </c>
      <c r="CZ281" s="320">
        <f t="shared" si="1056"/>
        <v>44.227033400000003</v>
      </c>
      <c r="DA281" s="320">
        <f t="shared" si="1056"/>
        <v>0</v>
      </c>
      <c r="DB281" s="320">
        <f>SUM(DB279:DB280)</f>
        <v>0</v>
      </c>
      <c r="DC281" s="320">
        <f>SUM(DC279:DC280)</f>
        <v>0</v>
      </c>
      <c r="DD281" s="583">
        <f>SUM(DD279:DD280)</f>
        <v>44.227033400000003</v>
      </c>
      <c r="DE281" s="320">
        <f>SUM(DE279:DE280)</f>
        <v>0</v>
      </c>
      <c r="DF281" s="320">
        <f>SUM(DF279:DF280)</f>
        <v>0</v>
      </c>
      <c r="DG281" s="320">
        <f t="shared" si="1056"/>
        <v>0</v>
      </c>
      <c r="DH281" s="320">
        <f t="shared" si="1056"/>
        <v>0</v>
      </c>
      <c r="DI281" s="320">
        <f t="shared" si="1056"/>
        <v>0</v>
      </c>
      <c r="DJ281" s="320">
        <f t="shared" si="1056"/>
        <v>0</v>
      </c>
      <c r="DK281" s="583">
        <f t="shared" si="1056"/>
        <v>0</v>
      </c>
      <c r="DL281" s="344">
        <f t="shared" si="1056"/>
        <v>0</v>
      </c>
      <c r="DM281" s="320">
        <f t="shared" si="1056"/>
        <v>0</v>
      </c>
      <c r="DN281" s="320">
        <f t="shared" ref="DN281:EM281" si="1057">SUM(DN279:DN280)</f>
        <v>0</v>
      </c>
      <c r="DO281" s="320">
        <f t="shared" si="1057"/>
        <v>0</v>
      </c>
      <c r="DP281" s="320">
        <f t="shared" si="1057"/>
        <v>0</v>
      </c>
      <c r="DQ281" s="320">
        <f t="shared" si="1057"/>
        <v>0</v>
      </c>
      <c r="DR281" s="583">
        <f t="shared" si="1057"/>
        <v>0</v>
      </c>
      <c r="DS281" s="320">
        <f t="shared" si="1057"/>
        <v>0</v>
      </c>
      <c r="DT281" s="320">
        <f t="shared" si="1057"/>
        <v>0</v>
      </c>
      <c r="DU281" s="320">
        <f t="shared" si="1057"/>
        <v>0</v>
      </c>
      <c r="DV281" s="320">
        <f t="shared" si="1057"/>
        <v>0</v>
      </c>
      <c r="DW281" s="320">
        <f t="shared" si="1057"/>
        <v>0</v>
      </c>
      <c r="DX281" s="320">
        <f t="shared" si="1057"/>
        <v>0</v>
      </c>
      <c r="DY281" s="583">
        <f t="shared" si="1057"/>
        <v>0</v>
      </c>
      <c r="DZ281" s="320">
        <f t="shared" si="1057"/>
        <v>0</v>
      </c>
      <c r="EA281" s="320">
        <f t="shared" si="1057"/>
        <v>0</v>
      </c>
      <c r="EB281" s="320">
        <f t="shared" si="1057"/>
        <v>0</v>
      </c>
      <c r="EC281" s="320">
        <f t="shared" si="1057"/>
        <v>0</v>
      </c>
      <c r="ED281" s="320">
        <f t="shared" si="1057"/>
        <v>0</v>
      </c>
      <c r="EE281" s="320">
        <f t="shared" si="1057"/>
        <v>0</v>
      </c>
      <c r="EF281" s="583">
        <f t="shared" si="1057"/>
        <v>0</v>
      </c>
      <c r="EG281" s="320">
        <f t="shared" si="1057"/>
        <v>0</v>
      </c>
      <c r="EH281" s="320">
        <f t="shared" si="1057"/>
        <v>0</v>
      </c>
      <c r="EI281" s="320">
        <f t="shared" si="1057"/>
        <v>0</v>
      </c>
      <c r="EJ281" s="320">
        <f t="shared" si="1057"/>
        <v>0</v>
      </c>
      <c r="EK281" s="320">
        <f t="shared" si="1057"/>
        <v>0</v>
      </c>
      <c r="EL281" s="320">
        <f t="shared" si="1057"/>
        <v>0</v>
      </c>
      <c r="EM281" s="583">
        <f t="shared" si="1057"/>
        <v>0</v>
      </c>
      <c r="EN281" s="320">
        <f t="shared" ref="EN281:EP281" si="1058">SUM(EN279:EN280)</f>
        <v>0</v>
      </c>
      <c r="EO281" s="320">
        <f t="shared" si="1058"/>
        <v>0</v>
      </c>
      <c r="EP281" s="320">
        <f t="shared" si="1058"/>
        <v>0</v>
      </c>
      <c r="EQ281" s="344">
        <f t="shared" ref="EQ281" si="1059">SUM(EQ279:EQ280)</f>
        <v>0</v>
      </c>
      <c r="ER281" s="320">
        <f t="shared" ref="ER281:FV281" si="1060">SUM(ER279:ER280)</f>
        <v>0</v>
      </c>
      <c r="ES281" s="320">
        <f t="shared" si="1060"/>
        <v>0</v>
      </c>
      <c r="ET281" s="583">
        <f t="shared" si="1060"/>
        <v>0</v>
      </c>
      <c r="EU281" s="320">
        <f t="shared" si="1060"/>
        <v>0</v>
      </c>
      <c r="EV281" s="320">
        <f t="shared" si="1060"/>
        <v>0</v>
      </c>
      <c r="EW281" s="320">
        <f t="shared" si="1060"/>
        <v>0</v>
      </c>
      <c r="EX281" s="320">
        <f t="shared" si="1060"/>
        <v>0</v>
      </c>
      <c r="EY281" s="320">
        <f t="shared" si="1060"/>
        <v>0</v>
      </c>
      <c r="EZ281" s="320">
        <f t="shared" si="1060"/>
        <v>0</v>
      </c>
      <c r="FA281" s="583">
        <f t="shared" si="1060"/>
        <v>0</v>
      </c>
      <c r="FB281" s="320">
        <f t="shared" si="1060"/>
        <v>0</v>
      </c>
      <c r="FC281" s="320">
        <f t="shared" si="1060"/>
        <v>0</v>
      </c>
      <c r="FD281" s="320">
        <f t="shared" si="1060"/>
        <v>0</v>
      </c>
      <c r="FE281" s="320">
        <f t="shared" si="1060"/>
        <v>0</v>
      </c>
      <c r="FF281" s="320">
        <f t="shared" si="1060"/>
        <v>0</v>
      </c>
      <c r="FG281" s="320">
        <f t="shared" si="1060"/>
        <v>0</v>
      </c>
      <c r="FH281" s="583">
        <f t="shared" si="1060"/>
        <v>0</v>
      </c>
      <c r="FI281" s="320">
        <f t="shared" si="1060"/>
        <v>0</v>
      </c>
      <c r="FJ281" s="320">
        <f t="shared" si="1060"/>
        <v>0</v>
      </c>
      <c r="FK281" s="320">
        <f t="shared" si="1060"/>
        <v>0</v>
      </c>
      <c r="FL281" s="320">
        <f t="shared" si="1060"/>
        <v>0</v>
      </c>
      <c r="FM281" s="320">
        <f t="shared" si="1060"/>
        <v>0</v>
      </c>
      <c r="FN281" s="320">
        <f t="shared" si="1060"/>
        <v>0</v>
      </c>
      <c r="FO281" s="583">
        <f t="shared" si="1060"/>
        <v>0</v>
      </c>
      <c r="FP281" s="320">
        <f t="shared" si="1060"/>
        <v>0</v>
      </c>
      <c r="FQ281" s="320">
        <f t="shared" si="1060"/>
        <v>0</v>
      </c>
      <c r="FR281" s="320">
        <f t="shared" si="1060"/>
        <v>0</v>
      </c>
      <c r="FS281" s="320">
        <f t="shared" si="1060"/>
        <v>0</v>
      </c>
      <c r="FT281" s="320">
        <f t="shared" si="1060"/>
        <v>0</v>
      </c>
      <c r="FU281" s="320">
        <f t="shared" si="1060"/>
        <v>0</v>
      </c>
      <c r="FV281" s="583">
        <f t="shared" si="1060"/>
        <v>0</v>
      </c>
    </row>
    <row r="282" spans="2:178" outlineLevel="1" x14ac:dyDescent="0.3">
      <c r="B282" s="396" t="s">
        <v>609</v>
      </c>
      <c r="C282" s="280"/>
      <c r="D282" s="281"/>
      <c r="E282" s="281"/>
      <c r="F282" s="281"/>
      <c r="G282" s="281"/>
      <c r="H282" s="281"/>
      <c r="I282" s="281"/>
      <c r="J282" s="281"/>
      <c r="K282" s="281"/>
      <c r="L282" s="281"/>
      <c r="M282" s="281"/>
      <c r="N282" s="281"/>
      <c r="O282" s="281"/>
      <c r="P282" s="281"/>
      <c r="Q282" s="281"/>
      <c r="R282" s="281"/>
      <c r="S282" s="281"/>
      <c r="T282" s="281"/>
      <c r="U282" s="281"/>
      <c r="V282" s="281"/>
      <c r="W282" s="281"/>
      <c r="X282" s="281"/>
      <c r="Y282" s="281"/>
      <c r="Z282" s="281"/>
      <c r="AA282" s="281"/>
      <c r="AB282" s="281"/>
      <c r="AC282" s="281"/>
      <c r="AD282" s="281"/>
      <c r="AE282" s="281"/>
      <c r="AF282" s="281"/>
      <c r="AG282" s="281"/>
      <c r="AH282" s="281"/>
      <c r="AI282" s="281"/>
      <c r="AJ282" s="281"/>
      <c r="AK282" s="281"/>
      <c r="AL282" s="281"/>
      <c r="AM282" s="281"/>
      <c r="AN282" s="281"/>
      <c r="AO282" s="281"/>
      <c r="AP282" s="281"/>
      <c r="AQ282" s="281"/>
      <c r="AR282" s="281"/>
      <c r="AS282" s="281"/>
      <c r="AT282" s="281"/>
      <c r="AU282" s="281"/>
      <c r="AV282" s="281"/>
      <c r="AW282" s="281"/>
      <c r="AX282" s="281"/>
      <c r="AY282" s="281"/>
      <c r="AZ282" s="281"/>
      <c r="BA282" s="281"/>
      <c r="BB282" s="281"/>
      <c r="BC282" s="281"/>
      <c r="BD282" s="281"/>
      <c r="BE282" s="281"/>
      <c r="BF282" s="281"/>
      <c r="BG282" s="281"/>
      <c r="BH282" s="281"/>
      <c r="BI282" s="281"/>
      <c r="BJ282" s="281"/>
      <c r="BK282" s="281"/>
      <c r="BL282" s="281"/>
      <c r="BM282" s="281"/>
      <c r="BN282" s="281"/>
      <c r="BO282" s="281"/>
      <c r="BP282" s="281"/>
      <c r="BQ282" s="281"/>
      <c r="BR282" s="281"/>
      <c r="BS282" s="281"/>
      <c r="BT282" s="281"/>
      <c r="BU282" s="281"/>
      <c r="BV282" s="281"/>
      <c r="BW282" s="281"/>
      <c r="BX282" s="281"/>
      <c r="BY282" s="281"/>
      <c r="BZ282" s="281"/>
      <c r="CA282" s="281"/>
      <c r="CB282" s="281"/>
      <c r="CC282" s="281"/>
      <c r="CD282" s="281"/>
      <c r="CE282" s="281"/>
      <c r="CF282" s="281"/>
      <c r="CG282" s="281"/>
      <c r="CH282" s="281"/>
      <c r="CI282" s="281"/>
      <c r="CJ282" s="281"/>
      <c r="CK282" s="281"/>
      <c r="CL282" s="281"/>
      <c r="CM282" s="281"/>
      <c r="CN282" s="281"/>
      <c r="CO282" s="281"/>
      <c r="CP282" s="320"/>
      <c r="CQ282" s="320"/>
      <c r="CR282" s="320"/>
      <c r="CS282" s="320"/>
      <c r="CT282" s="320"/>
      <c r="CU282" s="320"/>
      <c r="CV282" s="320"/>
      <c r="CW282" s="320"/>
      <c r="CX282" s="320"/>
      <c r="CY282" s="320"/>
      <c r="CZ282" s="320"/>
      <c r="DA282" s="320"/>
      <c r="DB282" s="320"/>
      <c r="DC282" s="320"/>
      <c r="DD282" s="583"/>
      <c r="DE282" s="320"/>
      <c r="DF282" s="320"/>
      <c r="DG282" s="320"/>
      <c r="DH282" s="320"/>
      <c r="DI282" s="320"/>
      <c r="DJ282" s="320"/>
      <c r="DK282" s="583"/>
      <c r="DL282" s="344"/>
      <c r="DM282" s="320"/>
      <c r="DN282" s="320"/>
      <c r="DO282" s="320"/>
      <c r="DP282" s="320"/>
      <c r="DQ282" s="320"/>
      <c r="DR282" s="583"/>
      <c r="DS282" s="320"/>
      <c r="DT282" s="320"/>
      <c r="DU282" s="320"/>
      <c r="DV282" s="320"/>
      <c r="DW282" s="320"/>
      <c r="DX282" s="320"/>
      <c r="DY282" s="583"/>
      <c r="DZ282" s="320"/>
      <c r="EA282" s="320"/>
      <c r="EB282" s="320"/>
      <c r="EC282" s="320"/>
      <c r="ED282" s="320"/>
      <c r="EE282" s="320"/>
      <c r="EF282" s="583"/>
      <c r="EG282" s="320"/>
      <c r="EH282" s="320"/>
      <c r="EI282" s="320"/>
      <c r="EJ282" s="320"/>
      <c r="EK282" s="320"/>
      <c r="EL282" s="320"/>
      <c r="EM282" s="583"/>
      <c r="EN282" s="320"/>
      <c r="EO282" s="320"/>
      <c r="EP282" s="320"/>
      <c r="EQ282" s="344"/>
      <c r="ER282" s="320"/>
      <c r="ES282" s="320"/>
      <c r="ET282" s="583"/>
      <c r="EU282" s="320"/>
      <c r="EV282" s="320"/>
      <c r="EW282" s="320"/>
      <c r="EX282" s="320"/>
      <c r="EY282" s="320"/>
      <c r="EZ282" s="320"/>
      <c r="FA282" s="583"/>
      <c r="FB282" s="320"/>
      <c r="FC282" s="320"/>
      <c r="FD282" s="320"/>
      <c r="FE282" s="320"/>
      <c r="FF282" s="320"/>
      <c r="FG282" s="320"/>
      <c r="FH282" s="583"/>
      <c r="FI282" s="320"/>
      <c r="FJ282" s="320"/>
      <c r="FK282" s="320"/>
      <c r="FL282" s="320"/>
      <c r="FM282" s="320"/>
      <c r="FN282" s="320"/>
      <c r="FO282" s="583"/>
      <c r="FP282" s="320"/>
      <c r="FQ282" s="320"/>
      <c r="FR282" s="320"/>
      <c r="FS282" s="320"/>
      <c r="FT282" s="320"/>
      <c r="FU282" s="320"/>
      <c r="FV282" s="583"/>
    </row>
    <row r="283" spans="2:178" outlineLevel="1" x14ac:dyDescent="0.3">
      <c r="B283" s="279" t="s">
        <v>610</v>
      </c>
      <c r="C283" s="280" t="s">
        <v>226</v>
      </c>
      <c r="D283" s="281"/>
      <c r="E283" s="281">
        <f>D281</f>
        <v>0</v>
      </c>
      <c r="F283" s="281">
        <f>SUM(D283:E283)</f>
        <v>0</v>
      </c>
      <c r="G283" s="281">
        <f>E281</f>
        <v>18.48406452</v>
      </c>
      <c r="H283" s="281">
        <f>G281</f>
        <v>0</v>
      </c>
      <c r="I283" s="281">
        <f>SUM(G283:H283)</f>
        <v>18.48406452</v>
      </c>
      <c r="J283" s="281">
        <f>I283+F283</f>
        <v>18.48406452</v>
      </c>
      <c r="K283" s="281">
        <f>H281</f>
        <v>18.532260440000002</v>
      </c>
      <c r="L283" s="281">
        <f>K281</f>
        <v>0</v>
      </c>
      <c r="M283" s="281">
        <f>SUM(K283:L283)</f>
        <v>18.532260440000002</v>
      </c>
      <c r="N283" s="281">
        <f>L281</f>
        <v>23.186772250000004</v>
      </c>
      <c r="O283" s="281">
        <f>N281</f>
        <v>0</v>
      </c>
      <c r="P283" s="281">
        <f>SUM(N283:O283)</f>
        <v>23.186772250000004</v>
      </c>
      <c r="Q283" s="281">
        <f>P283+M283</f>
        <v>41.719032690000006</v>
      </c>
      <c r="R283" s="281">
        <f>O281</f>
        <v>70.094308650000002</v>
      </c>
      <c r="S283" s="281">
        <f>R281</f>
        <v>0</v>
      </c>
      <c r="T283" s="281">
        <f>SUM(R283:S283)</f>
        <v>70.094308650000002</v>
      </c>
      <c r="U283" s="281">
        <f>S281</f>
        <v>56.124210120000001</v>
      </c>
      <c r="V283" s="281">
        <f>U281</f>
        <v>0</v>
      </c>
      <c r="W283" s="281">
        <f>SUM(U283:V283)</f>
        <v>56.124210120000001</v>
      </c>
      <c r="X283" s="281">
        <f>W283+T283</f>
        <v>126.21851877</v>
      </c>
      <c r="Y283" s="281">
        <f>V281</f>
        <v>34.577173440000003</v>
      </c>
      <c r="Z283" s="281">
        <f>Y281</f>
        <v>0</v>
      </c>
      <c r="AA283" s="281">
        <f>SUM(Y283:Z283)</f>
        <v>34.577173440000003</v>
      </c>
      <c r="AB283" s="281">
        <f>Z281</f>
        <v>0</v>
      </c>
      <c r="AC283" s="281">
        <f>AB281</f>
        <v>0</v>
      </c>
      <c r="AD283" s="281">
        <f>SUM(AB283:AC283)</f>
        <v>0</v>
      </c>
      <c r="AE283" s="281">
        <f>AD283+AA283</f>
        <v>34.577173440000003</v>
      </c>
      <c r="AF283" s="281">
        <f>AC281</f>
        <v>0</v>
      </c>
      <c r="AG283" s="281">
        <f>AF281</f>
        <v>0</v>
      </c>
      <c r="AH283" s="281">
        <f>SUM(AF283:AG283)</f>
        <v>0</v>
      </c>
      <c r="AI283" s="281">
        <f>AG281</f>
        <v>0</v>
      </c>
      <c r="AJ283" s="281">
        <f>AI281</f>
        <v>0</v>
      </c>
      <c r="AK283" s="281">
        <f>SUM(AI283:AJ283)</f>
        <v>0</v>
      </c>
      <c r="AL283" s="281">
        <f>AK283+AH283</f>
        <v>0</v>
      </c>
      <c r="AM283" s="281">
        <f>AJ281</f>
        <v>0</v>
      </c>
      <c r="AN283" s="281">
        <f>AM281</f>
        <v>0</v>
      </c>
      <c r="AO283" s="281">
        <f>SUM(AM283:AN283)</f>
        <v>0</v>
      </c>
      <c r="AP283" s="281">
        <f>AN281</f>
        <v>0</v>
      </c>
      <c r="AQ283" s="281">
        <f>AP281</f>
        <v>0</v>
      </c>
      <c r="AR283" s="281">
        <f>SUM(AP283:AQ283)</f>
        <v>0</v>
      </c>
      <c r="AS283" s="281">
        <f>AR283+AO283</f>
        <v>0</v>
      </c>
      <c r="AT283" s="281">
        <f>AQ281</f>
        <v>0</v>
      </c>
      <c r="AU283" s="281">
        <f>AT281</f>
        <v>0</v>
      </c>
      <c r="AV283" s="281">
        <f>SUM(AT283:AU283)</f>
        <v>0</v>
      </c>
      <c r="AW283" s="281"/>
      <c r="AX283" s="281">
        <f>AU281</f>
        <v>17.381050720000001</v>
      </c>
      <c r="AY283" s="281">
        <f>SUM(AW283:AX283)</f>
        <v>17.381050720000001</v>
      </c>
      <c r="AZ283" s="281">
        <f>AY283+AV283</f>
        <v>17.381050720000001</v>
      </c>
      <c r="BA283" s="289">
        <v>0</v>
      </c>
      <c r="BB283" s="289">
        <v>166.4</v>
      </c>
      <c r="BC283" s="281">
        <f>SUM(BA283:BB283)</f>
        <v>166.4</v>
      </c>
      <c r="BD283" s="281">
        <f>BB281</f>
        <v>21.895</v>
      </c>
      <c r="BE283" s="281">
        <f>BD281</f>
        <v>0</v>
      </c>
      <c r="BF283" s="281">
        <f>SUM(BD283:BE283)</f>
        <v>21.895</v>
      </c>
      <c r="BG283" s="281">
        <f>BF283+BC283</f>
        <v>188.29500000000002</v>
      </c>
      <c r="BH283" s="289">
        <v>0</v>
      </c>
      <c r="BI283" s="281">
        <f>+BE281</f>
        <v>163.6</v>
      </c>
      <c r="BJ283" s="281">
        <f>SUM(BH283:BI283)</f>
        <v>163.6</v>
      </c>
      <c r="BK283" s="289">
        <v>0</v>
      </c>
      <c r="BL283" s="281">
        <f>BJ281</f>
        <v>35.367323759999998</v>
      </c>
      <c r="BM283" s="281">
        <f>SUM(BK283:BL283)</f>
        <v>35.367323759999998</v>
      </c>
      <c r="BN283" s="281">
        <f>BM283+BJ283</f>
        <v>198.96732376</v>
      </c>
      <c r="BO283" s="281">
        <f>+BK281</f>
        <v>123.816</v>
      </c>
      <c r="BP283" s="281">
        <f>+BL281</f>
        <v>229.94399999999999</v>
      </c>
      <c r="BQ283" s="281">
        <f>SUM(BO283:BP283)</f>
        <v>353.76</v>
      </c>
      <c r="BR283" s="281">
        <f>BP281</f>
        <v>35.408000000000001</v>
      </c>
      <c r="BS283" s="281">
        <f>BR281</f>
        <v>0</v>
      </c>
      <c r="BT283" s="281">
        <f>SUM(BR283:BS283)</f>
        <v>35.408000000000001</v>
      </c>
      <c r="BU283" s="281">
        <f>BT283+BQ283</f>
        <v>389.16800000000001</v>
      </c>
      <c r="BV283" s="289">
        <v>0</v>
      </c>
      <c r="BW283" s="281">
        <f>+BS281</f>
        <v>218.05</v>
      </c>
      <c r="BX283" s="281">
        <f>SUM(BV283:BW283)</f>
        <v>218.05</v>
      </c>
      <c r="BY283" s="281">
        <f>BW281</f>
        <v>40.113</v>
      </c>
      <c r="BZ283" s="281">
        <f>BY281</f>
        <v>0</v>
      </c>
      <c r="CA283" s="281">
        <f>SUM(BY283:BZ283)</f>
        <v>40.113</v>
      </c>
      <c r="CB283" s="281">
        <f>CA283+BX283</f>
        <v>258.16300000000001</v>
      </c>
      <c r="CC283" s="289">
        <v>0</v>
      </c>
      <c r="CD283" s="281">
        <f>BZ281</f>
        <v>129.137</v>
      </c>
      <c r="CE283" s="281">
        <f>SUM(CC283:CD283)</f>
        <v>129.137</v>
      </c>
      <c r="CF283" s="289">
        <v>0</v>
      </c>
      <c r="CG283" s="281">
        <f>CE281</f>
        <v>44.36</v>
      </c>
      <c r="CH283" s="281">
        <f>SUM(CF283:CG283)</f>
        <v>44.36</v>
      </c>
      <c r="CI283" s="281">
        <f>CH283+CE283</f>
        <v>173.49700000000001</v>
      </c>
      <c r="CJ283" s="281"/>
      <c r="CK283" s="281">
        <f>CG281</f>
        <v>123.43561412</v>
      </c>
      <c r="CL283" s="281">
        <f>SUM(CJ283:CK283)</f>
        <v>123.43561412</v>
      </c>
      <c r="CM283" s="281"/>
      <c r="CN283" s="281">
        <f>CL281</f>
        <v>44.0871317</v>
      </c>
      <c r="CO283" s="281">
        <f>SUM(CM283:CN283)</f>
        <v>44.0871317</v>
      </c>
      <c r="CP283" s="320">
        <f>CO283+CL283</f>
        <v>167.52274582000001</v>
      </c>
      <c r="CQ283" s="320"/>
      <c r="CR283" s="320">
        <f>CN281</f>
        <v>132.38999999999999</v>
      </c>
      <c r="CS283" s="320">
        <f>SUM(CQ283:CR283)</f>
        <v>132.38999999999999</v>
      </c>
      <c r="CT283" s="320"/>
      <c r="CU283" s="320">
        <f>CS281</f>
        <v>44.152411800000003</v>
      </c>
      <c r="CV283" s="320">
        <f>SUM(CT283:CU283)</f>
        <v>44.152411800000003</v>
      </c>
      <c r="CW283" s="320">
        <f>CV283+CS283</f>
        <v>176.5424118</v>
      </c>
      <c r="CX283" s="320"/>
      <c r="CY283" s="320">
        <f>CU281</f>
        <v>114.946</v>
      </c>
      <c r="CZ283" s="320">
        <f>SUM(CX283:CY283)</f>
        <v>114.946</v>
      </c>
      <c r="DA283" s="320"/>
      <c r="DB283" s="320">
        <f>CZ281</f>
        <v>44.227033400000003</v>
      </c>
      <c r="DC283" s="320">
        <f>SUM(DA283:DB283)</f>
        <v>44.227033400000003</v>
      </c>
      <c r="DD283" s="583">
        <f>DC283+CZ283</f>
        <v>159.17303340000001</v>
      </c>
      <c r="DE283" s="320"/>
      <c r="DF283" s="320"/>
      <c r="DG283" s="320">
        <f>SUM(DE283:DF283)</f>
        <v>0</v>
      </c>
      <c r="DH283" s="320"/>
      <c r="DI283" s="320">
        <f>DG281</f>
        <v>0</v>
      </c>
      <c r="DJ283" s="320">
        <f>SUM(DH283:DI283)</f>
        <v>0</v>
      </c>
      <c r="DK283" s="583">
        <f>DJ283+DG283</f>
        <v>0</v>
      </c>
      <c r="DL283" s="344"/>
      <c r="DM283" s="320"/>
      <c r="DN283" s="320">
        <f>SUM(DL283:DM283)</f>
        <v>0</v>
      </c>
      <c r="DO283" s="320"/>
      <c r="DP283" s="320">
        <f>SUM(DN283:DO283)</f>
        <v>0</v>
      </c>
      <c r="DQ283" s="320">
        <f>DP283+DM283</f>
        <v>0</v>
      </c>
      <c r="DR283" s="583">
        <f>DQ283+DN283</f>
        <v>0</v>
      </c>
      <c r="DS283" s="320"/>
      <c r="DT283" s="320"/>
      <c r="DU283" s="320">
        <f>SUM(DS283:DT283)</f>
        <v>0</v>
      </c>
      <c r="DV283" s="320"/>
      <c r="DW283" s="320">
        <f>SUM(DU283:DV283)</f>
        <v>0</v>
      </c>
      <c r="DX283" s="320">
        <f>DW283+DT283</f>
        <v>0</v>
      </c>
      <c r="DY283" s="583">
        <f>DX283+DU283</f>
        <v>0</v>
      </c>
      <c r="DZ283" s="320"/>
      <c r="EA283" s="320"/>
      <c r="EB283" s="320">
        <f>SUM(DZ283:EA283)</f>
        <v>0</v>
      </c>
      <c r="EC283" s="320"/>
      <c r="ED283" s="320">
        <f>SUM(EB283:EC283)</f>
        <v>0</v>
      </c>
      <c r="EE283" s="320">
        <f>ED283+EA283</f>
        <v>0</v>
      </c>
      <c r="EF283" s="583">
        <f>EE283+EB283</f>
        <v>0</v>
      </c>
      <c r="EG283" s="320"/>
      <c r="EH283" s="320"/>
      <c r="EI283" s="320">
        <f>SUM(EG283:EH283)</f>
        <v>0</v>
      </c>
      <c r="EJ283" s="320"/>
      <c r="EK283" s="320">
        <f>SUM(EI283:EJ283)</f>
        <v>0</v>
      </c>
      <c r="EL283" s="320">
        <f>EK283+EH283</f>
        <v>0</v>
      </c>
      <c r="EM283" s="583">
        <f>EL283+EI283</f>
        <v>0</v>
      </c>
      <c r="EN283" s="320"/>
      <c r="EO283" s="320"/>
      <c r="EP283" s="320">
        <f>SUM(EN283:EO283)</f>
        <v>0</v>
      </c>
      <c r="EQ283" s="344"/>
      <c r="ER283" s="320">
        <f>EP281</f>
        <v>0</v>
      </c>
      <c r="ES283" s="320">
        <f>SUM(EQ283:ER283)</f>
        <v>0</v>
      </c>
      <c r="ET283" s="583">
        <f>ES283+EP283</f>
        <v>0</v>
      </c>
      <c r="EU283" s="320"/>
      <c r="EV283" s="320">
        <f>ER281</f>
        <v>0</v>
      </c>
      <c r="EW283" s="320">
        <f>SUM(EU283:EV283)</f>
        <v>0</v>
      </c>
      <c r="EX283" s="320"/>
      <c r="EY283" s="320">
        <f>EW281</f>
        <v>0</v>
      </c>
      <c r="EZ283" s="320">
        <f>SUM(EX283:EY283)</f>
        <v>0</v>
      </c>
      <c r="FA283" s="583">
        <f>EZ283+EW283</f>
        <v>0</v>
      </c>
      <c r="FB283" s="320"/>
      <c r="FC283" s="320">
        <f>EY281</f>
        <v>0</v>
      </c>
      <c r="FD283" s="320">
        <f>SUM(FB283:FC283)</f>
        <v>0</v>
      </c>
      <c r="FE283" s="320"/>
      <c r="FF283" s="320">
        <f>FD281</f>
        <v>0</v>
      </c>
      <c r="FG283" s="320">
        <f>SUM(FE283:FF283)</f>
        <v>0</v>
      </c>
      <c r="FH283" s="583">
        <f>FG283+FD283</f>
        <v>0</v>
      </c>
      <c r="FI283" s="320"/>
      <c r="FJ283" s="320">
        <f>FF281</f>
        <v>0</v>
      </c>
      <c r="FK283" s="320">
        <f>SUM(FI283:FJ283)</f>
        <v>0</v>
      </c>
      <c r="FL283" s="320"/>
      <c r="FM283" s="320">
        <f>FK281</f>
        <v>0</v>
      </c>
      <c r="FN283" s="320">
        <f>SUM(FL283:FM283)</f>
        <v>0</v>
      </c>
      <c r="FO283" s="583">
        <f>FN283+FK283</f>
        <v>0</v>
      </c>
      <c r="FP283" s="320"/>
      <c r="FQ283" s="320">
        <f>FM281</f>
        <v>0</v>
      </c>
      <c r="FR283" s="320">
        <f>SUM(FP283:FQ283)</f>
        <v>0</v>
      </c>
      <c r="FS283" s="320"/>
      <c r="FT283" s="320">
        <f>FR281</f>
        <v>0</v>
      </c>
      <c r="FU283" s="320">
        <f>SUM(FS283:FT283)</f>
        <v>0</v>
      </c>
      <c r="FV283" s="583">
        <f>FU283+FR283</f>
        <v>0</v>
      </c>
    </row>
    <row r="284" spans="2:178" outlineLevel="1" x14ac:dyDescent="0.3">
      <c r="B284" s="279" t="s">
        <v>611</v>
      </c>
      <c r="C284" s="280" t="s">
        <v>226</v>
      </c>
      <c r="D284" s="281">
        <f>D283-D285</f>
        <v>0</v>
      </c>
      <c r="E284" s="281">
        <f t="shared" ref="E284:AM284" si="1061">E283-E285</f>
        <v>-27.5</v>
      </c>
      <c r="F284" s="281">
        <f t="shared" si="1061"/>
        <v>-27.5</v>
      </c>
      <c r="G284" s="281">
        <f t="shared" si="1061"/>
        <v>0.18406452000000328</v>
      </c>
      <c r="H284" s="281">
        <f t="shared" si="1061"/>
        <v>-0.10000000000000142</v>
      </c>
      <c r="I284" s="281">
        <f t="shared" si="1061"/>
        <v>8.4064520000001863E-2</v>
      </c>
      <c r="J284" s="281">
        <f t="shared" si="1061"/>
        <v>-27.415935479999998</v>
      </c>
      <c r="K284" s="281">
        <f t="shared" si="1061"/>
        <v>18.532260440000002</v>
      </c>
      <c r="L284" s="281">
        <f t="shared" si="1061"/>
        <v>-18.7</v>
      </c>
      <c r="M284" s="281">
        <f t="shared" si="1061"/>
        <v>-0.16773955999999757</v>
      </c>
      <c r="N284" s="281">
        <f t="shared" si="1061"/>
        <v>23.186772250000004</v>
      </c>
      <c r="O284" s="281">
        <f t="shared" si="1061"/>
        <v>-23.400000000000002</v>
      </c>
      <c r="P284" s="281">
        <f t="shared" si="1061"/>
        <v>-0.21322774999999794</v>
      </c>
      <c r="Q284" s="281">
        <f t="shared" si="1061"/>
        <v>-0.38096730999999551</v>
      </c>
      <c r="R284" s="281">
        <f t="shared" si="1061"/>
        <v>70.094308650000002</v>
      </c>
      <c r="S284" s="281">
        <f t="shared" si="1061"/>
        <v>-70.7</v>
      </c>
      <c r="T284" s="281">
        <f t="shared" si="1061"/>
        <v>-0.60569135000000074</v>
      </c>
      <c r="U284" s="281">
        <f t="shared" si="1061"/>
        <v>3.7242101200000093</v>
      </c>
      <c r="V284" s="281">
        <f t="shared" si="1061"/>
        <v>-3.1000000000000085</v>
      </c>
      <c r="W284" s="281">
        <f t="shared" si="1061"/>
        <v>0.62421012000000076</v>
      </c>
      <c r="X284" s="281">
        <f t="shared" si="1061"/>
        <v>1.8518770000000018E-2</v>
      </c>
      <c r="Y284" s="281">
        <f t="shared" si="1061"/>
        <v>34.577173440000003</v>
      </c>
      <c r="Z284" s="281">
        <f t="shared" si="1061"/>
        <v>-34.6</v>
      </c>
      <c r="AA284" s="281">
        <f t="shared" si="1061"/>
        <v>-2.2826559999998608E-2</v>
      </c>
      <c r="AB284" s="281">
        <f t="shared" si="1061"/>
        <v>0</v>
      </c>
      <c r="AC284" s="281">
        <f t="shared" si="1061"/>
        <v>0</v>
      </c>
      <c r="AD284" s="281">
        <f t="shared" si="1061"/>
        <v>0</v>
      </c>
      <c r="AE284" s="281">
        <f t="shared" si="1061"/>
        <v>-2.2826559999998608E-2</v>
      </c>
      <c r="AF284" s="281">
        <f t="shared" si="1061"/>
        <v>0</v>
      </c>
      <c r="AG284" s="281">
        <f t="shared" si="1061"/>
        <v>0</v>
      </c>
      <c r="AH284" s="281">
        <f t="shared" si="1061"/>
        <v>0</v>
      </c>
      <c r="AI284" s="281">
        <f t="shared" si="1061"/>
        <v>0</v>
      </c>
      <c r="AJ284" s="281">
        <f t="shared" si="1061"/>
        <v>0</v>
      </c>
      <c r="AK284" s="281">
        <f t="shared" si="1061"/>
        <v>0</v>
      </c>
      <c r="AL284" s="281">
        <f t="shared" si="1061"/>
        <v>0</v>
      </c>
      <c r="AM284" s="281">
        <f t="shared" si="1061"/>
        <v>0</v>
      </c>
      <c r="AN284" s="289">
        <v>0</v>
      </c>
      <c r="AO284" s="289">
        <v>0</v>
      </c>
      <c r="AP284" s="289">
        <v>0</v>
      </c>
      <c r="AQ284" s="289">
        <v>0</v>
      </c>
      <c r="AR284" s="289">
        <v>0</v>
      </c>
      <c r="AS284" s="289">
        <v>0</v>
      </c>
      <c r="AT284" s="289">
        <v>0</v>
      </c>
      <c r="AU284" s="289">
        <v>0</v>
      </c>
      <c r="AV284" s="289">
        <v>0</v>
      </c>
      <c r="AW284" s="289">
        <v>0</v>
      </c>
      <c r="AX284" s="289">
        <v>0</v>
      </c>
      <c r="AY284" s="289">
        <v>0</v>
      </c>
      <c r="AZ284" s="289">
        <v>0</v>
      </c>
      <c r="BA284" s="289">
        <v>0</v>
      </c>
      <c r="BB284" s="289">
        <v>0</v>
      </c>
      <c r="BC284" s="289">
        <v>0</v>
      </c>
      <c r="BD284" s="289">
        <v>0</v>
      </c>
      <c r="BE284" s="289">
        <v>0</v>
      </c>
      <c r="BF284" s="289">
        <v>0</v>
      </c>
      <c r="BG284" s="289">
        <v>0</v>
      </c>
      <c r="BH284" s="289">
        <v>0</v>
      </c>
      <c r="BI284" s="289">
        <v>0</v>
      </c>
      <c r="BJ284" s="289">
        <v>0</v>
      </c>
      <c r="BK284" s="289">
        <v>0</v>
      </c>
      <c r="BL284" s="289">
        <v>0</v>
      </c>
      <c r="BM284" s="289">
        <v>0</v>
      </c>
      <c r="BN284" s="289">
        <v>0</v>
      </c>
      <c r="BO284" s="289">
        <v>0</v>
      </c>
      <c r="BP284" s="289">
        <v>0</v>
      </c>
      <c r="BQ284" s="289">
        <v>0</v>
      </c>
      <c r="BR284" s="289">
        <v>0</v>
      </c>
      <c r="BS284" s="289">
        <v>0</v>
      </c>
      <c r="BT284" s="289">
        <v>0</v>
      </c>
      <c r="BU284" s="289">
        <v>0</v>
      </c>
      <c r="BV284" s="289">
        <v>0</v>
      </c>
      <c r="BW284" s="289">
        <v>0</v>
      </c>
      <c r="BX284" s="289">
        <v>0</v>
      </c>
      <c r="BY284" s="289">
        <v>0</v>
      </c>
      <c r="BZ284" s="289">
        <v>0</v>
      </c>
      <c r="CA284" s="289">
        <v>0</v>
      </c>
      <c r="CB284" s="289">
        <v>0</v>
      </c>
      <c r="CC284" s="289">
        <v>0</v>
      </c>
      <c r="CD284" s="289">
        <v>0</v>
      </c>
      <c r="CE284" s="289">
        <v>0</v>
      </c>
      <c r="CF284" s="289">
        <v>0</v>
      </c>
      <c r="CG284" s="289">
        <v>0</v>
      </c>
      <c r="CH284" s="289">
        <v>0</v>
      </c>
      <c r="CI284" s="289">
        <v>0</v>
      </c>
      <c r="CJ284" s="289">
        <v>0</v>
      </c>
      <c r="CK284" s="401">
        <v>0</v>
      </c>
      <c r="CL284" s="401">
        <v>0</v>
      </c>
      <c r="CM284" s="401">
        <v>0</v>
      </c>
      <c r="CN284" s="289">
        <v>0</v>
      </c>
      <c r="CO284" s="289">
        <v>0</v>
      </c>
      <c r="CP284" s="340">
        <v>0</v>
      </c>
      <c r="CQ284" s="340">
        <v>0</v>
      </c>
      <c r="CR284" s="513">
        <v>0</v>
      </c>
      <c r="CS284" s="513">
        <v>0</v>
      </c>
      <c r="CT284" s="513">
        <v>0</v>
      </c>
      <c r="CU284" s="513">
        <v>0</v>
      </c>
      <c r="CV284" s="513">
        <v>0</v>
      </c>
      <c r="CW284" s="513">
        <v>0</v>
      </c>
      <c r="CX284" s="513">
        <v>0</v>
      </c>
      <c r="CY284" s="513">
        <v>0</v>
      </c>
      <c r="CZ284" s="513">
        <v>0</v>
      </c>
      <c r="DA284" s="513">
        <v>0</v>
      </c>
      <c r="DB284" s="513">
        <v>0</v>
      </c>
      <c r="DC284" s="513">
        <v>0</v>
      </c>
      <c r="DD284" s="618">
        <v>0</v>
      </c>
      <c r="DE284" s="513">
        <v>0</v>
      </c>
      <c r="DF284" s="513">
        <v>0</v>
      </c>
      <c r="DG284" s="513">
        <v>0</v>
      </c>
      <c r="DH284" s="513">
        <v>0</v>
      </c>
      <c r="DI284" s="513">
        <v>0</v>
      </c>
      <c r="DJ284" s="513">
        <v>0</v>
      </c>
      <c r="DK284" s="618">
        <v>0</v>
      </c>
      <c r="DL284" s="514">
        <v>0</v>
      </c>
      <c r="DM284" s="513">
        <v>0</v>
      </c>
      <c r="DN284" s="513">
        <v>0</v>
      </c>
      <c r="DO284" s="513">
        <v>0</v>
      </c>
      <c r="DP284" s="513">
        <v>0</v>
      </c>
      <c r="DQ284" s="513">
        <v>0</v>
      </c>
      <c r="DR284" s="618">
        <v>0</v>
      </c>
      <c r="DS284" s="513">
        <v>0</v>
      </c>
      <c r="DT284" s="513">
        <v>0</v>
      </c>
      <c r="DU284" s="513">
        <v>0</v>
      </c>
      <c r="DV284" s="513">
        <v>0</v>
      </c>
      <c r="DW284" s="513">
        <v>0</v>
      </c>
      <c r="DX284" s="513">
        <v>0</v>
      </c>
      <c r="DY284" s="618">
        <v>0</v>
      </c>
      <c r="DZ284" s="513">
        <v>0</v>
      </c>
      <c r="EA284" s="513">
        <v>0</v>
      </c>
      <c r="EB284" s="513">
        <v>0</v>
      </c>
      <c r="EC284" s="513">
        <v>0</v>
      </c>
      <c r="ED284" s="513">
        <v>0</v>
      </c>
      <c r="EE284" s="513">
        <v>0</v>
      </c>
      <c r="EF284" s="618">
        <v>0</v>
      </c>
      <c r="EG284" s="513">
        <v>0</v>
      </c>
      <c r="EH284" s="513">
        <v>0</v>
      </c>
      <c r="EI284" s="513">
        <v>0</v>
      </c>
      <c r="EJ284" s="513">
        <v>0</v>
      </c>
      <c r="EK284" s="513">
        <v>0</v>
      </c>
      <c r="EL284" s="513">
        <v>0</v>
      </c>
      <c r="EM284" s="618">
        <v>0</v>
      </c>
      <c r="EN284" s="513">
        <v>0</v>
      </c>
      <c r="EO284" s="513">
        <v>0</v>
      </c>
      <c r="EP284" s="513">
        <v>0</v>
      </c>
      <c r="EQ284" s="514">
        <v>0</v>
      </c>
      <c r="ER284" s="513">
        <v>0</v>
      </c>
      <c r="ES284" s="513">
        <v>0</v>
      </c>
      <c r="ET284" s="618">
        <v>0</v>
      </c>
      <c r="EU284" s="513">
        <v>0</v>
      </c>
      <c r="EV284" s="513">
        <v>0</v>
      </c>
      <c r="EW284" s="513">
        <v>0</v>
      </c>
      <c r="EX284" s="513">
        <v>0</v>
      </c>
      <c r="EY284" s="513">
        <v>0</v>
      </c>
      <c r="EZ284" s="513">
        <v>0</v>
      </c>
      <c r="FA284" s="618">
        <v>0</v>
      </c>
      <c r="FB284" s="513">
        <v>0</v>
      </c>
      <c r="FC284" s="513">
        <v>0</v>
      </c>
      <c r="FD284" s="513">
        <v>0</v>
      </c>
      <c r="FE284" s="513">
        <v>0</v>
      </c>
      <c r="FF284" s="513">
        <v>0</v>
      </c>
      <c r="FG284" s="513">
        <v>0</v>
      </c>
      <c r="FH284" s="618">
        <v>0</v>
      </c>
      <c r="FI284" s="513">
        <v>0</v>
      </c>
      <c r="FJ284" s="513">
        <v>0</v>
      </c>
      <c r="FK284" s="513">
        <v>0</v>
      </c>
      <c r="FL284" s="513">
        <v>0</v>
      </c>
      <c r="FM284" s="513">
        <v>0</v>
      </c>
      <c r="FN284" s="513">
        <v>0</v>
      </c>
      <c r="FO284" s="618">
        <v>0</v>
      </c>
      <c r="FP284" s="513">
        <v>0</v>
      </c>
      <c r="FQ284" s="513">
        <v>0</v>
      </c>
      <c r="FR284" s="513">
        <v>0</v>
      </c>
      <c r="FS284" s="513">
        <v>0</v>
      </c>
      <c r="FT284" s="513">
        <v>0</v>
      </c>
      <c r="FU284" s="513">
        <v>0</v>
      </c>
      <c r="FV284" s="618">
        <v>0</v>
      </c>
    </row>
    <row r="285" spans="2:178" outlineLevel="1" x14ac:dyDescent="0.3">
      <c r="B285" s="279" t="s">
        <v>612</v>
      </c>
      <c r="C285" s="280" t="s">
        <v>226</v>
      </c>
      <c r="D285" s="281">
        <f t="shared" ref="D285:AM285" si="1062">-D120</f>
        <v>0</v>
      </c>
      <c r="E285" s="281">
        <f t="shared" si="1062"/>
        <v>27.5</v>
      </c>
      <c r="F285" s="281">
        <f t="shared" si="1062"/>
        <v>27.5</v>
      </c>
      <c r="G285" s="281">
        <f t="shared" si="1062"/>
        <v>18.299999999999997</v>
      </c>
      <c r="H285" s="281">
        <f t="shared" si="1062"/>
        <v>0.10000000000000142</v>
      </c>
      <c r="I285" s="281">
        <f t="shared" si="1062"/>
        <v>18.399999999999999</v>
      </c>
      <c r="J285" s="281">
        <f t="shared" si="1062"/>
        <v>45.9</v>
      </c>
      <c r="K285" s="281">
        <f t="shared" si="1062"/>
        <v>0</v>
      </c>
      <c r="L285" s="281">
        <f t="shared" si="1062"/>
        <v>18.7</v>
      </c>
      <c r="M285" s="281">
        <f t="shared" si="1062"/>
        <v>18.7</v>
      </c>
      <c r="N285" s="281">
        <f t="shared" si="1062"/>
        <v>0</v>
      </c>
      <c r="O285" s="281">
        <f t="shared" si="1062"/>
        <v>23.400000000000002</v>
      </c>
      <c r="P285" s="281">
        <f t="shared" si="1062"/>
        <v>23.400000000000002</v>
      </c>
      <c r="Q285" s="281">
        <f t="shared" si="1062"/>
        <v>42.1</v>
      </c>
      <c r="R285" s="281">
        <f t="shared" si="1062"/>
        <v>0</v>
      </c>
      <c r="S285" s="281">
        <f t="shared" si="1062"/>
        <v>70.7</v>
      </c>
      <c r="T285" s="281">
        <f t="shared" si="1062"/>
        <v>70.7</v>
      </c>
      <c r="U285" s="281">
        <f t="shared" si="1062"/>
        <v>52.399999999999991</v>
      </c>
      <c r="V285" s="281">
        <f t="shared" si="1062"/>
        <v>3.1000000000000085</v>
      </c>
      <c r="W285" s="281">
        <f t="shared" si="1062"/>
        <v>55.5</v>
      </c>
      <c r="X285" s="281">
        <f t="shared" si="1062"/>
        <v>126.2</v>
      </c>
      <c r="Y285" s="281">
        <f t="shared" si="1062"/>
        <v>0</v>
      </c>
      <c r="Z285" s="281">
        <f t="shared" si="1062"/>
        <v>34.6</v>
      </c>
      <c r="AA285" s="281">
        <f t="shared" si="1062"/>
        <v>34.6</v>
      </c>
      <c r="AB285" s="281">
        <f t="shared" si="1062"/>
        <v>0</v>
      </c>
      <c r="AC285" s="281">
        <f t="shared" si="1062"/>
        <v>0</v>
      </c>
      <c r="AD285" s="281">
        <f t="shared" si="1062"/>
        <v>0</v>
      </c>
      <c r="AE285" s="281">
        <f t="shared" si="1062"/>
        <v>34.6</v>
      </c>
      <c r="AF285" s="281">
        <f t="shared" si="1062"/>
        <v>0</v>
      </c>
      <c r="AG285" s="281">
        <f t="shared" si="1062"/>
        <v>0</v>
      </c>
      <c r="AH285" s="281">
        <f t="shared" si="1062"/>
        <v>0</v>
      </c>
      <c r="AI285" s="281">
        <f t="shared" si="1062"/>
        <v>0</v>
      </c>
      <c r="AJ285" s="281">
        <f t="shared" si="1062"/>
        <v>0</v>
      </c>
      <c r="AK285" s="281">
        <f t="shared" si="1062"/>
        <v>0</v>
      </c>
      <c r="AL285" s="281">
        <f t="shared" si="1062"/>
        <v>0</v>
      </c>
      <c r="AM285" s="281">
        <f t="shared" si="1062"/>
        <v>0</v>
      </c>
      <c r="AN285" s="281">
        <f t="shared" ref="AN285:CY285" si="1063">AN283+AN284</f>
        <v>0</v>
      </c>
      <c r="AO285" s="281">
        <f t="shared" si="1063"/>
        <v>0</v>
      </c>
      <c r="AP285" s="281">
        <f t="shared" si="1063"/>
        <v>0</v>
      </c>
      <c r="AQ285" s="281">
        <f t="shared" si="1063"/>
        <v>0</v>
      </c>
      <c r="AR285" s="281">
        <f t="shared" si="1063"/>
        <v>0</v>
      </c>
      <c r="AS285" s="281">
        <f t="shared" si="1063"/>
        <v>0</v>
      </c>
      <c r="AT285" s="281">
        <f t="shared" si="1063"/>
        <v>0</v>
      </c>
      <c r="AU285" s="281">
        <f t="shared" si="1063"/>
        <v>0</v>
      </c>
      <c r="AV285" s="281">
        <f t="shared" si="1063"/>
        <v>0</v>
      </c>
      <c r="AW285" s="281">
        <f t="shared" si="1063"/>
        <v>0</v>
      </c>
      <c r="AX285" s="281">
        <f t="shared" si="1063"/>
        <v>17.381050720000001</v>
      </c>
      <c r="AY285" s="281">
        <f t="shared" si="1063"/>
        <v>17.381050720000001</v>
      </c>
      <c r="AZ285" s="281">
        <f t="shared" si="1063"/>
        <v>17.381050720000001</v>
      </c>
      <c r="BA285" s="281">
        <f t="shared" si="1063"/>
        <v>0</v>
      </c>
      <c r="BB285" s="281">
        <f t="shared" si="1063"/>
        <v>166.4</v>
      </c>
      <c r="BC285" s="281">
        <f t="shared" si="1063"/>
        <v>166.4</v>
      </c>
      <c r="BD285" s="281">
        <f t="shared" si="1063"/>
        <v>21.895</v>
      </c>
      <c r="BE285" s="281">
        <f t="shared" si="1063"/>
        <v>0</v>
      </c>
      <c r="BF285" s="281">
        <f t="shared" si="1063"/>
        <v>21.895</v>
      </c>
      <c r="BG285" s="281">
        <f t="shared" si="1063"/>
        <v>188.29500000000002</v>
      </c>
      <c r="BH285" s="281">
        <f t="shared" si="1063"/>
        <v>0</v>
      </c>
      <c r="BI285" s="281">
        <f t="shared" si="1063"/>
        <v>163.6</v>
      </c>
      <c r="BJ285" s="281">
        <f t="shared" si="1063"/>
        <v>163.6</v>
      </c>
      <c r="BK285" s="281">
        <f t="shared" si="1063"/>
        <v>0</v>
      </c>
      <c r="BL285" s="281">
        <f t="shared" si="1063"/>
        <v>35.367323759999998</v>
      </c>
      <c r="BM285" s="281">
        <f t="shared" si="1063"/>
        <v>35.367323759999998</v>
      </c>
      <c r="BN285" s="281">
        <f t="shared" si="1063"/>
        <v>198.96732376</v>
      </c>
      <c r="BO285" s="281">
        <f t="shared" si="1063"/>
        <v>123.816</v>
      </c>
      <c r="BP285" s="281">
        <f t="shared" si="1063"/>
        <v>229.94399999999999</v>
      </c>
      <c r="BQ285" s="281">
        <f t="shared" si="1063"/>
        <v>353.76</v>
      </c>
      <c r="BR285" s="281">
        <f t="shared" si="1063"/>
        <v>35.408000000000001</v>
      </c>
      <c r="BS285" s="281">
        <f t="shared" si="1063"/>
        <v>0</v>
      </c>
      <c r="BT285" s="281">
        <f t="shared" si="1063"/>
        <v>35.408000000000001</v>
      </c>
      <c r="BU285" s="281">
        <f t="shared" si="1063"/>
        <v>389.16800000000001</v>
      </c>
      <c r="BV285" s="281">
        <f t="shared" si="1063"/>
        <v>0</v>
      </c>
      <c r="BW285" s="281">
        <f t="shared" si="1063"/>
        <v>218.05</v>
      </c>
      <c r="BX285" s="281">
        <f t="shared" si="1063"/>
        <v>218.05</v>
      </c>
      <c r="BY285" s="281">
        <f t="shared" si="1063"/>
        <v>40.113</v>
      </c>
      <c r="BZ285" s="281">
        <f t="shared" si="1063"/>
        <v>0</v>
      </c>
      <c r="CA285" s="281">
        <f t="shared" si="1063"/>
        <v>40.113</v>
      </c>
      <c r="CB285" s="281">
        <f t="shared" si="1063"/>
        <v>258.16300000000001</v>
      </c>
      <c r="CC285" s="281">
        <f t="shared" si="1063"/>
        <v>0</v>
      </c>
      <c r="CD285" s="281">
        <f t="shared" si="1063"/>
        <v>129.137</v>
      </c>
      <c r="CE285" s="281">
        <f t="shared" si="1063"/>
        <v>129.137</v>
      </c>
      <c r="CF285" s="281">
        <f t="shared" si="1063"/>
        <v>0</v>
      </c>
      <c r="CG285" s="281">
        <f t="shared" si="1063"/>
        <v>44.36</v>
      </c>
      <c r="CH285" s="281">
        <f t="shared" si="1063"/>
        <v>44.36</v>
      </c>
      <c r="CI285" s="281">
        <f t="shared" si="1063"/>
        <v>173.49700000000001</v>
      </c>
      <c r="CJ285" s="281">
        <f t="shared" si="1063"/>
        <v>0</v>
      </c>
      <c r="CK285" s="281">
        <f t="shared" si="1063"/>
        <v>123.43561412</v>
      </c>
      <c r="CL285" s="281">
        <f t="shared" si="1063"/>
        <v>123.43561412</v>
      </c>
      <c r="CM285" s="281">
        <f t="shared" si="1063"/>
        <v>0</v>
      </c>
      <c r="CN285" s="281">
        <f>CN283+CN284</f>
        <v>44.0871317</v>
      </c>
      <c r="CO285" s="281">
        <f>CO283+CO284</f>
        <v>44.0871317</v>
      </c>
      <c r="CP285" s="320">
        <f>CP283+CP284</f>
        <v>167.52274582000001</v>
      </c>
      <c r="CQ285" s="320">
        <f t="shared" si="1063"/>
        <v>0</v>
      </c>
      <c r="CR285" s="320">
        <f t="shared" si="1063"/>
        <v>132.38999999999999</v>
      </c>
      <c r="CS285" s="320">
        <f t="shared" si="1063"/>
        <v>132.38999999999999</v>
      </c>
      <c r="CT285" s="320">
        <f t="shared" si="1063"/>
        <v>0</v>
      </c>
      <c r="CU285" s="320">
        <f t="shared" si="1063"/>
        <v>44.152411800000003</v>
      </c>
      <c r="CV285" s="320">
        <f t="shared" si="1063"/>
        <v>44.152411800000003</v>
      </c>
      <c r="CW285" s="320">
        <f t="shared" si="1063"/>
        <v>176.5424118</v>
      </c>
      <c r="CX285" s="320">
        <f t="shared" si="1063"/>
        <v>0</v>
      </c>
      <c r="CY285" s="320">
        <f t="shared" si="1063"/>
        <v>114.946</v>
      </c>
      <c r="CZ285" s="320">
        <f t="shared" ref="CZ285:FK285" si="1064">CZ283+CZ284</f>
        <v>114.946</v>
      </c>
      <c r="DA285" s="320">
        <f t="shared" si="1064"/>
        <v>0</v>
      </c>
      <c r="DB285" s="320">
        <f t="shared" si="1064"/>
        <v>44.227033400000003</v>
      </c>
      <c r="DC285" s="320">
        <f t="shared" si="1064"/>
        <v>44.227033400000003</v>
      </c>
      <c r="DD285" s="583">
        <f t="shared" si="1064"/>
        <v>159.17303340000001</v>
      </c>
      <c r="DE285" s="320">
        <f t="shared" si="1064"/>
        <v>0</v>
      </c>
      <c r="DF285" s="320">
        <f>DF283+DF284</f>
        <v>0</v>
      </c>
      <c r="DG285" s="320">
        <f t="shared" si="1064"/>
        <v>0</v>
      </c>
      <c r="DH285" s="320">
        <f t="shared" si="1064"/>
        <v>0</v>
      </c>
      <c r="DI285" s="320">
        <f t="shared" si="1064"/>
        <v>0</v>
      </c>
      <c r="DJ285" s="320">
        <f t="shared" si="1064"/>
        <v>0</v>
      </c>
      <c r="DK285" s="583">
        <f t="shared" si="1064"/>
        <v>0</v>
      </c>
      <c r="DL285" s="344">
        <f t="shared" si="1064"/>
        <v>0</v>
      </c>
      <c r="DM285" s="320">
        <f t="shared" si="1064"/>
        <v>0</v>
      </c>
      <c r="DN285" s="320">
        <f t="shared" si="1064"/>
        <v>0</v>
      </c>
      <c r="DO285" s="320">
        <f t="shared" si="1064"/>
        <v>0</v>
      </c>
      <c r="DP285" s="320">
        <f t="shared" si="1064"/>
        <v>0</v>
      </c>
      <c r="DQ285" s="320">
        <f t="shared" si="1064"/>
        <v>0</v>
      </c>
      <c r="DR285" s="583">
        <f t="shared" si="1064"/>
        <v>0</v>
      </c>
      <c r="DS285" s="320">
        <f t="shared" si="1064"/>
        <v>0</v>
      </c>
      <c r="DT285" s="320">
        <f t="shared" si="1064"/>
        <v>0</v>
      </c>
      <c r="DU285" s="320">
        <f t="shared" si="1064"/>
        <v>0</v>
      </c>
      <c r="DV285" s="320">
        <f t="shared" ref="DV285:EB285" si="1065">DV283+DV284</f>
        <v>0</v>
      </c>
      <c r="DW285" s="320">
        <f t="shared" si="1065"/>
        <v>0</v>
      </c>
      <c r="DX285" s="320">
        <f t="shared" si="1065"/>
        <v>0</v>
      </c>
      <c r="DY285" s="583">
        <f t="shared" si="1065"/>
        <v>0</v>
      </c>
      <c r="DZ285" s="320">
        <f t="shared" si="1065"/>
        <v>0</v>
      </c>
      <c r="EA285" s="320">
        <f t="shared" si="1065"/>
        <v>0</v>
      </c>
      <c r="EB285" s="320">
        <f t="shared" si="1065"/>
        <v>0</v>
      </c>
      <c r="EC285" s="320">
        <f t="shared" ref="EC285:EI285" si="1066">EC283+EC284</f>
        <v>0</v>
      </c>
      <c r="ED285" s="320">
        <f t="shared" si="1066"/>
        <v>0</v>
      </c>
      <c r="EE285" s="320">
        <f t="shared" si="1066"/>
        <v>0</v>
      </c>
      <c r="EF285" s="583">
        <f t="shared" si="1066"/>
        <v>0</v>
      </c>
      <c r="EG285" s="320">
        <f t="shared" si="1066"/>
        <v>0</v>
      </c>
      <c r="EH285" s="320">
        <f t="shared" si="1066"/>
        <v>0</v>
      </c>
      <c r="EI285" s="320">
        <f t="shared" si="1066"/>
        <v>0</v>
      </c>
      <c r="EJ285" s="320">
        <f>EJ283+EJ284</f>
        <v>0</v>
      </c>
      <c r="EK285" s="320">
        <f>EK283+EK284</f>
        <v>0</v>
      </c>
      <c r="EL285" s="320">
        <f>EL283+EL284</f>
        <v>0</v>
      </c>
      <c r="EM285" s="583">
        <f>EM283+EM284</f>
        <v>0</v>
      </c>
      <c r="EN285" s="320">
        <f t="shared" ref="EN285:EP285" si="1067">EN283+EN284</f>
        <v>0</v>
      </c>
      <c r="EO285" s="320">
        <f t="shared" si="1067"/>
        <v>0</v>
      </c>
      <c r="EP285" s="320">
        <f t="shared" si="1067"/>
        <v>0</v>
      </c>
      <c r="EQ285" s="344">
        <f t="shared" ref="EQ285" si="1068">EQ283+EQ284</f>
        <v>0</v>
      </c>
      <c r="ER285" s="320">
        <f t="shared" si="1064"/>
        <v>0</v>
      </c>
      <c r="ES285" s="320">
        <f t="shared" si="1064"/>
        <v>0</v>
      </c>
      <c r="ET285" s="583">
        <f t="shared" si="1064"/>
        <v>0</v>
      </c>
      <c r="EU285" s="320">
        <f t="shared" si="1064"/>
        <v>0</v>
      </c>
      <c r="EV285" s="320">
        <f t="shared" si="1064"/>
        <v>0</v>
      </c>
      <c r="EW285" s="320">
        <f t="shared" si="1064"/>
        <v>0</v>
      </c>
      <c r="EX285" s="320">
        <f t="shared" si="1064"/>
        <v>0</v>
      </c>
      <c r="EY285" s="320">
        <f t="shared" si="1064"/>
        <v>0</v>
      </c>
      <c r="EZ285" s="320">
        <f t="shared" si="1064"/>
        <v>0</v>
      </c>
      <c r="FA285" s="583">
        <f t="shared" si="1064"/>
        <v>0</v>
      </c>
      <c r="FB285" s="320">
        <f t="shared" si="1064"/>
        <v>0</v>
      </c>
      <c r="FC285" s="320">
        <f t="shared" si="1064"/>
        <v>0</v>
      </c>
      <c r="FD285" s="320">
        <f t="shared" si="1064"/>
        <v>0</v>
      </c>
      <c r="FE285" s="320">
        <f t="shared" si="1064"/>
        <v>0</v>
      </c>
      <c r="FF285" s="320">
        <f t="shared" si="1064"/>
        <v>0</v>
      </c>
      <c r="FG285" s="320">
        <f t="shared" si="1064"/>
        <v>0</v>
      </c>
      <c r="FH285" s="583">
        <f t="shared" si="1064"/>
        <v>0</v>
      </c>
      <c r="FI285" s="320">
        <f t="shared" si="1064"/>
        <v>0</v>
      </c>
      <c r="FJ285" s="320">
        <f t="shared" si="1064"/>
        <v>0</v>
      </c>
      <c r="FK285" s="320">
        <f t="shared" si="1064"/>
        <v>0</v>
      </c>
      <c r="FL285" s="320">
        <f t="shared" ref="FL285:FV285" si="1069">FL283+FL284</f>
        <v>0</v>
      </c>
      <c r="FM285" s="320">
        <f t="shared" si="1069"/>
        <v>0</v>
      </c>
      <c r="FN285" s="320">
        <f t="shared" si="1069"/>
        <v>0</v>
      </c>
      <c r="FO285" s="583">
        <f t="shared" si="1069"/>
        <v>0</v>
      </c>
      <c r="FP285" s="320">
        <f t="shared" si="1069"/>
        <v>0</v>
      </c>
      <c r="FQ285" s="320">
        <f t="shared" si="1069"/>
        <v>0</v>
      </c>
      <c r="FR285" s="320">
        <f t="shared" si="1069"/>
        <v>0</v>
      </c>
      <c r="FS285" s="320">
        <f t="shared" si="1069"/>
        <v>0</v>
      </c>
      <c r="FT285" s="320">
        <f t="shared" si="1069"/>
        <v>0</v>
      </c>
      <c r="FU285" s="320">
        <f t="shared" si="1069"/>
        <v>0</v>
      </c>
      <c r="FV285" s="583">
        <f t="shared" si="1069"/>
        <v>0</v>
      </c>
    </row>
    <row r="286" spans="2:178" outlineLevel="1" x14ac:dyDescent="0.3">
      <c r="B286" s="247" t="s">
        <v>117</v>
      </c>
      <c r="C286" s="280"/>
      <c r="AM286" s="251"/>
      <c r="AN286" s="251"/>
      <c r="AT286" s="251"/>
      <c r="AU286" s="251"/>
      <c r="AV286" s="251"/>
      <c r="AW286" s="251"/>
      <c r="AX286" s="251"/>
      <c r="AY286" s="251"/>
      <c r="AZ286" s="251"/>
      <c r="BA286" s="251">
        <v>1.0099261538461537</v>
      </c>
      <c r="BB286" s="251">
        <v>1.0392092307692309</v>
      </c>
      <c r="BC286" s="251">
        <v>1.0245676923076923</v>
      </c>
      <c r="BD286" s="251">
        <v>1.0383863636363639</v>
      </c>
      <c r="BE286" s="251">
        <v>1.0391078124999999</v>
      </c>
      <c r="BF286" s="251">
        <v>1.0387470880681819</v>
      </c>
      <c r="BG286" s="251">
        <v>1.0316573901879371</v>
      </c>
      <c r="BH286" s="251">
        <v>0.99167538461538485</v>
      </c>
      <c r="BI286" s="251">
        <v>0.91614848484848466</v>
      </c>
      <c r="BJ286" s="251">
        <v>0.9539119347319347</v>
      </c>
      <c r="BK286" s="251">
        <v>0.92737424242424249</v>
      </c>
      <c r="BL286" s="251">
        <v>0.89676718750000017</v>
      </c>
      <c r="BM286" s="251">
        <v>0.91207071496212133</v>
      </c>
      <c r="BN286" s="251">
        <v>0.93299132484702796</v>
      </c>
      <c r="BO286" s="251">
        <v>0.93308615384615379</v>
      </c>
      <c r="BP286" s="251">
        <v>0.92502272727272705</v>
      </c>
      <c r="BQ286" s="251">
        <v>0.92905444055944042</v>
      </c>
      <c r="BR286" s="251">
        <v>0.85467878787878782</v>
      </c>
      <c r="BS286" s="251">
        <v>0.78656249999999994</v>
      </c>
      <c r="BT286" s="251">
        <v>0.82062064393939393</v>
      </c>
      <c r="BU286" s="251">
        <v>0.87483754224941712</v>
      </c>
      <c r="BV286" s="251">
        <v>0.77799230769230765</v>
      </c>
      <c r="BW286" s="251">
        <v>0.72545606060606072</v>
      </c>
      <c r="BX286" s="251">
        <v>0.75172418414918418</v>
      </c>
      <c r="BY286" s="251">
        <v>0.72043181818181812</v>
      </c>
      <c r="BZ286" s="251">
        <v>0.72303076923076914</v>
      </c>
      <c r="CA286" s="251">
        <v>0.72173129370629363</v>
      </c>
      <c r="CB286" s="251">
        <v>0.73672773892773891</v>
      </c>
      <c r="CC286" s="251">
        <v>0.74568615384615389</v>
      </c>
      <c r="CD286" s="251">
        <v>0.75831515151515128</v>
      </c>
      <c r="CE286" s="251">
        <v>0.75200065268065264</v>
      </c>
      <c r="CF286" s="251">
        <v>0.74917384615384597</v>
      </c>
      <c r="CG286" s="251">
        <v>0.75810307692307699</v>
      </c>
      <c r="CH286" s="251">
        <v>0.75363846153846148</v>
      </c>
      <c r="CI286" s="251">
        <v>0.75229999999999997</v>
      </c>
      <c r="CJ286" s="251">
        <v>0.75056666666666672</v>
      </c>
      <c r="CK286" s="251">
        <v>0.78704999999999992</v>
      </c>
      <c r="CL286" s="251">
        <v>0.76880833333333332</v>
      </c>
      <c r="CM286" s="251">
        <v>0.76979999999999993</v>
      </c>
      <c r="CN286" s="251">
        <v>0.78644999999999998</v>
      </c>
      <c r="CO286" s="251">
        <v>0.77812499999999996</v>
      </c>
      <c r="CP286" s="251">
        <v>0.77346666666666664</v>
      </c>
      <c r="CQ286" s="251">
        <v>0.75685000000000002</v>
      </c>
      <c r="CR286" s="251">
        <v>0.73170000000000002</v>
      </c>
      <c r="CS286" s="251">
        <v>0.74427500000000002</v>
      </c>
      <c r="CT286" s="251">
        <v>0.72549999999999992</v>
      </c>
      <c r="CU286" s="251">
        <v>0.71306666666666663</v>
      </c>
      <c r="CV286" s="251">
        <v>0.71928333333333327</v>
      </c>
      <c r="CW286" s="251">
        <v>0.73177916666666665</v>
      </c>
      <c r="CX286" s="251">
        <v>0.70384999999999998</v>
      </c>
      <c r="CY286" s="251">
        <v>0.6847833333333333</v>
      </c>
      <c r="CZ286" s="251">
        <v>0.69431666666666669</v>
      </c>
      <c r="DA286" s="251">
        <v>0.68064999999999998</v>
      </c>
      <c r="DB286" s="251">
        <v>0.67469999999999997</v>
      </c>
      <c r="DC286" s="251">
        <v>0.67767500000000003</v>
      </c>
      <c r="DD286" s="620">
        <v>0.68599583333333336</v>
      </c>
      <c r="DE286" s="251">
        <v>0.64521666666666666</v>
      </c>
      <c r="DF286" s="251">
        <v>0.71343333333333325</v>
      </c>
      <c r="DG286" s="251">
        <v>0.67932499999999996</v>
      </c>
      <c r="DH286" s="251">
        <v>0.71928333333333327</v>
      </c>
      <c r="DI286" s="251">
        <v>0.77061666666666662</v>
      </c>
      <c r="DJ286" s="251">
        <v>0.74495</v>
      </c>
      <c r="DK286" s="620">
        <v>0.71213749999999998</v>
      </c>
      <c r="DL286" s="522">
        <v>0.77025230769230768</v>
      </c>
      <c r="DM286" s="251">
        <v>0.73471515151515154</v>
      </c>
      <c r="DN286" s="251">
        <v>0.75248372960372967</v>
      </c>
      <c r="DO286" s="251">
        <v>0.72882727272727232</v>
      </c>
      <c r="DP286" s="251">
        <v>0.72472656249999978</v>
      </c>
      <c r="DQ286" s="251">
        <v>0.72677691761363605</v>
      </c>
      <c r="DR286" s="620">
        <v>0.73963032360868286</v>
      </c>
      <c r="DS286" s="251">
        <v>0.71417846153846198</v>
      </c>
      <c r="DT286" s="251">
        <v>0.68333484848484827</v>
      </c>
      <c r="DU286" s="251">
        <v>0.69875665501165507</v>
      </c>
      <c r="DV286" s="251">
        <v>0.6574000000000001</v>
      </c>
      <c r="DW286" s="251">
        <v>0.68365538461538455</v>
      </c>
      <c r="DX286" s="251">
        <v>0.67052769230769238</v>
      </c>
      <c r="DY286" s="620">
        <v>0.68464217365967373</v>
      </c>
      <c r="DZ286" s="251">
        <v>0.66791538461538491</v>
      </c>
      <c r="EA286" s="251">
        <v>0.65476769230769238</v>
      </c>
      <c r="EB286" s="251">
        <v>0.66134153846153865</v>
      </c>
      <c r="EC286" s="251">
        <v>0.65126000000000028</v>
      </c>
      <c r="ED286" s="251">
        <v>0.65781846153846124</v>
      </c>
      <c r="EE286" s="251">
        <v>0.65453923076923082</v>
      </c>
      <c r="EF286" s="620">
        <v>0.65794038461538462</v>
      </c>
      <c r="EG286" s="251">
        <v>0.6590030779999998</v>
      </c>
      <c r="EH286" s="251">
        <v>0.67111250462499983</v>
      </c>
      <c r="EI286" s="251">
        <v>0.66505779131249976</v>
      </c>
      <c r="EJ286" s="251">
        <v>0.6522189792391303</v>
      </c>
      <c r="EK286" s="251">
        <v>0.62285457677419342</v>
      </c>
      <c r="EL286" s="251">
        <v>0.63753677800666186</v>
      </c>
      <c r="EM286" s="620">
        <v>0.65129728465958081</v>
      </c>
      <c r="EN286" s="251">
        <v>0.65</v>
      </c>
      <c r="EO286" s="251">
        <v>0.65</v>
      </c>
      <c r="EP286" s="251">
        <v>0.65</v>
      </c>
      <c r="EQ286" s="522">
        <v>0.65</v>
      </c>
      <c r="ER286" s="251">
        <v>0.65</v>
      </c>
      <c r="ES286" s="251">
        <v>0.65</v>
      </c>
      <c r="ET286" s="620">
        <v>0.65</v>
      </c>
      <c r="EU286" s="251">
        <v>0.66</v>
      </c>
      <c r="EV286" s="251">
        <v>0.66</v>
      </c>
      <c r="EW286" s="251">
        <v>0.66</v>
      </c>
      <c r="EX286" s="251">
        <v>0.66</v>
      </c>
      <c r="EY286" s="251">
        <v>0.66</v>
      </c>
      <c r="EZ286" s="251">
        <v>0.66</v>
      </c>
      <c r="FA286" s="620">
        <v>0.66</v>
      </c>
      <c r="FB286" s="251">
        <v>0.67</v>
      </c>
      <c r="FC286" s="251">
        <v>0.67</v>
      </c>
      <c r="FD286" s="251">
        <v>0.67</v>
      </c>
      <c r="FE286" s="251">
        <v>0.67</v>
      </c>
      <c r="FF286" s="251">
        <v>0.67</v>
      </c>
      <c r="FG286" s="251">
        <v>0.67</v>
      </c>
      <c r="FH286" s="620">
        <v>0.67</v>
      </c>
      <c r="FI286" s="251">
        <v>0.67</v>
      </c>
      <c r="FJ286" s="251">
        <v>0.67</v>
      </c>
      <c r="FK286" s="251">
        <v>0.67</v>
      </c>
      <c r="FL286" s="251">
        <v>0.67</v>
      </c>
      <c r="FM286" s="251">
        <v>0.67</v>
      </c>
      <c r="FN286" s="251">
        <v>0.67</v>
      </c>
      <c r="FO286" s="620">
        <v>0.67</v>
      </c>
      <c r="FP286" s="251">
        <v>0.67</v>
      </c>
      <c r="FQ286" s="251">
        <v>0.67</v>
      </c>
      <c r="FR286" s="251">
        <v>0.67</v>
      </c>
      <c r="FS286" s="251">
        <v>0.67</v>
      </c>
      <c r="FT286" s="251">
        <v>0.67</v>
      </c>
      <c r="FU286" s="251">
        <v>0.67</v>
      </c>
      <c r="FV286" s="620">
        <v>0.67</v>
      </c>
    </row>
    <row r="287" spans="2:178" outlineLevel="1" x14ac:dyDescent="0.3">
      <c r="B287" s="279" t="s">
        <v>613</v>
      </c>
      <c r="C287" s="280" t="s">
        <v>413</v>
      </c>
      <c r="AZ287" s="398"/>
      <c r="BG287" s="398">
        <f>(BG265/BG286/100)/$C$269</f>
        <v>4.7322085288827778E-3</v>
      </c>
      <c r="BN287" s="398">
        <f>(BN265/BN286/100)/$C$269</f>
        <v>7.8489763581661692E-3</v>
      </c>
      <c r="BU287" s="398">
        <f>(BU265/BU286/100)/$C$269</f>
        <v>1.0850943319543602E-2</v>
      </c>
      <c r="CB287" s="398">
        <f>(CB265/CB286/100)/$C$269</f>
        <v>1.3989540084210411E-2</v>
      </c>
      <c r="CI287" s="398">
        <f>(CI265/CI286/100)/$C$269</f>
        <v>1.3699963093020479E-2</v>
      </c>
      <c r="CP287" s="398">
        <f>(CP265/CP286/100)/$C$269</f>
        <v>1.4026368731633349E-2</v>
      </c>
      <c r="CW287" s="398">
        <f>(CW265/CW286/100)/$C$269</f>
        <v>1.3342872066091804E-2</v>
      </c>
      <c r="CZ287" s="398"/>
      <c r="DD287" s="578">
        <f>(DD265/DD286/100)/$C$269</f>
        <v>3.9537152199517756E-3</v>
      </c>
      <c r="DG287" s="398"/>
      <c r="DK287" s="578">
        <f>(DK265/DK286/100)/$C$269</f>
        <v>0</v>
      </c>
      <c r="DN287" s="398"/>
      <c r="DR287" s="578">
        <f>(DR265/DR286/100)/$C$269</f>
        <v>2.5669073540526253E-2</v>
      </c>
      <c r="DU287" s="398"/>
      <c r="DY287" s="578">
        <f>(DY265/DY286/100)/$C$269</f>
        <v>0</v>
      </c>
      <c r="EB287" s="398"/>
      <c r="EF287" s="578">
        <f>(EF265/EF286/100)/$C$269</f>
        <v>0</v>
      </c>
      <c r="EI287" s="398"/>
      <c r="EM287" s="578">
        <f>(EM265/EM286/100)/$C$269</f>
        <v>0</v>
      </c>
      <c r="EP287" s="398"/>
      <c r="ET287" s="578">
        <f>(ET265/ET286/100)/$C$269</f>
        <v>0</v>
      </c>
      <c r="FA287" s="578">
        <f>(FA265/FA286/100)/$C$269</f>
        <v>0</v>
      </c>
      <c r="FH287" s="578">
        <f>(FH265/FH286/100)/$C$269</f>
        <v>0</v>
      </c>
      <c r="FO287" s="578">
        <f>(FO265/FO286/100)/$C$269</f>
        <v>0</v>
      </c>
      <c r="FV287" s="578">
        <f>(FV265/FV286/100)/$C$269</f>
        <v>0</v>
      </c>
    </row>
    <row r="288" spans="2:178" outlineLevel="1" x14ac:dyDescent="0.3">
      <c r="B288" s="279" t="s">
        <v>56</v>
      </c>
      <c r="C288" s="280" t="s">
        <v>413</v>
      </c>
      <c r="AZ288" s="398"/>
      <c r="BG288" s="398">
        <f>(BG266/BG286/100)/$C$269</f>
        <v>6.3096113718437031E-3</v>
      </c>
      <c r="BN288" s="398">
        <f>(BN266/BN286/100)/$C$269</f>
        <v>1.3953735747850967E-2</v>
      </c>
      <c r="BU288" s="398">
        <f>(BU266/BU286/100)/$C$269</f>
        <v>6.820592943713121E-3</v>
      </c>
      <c r="CB288" s="398">
        <f>(CB266/CB286/100)/$C$269</f>
        <v>0</v>
      </c>
      <c r="CI288" s="398">
        <f>(CI266/CI286/100)/$C$269</f>
        <v>0</v>
      </c>
      <c r="CP288" s="398">
        <f>(CP266/CP286/100)/$C$269</f>
        <v>0</v>
      </c>
      <c r="CW288" s="398">
        <f>(CW266/CW286/100)/$C$269</f>
        <v>0</v>
      </c>
      <c r="CZ288" s="398"/>
      <c r="DD288" s="578">
        <f>(DD266/DD286/100)/$C$269</f>
        <v>0</v>
      </c>
      <c r="DG288" s="398"/>
      <c r="DK288" s="578">
        <f>(DK266/DK286/100)/$C$269</f>
        <v>0</v>
      </c>
      <c r="DN288" s="398"/>
      <c r="DR288" s="578">
        <f>(DR266/DR286/100)/$C$269</f>
        <v>0</v>
      </c>
      <c r="DU288" s="398"/>
      <c r="DY288" s="578">
        <f>(DY266/DY286/100)/$C$269</f>
        <v>0</v>
      </c>
      <c r="EB288" s="398"/>
      <c r="EF288" s="578">
        <f>(EF266/EF286/100)/$C$269</f>
        <v>0</v>
      </c>
      <c r="EI288" s="398"/>
      <c r="EM288" s="578">
        <f>(EM266/EM286/100)/$C$269</f>
        <v>0</v>
      </c>
      <c r="EP288" s="398"/>
      <c r="ET288" s="578">
        <f>(ET266/ET286/100)/$C$269</f>
        <v>0</v>
      </c>
      <c r="FA288" s="578">
        <f>(FA266/FA286/100)/$C$269</f>
        <v>0</v>
      </c>
      <c r="FH288" s="578">
        <f>(FH266/FH286/100)/$C$269</f>
        <v>0</v>
      </c>
      <c r="FO288" s="578">
        <f>(FO266/FO286/100)/$C$269</f>
        <v>0</v>
      </c>
      <c r="FV288" s="578">
        <f>(FV266/FV286/100)/$C$269</f>
        <v>0</v>
      </c>
    </row>
    <row r="289" spans="2:178" outlineLevel="1" x14ac:dyDescent="0.3">
      <c r="B289" s="279" t="s">
        <v>58</v>
      </c>
      <c r="C289" s="280" t="s">
        <v>413</v>
      </c>
      <c r="AZ289" s="398"/>
      <c r="BG289" s="398">
        <f>+BG288+BG287</f>
        <v>1.1041819900726481E-2</v>
      </c>
      <c r="BN289" s="398">
        <f>+BN288+BN287</f>
        <v>2.1802712106017134E-2</v>
      </c>
      <c r="BU289" s="398">
        <f>+BU288+BU287</f>
        <v>1.7671536263256724E-2</v>
      </c>
      <c r="CB289" s="398">
        <f>+CB288+CB287</f>
        <v>1.3989540084210411E-2</v>
      </c>
      <c r="CI289" s="398">
        <f>+CI288+CI287</f>
        <v>1.3699963093020479E-2</v>
      </c>
      <c r="CP289" s="398">
        <f>+CP288+CP287</f>
        <v>1.4026368731633349E-2</v>
      </c>
      <c r="CW289" s="398">
        <f>+CW288+CW287</f>
        <v>1.3342872066091804E-2</v>
      </c>
      <c r="CZ289" s="398"/>
      <c r="DD289" s="578">
        <f>+DD288+DD287</f>
        <v>3.9537152199517756E-3</v>
      </c>
      <c r="DG289" s="398"/>
      <c r="DK289" s="578">
        <f>+DK288+DK287</f>
        <v>0</v>
      </c>
      <c r="DN289" s="398"/>
      <c r="DR289" s="578">
        <f>+DR288+DR287</f>
        <v>2.5669073540526253E-2</v>
      </c>
      <c r="DU289" s="398"/>
      <c r="DY289" s="578">
        <f>+DY288+DY287</f>
        <v>0</v>
      </c>
      <c r="EB289" s="398"/>
      <c r="EF289" s="578">
        <f>+EF288+EF287</f>
        <v>0</v>
      </c>
      <c r="EI289" s="398"/>
      <c r="EM289" s="578">
        <f>+EM288+EM287</f>
        <v>0</v>
      </c>
      <c r="EP289" s="398"/>
      <c r="ET289" s="578">
        <f>+ET288+ET287</f>
        <v>0</v>
      </c>
      <c r="FA289" s="578">
        <f>+FA288+FA287</f>
        <v>0</v>
      </c>
      <c r="FH289" s="578">
        <f>+FH288+FH287</f>
        <v>0</v>
      </c>
      <c r="FO289" s="578">
        <f>+FO288+FO287</f>
        <v>0</v>
      </c>
      <c r="FV289" s="578">
        <f>+FV288+FV287</f>
        <v>0</v>
      </c>
    </row>
    <row r="290" spans="2:178" outlineLevel="1" x14ac:dyDescent="0.3">
      <c r="B290" s="253" t="s">
        <v>614</v>
      </c>
      <c r="C290" s="280" t="s">
        <v>226</v>
      </c>
      <c r="D290" s="281">
        <f>+D103-D291</f>
        <v>92.1</v>
      </c>
      <c r="E290" s="281">
        <f>+E103-E291</f>
        <v>81.099999999999994</v>
      </c>
      <c r="F290" s="281"/>
      <c r="G290" s="281">
        <f>+G103-G291</f>
        <v>69.200000000000017</v>
      </c>
      <c r="H290" s="281">
        <f>+H103-H291</f>
        <v>69.099999999999994</v>
      </c>
      <c r="I290" s="281"/>
      <c r="J290" s="281">
        <f>+J103-J291</f>
        <v>280.70000000000005</v>
      </c>
      <c r="K290" s="281">
        <f>+K103-K291</f>
        <v>96.1</v>
      </c>
      <c r="L290" s="281">
        <f>+L103-L291</f>
        <v>88.2</v>
      </c>
      <c r="M290" s="281"/>
      <c r="N290" s="281">
        <f>+N103-N291</f>
        <v>64.099999999999994</v>
      </c>
      <c r="O290" s="281">
        <f>+O103-O291</f>
        <v>70.5</v>
      </c>
      <c r="P290" s="281"/>
      <c r="Q290" s="281">
        <f>+Q103-Q291</f>
        <v>318.89999999999992</v>
      </c>
      <c r="R290" s="281">
        <f>+R103-R291</f>
        <v>107.4</v>
      </c>
      <c r="S290" s="281">
        <f>+S103-S291</f>
        <v>76.600000000000009</v>
      </c>
      <c r="T290" s="281"/>
      <c r="U290" s="281">
        <f>+U103-U291</f>
        <v>58.9</v>
      </c>
      <c r="V290" s="281">
        <f>+V103-V291</f>
        <v>44.300000000000004</v>
      </c>
      <c r="W290" s="281"/>
      <c r="X290" s="281">
        <f>+X103-X291</f>
        <v>287.2</v>
      </c>
      <c r="Y290" s="281">
        <f>+Y103-Y291</f>
        <v>65.499999999999986</v>
      </c>
      <c r="Z290" s="281">
        <f>+Z103-Z291</f>
        <v>56.699999999999996</v>
      </c>
      <c r="AA290" s="281"/>
      <c r="AB290" s="281">
        <f>+AB103-AB291</f>
        <v>31.599999999999994</v>
      </c>
      <c r="AC290" s="281">
        <f>+AC103-AC291</f>
        <v>17.100000000000001</v>
      </c>
      <c r="AD290" s="281"/>
      <c r="AE290" s="281">
        <f>+AE103-AE291</f>
        <v>170.9</v>
      </c>
      <c r="AF290" s="281">
        <f>+AF103-AF291</f>
        <v>63.800000000000011</v>
      </c>
      <c r="AG290" s="281">
        <f>+AG103-AG291</f>
        <v>62.800000000000011</v>
      </c>
      <c r="AH290" s="281"/>
      <c r="AI290" s="281">
        <f>+AI103-AI291</f>
        <v>43.800000000000004</v>
      </c>
      <c r="AJ290" s="281">
        <f>+AJ103-AJ291</f>
        <v>38.29999999999999</v>
      </c>
      <c r="AK290" s="281"/>
      <c r="AL290" s="281">
        <f>+AL103-AL291</f>
        <v>208.7</v>
      </c>
      <c r="AM290" s="281">
        <f>+AM103-AM291</f>
        <v>0.50000000000000533</v>
      </c>
      <c r="AN290" s="281">
        <f>+AN103-AN291</f>
        <v>42.099999999999994</v>
      </c>
      <c r="AO290" s="281"/>
      <c r="AP290" s="281">
        <f>+AP103-AP291</f>
        <v>30.199999999999996</v>
      </c>
      <c r="AQ290" s="281">
        <f>+AQ103-AQ291</f>
        <v>46.8</v>
      </c>
      <c r="AR290" s="281"/>
      <c r="AS290" s="281">
        <f>+AS103-AS291</f>
        <v>184.00000000000003</v>
      </c>
      <c r="AT290" s="281">
        <f>+AT103-AT291</f>
        <v>96.200000000000031</v>
      </c>
      <c r="AU290" s="281">
        <f>+AU103-AU291</f>
        <v>-26.800000000000004</v>
      </c>
      <c r="AV290" s="281"/>
      <c r="AW290" s="281">
        <f>+AW103-AW291</f>
        <v>72.900000000000006</v>
      </c>
      <c r="AX290" s="281">
        <f>+AX103-AX291</f>
        <v>40.899999999999977</v>
      </c>
      <c r="AY290" s="281"/>
      <c r="AZ290" s="281">
        <f>+AZ103-AZ291</f>
        <v>183.20000000000005</v>
      </c>
      <c r="BA290" s="281">
        <f>+BA103-BA291</f>
        <v>32.999999999999993</v>
      </c>
      <c r="BB290" s="281">
        <f>+BB103-BB291</f>
        <v>75.5</v>
      </c>
      <c r="BC290" s="281"/>
      <c r="BD290" s="281">
        <f>+BD103-BD291</f>
        <v>29.900000000000002</v>
      </c>
      <c r="BE290" s="281">
        <f>+BE103-BE291</f>
        <v>137.19999999999999</v>
      </c>
      <c r="BF290" s="281"/>
      <c r="BG290" s="281">
        <f>+BG103-BG291</f>
        <v>275.59999999999997</v>
      </c>
      <c r="BH290" s="281">
        <f>+BH103-BH291</f>
        <v>-22.699999999999982</v>
      </c>
      <c r="BI290" s="281">
        <f>+BI103-BI291</f>
        <v>77.100000000000009</v>
      </c>
      <c r="BJ290" s="281"/>
      <c r="BK290" s="281">
        <f>+BK103-BK291</f>
        <v>6.6999999999999975</v>
      </c>
      <c r="BL290" s="281">
        <f>+BL103-BL291</f>
        <v>-34.300000000000011</v>
      </c>
      <c r="BM290" s="281"/>
      <c r="BN290" s="281">
        <f>+BN103-BN291</f>
        <v>26.80000000000004</v>
      </c>
      <c r="BO290" s="281">
        <f>+BO103-BO291</f>
        <v>92.4</v>
      </c>
      <c r="BP290" s="281">
        <f>+BP103-BP291</f>
        <v>23.300000000000004</v>
      </c>
      <c r="BQ290" s="281"/>
      <c r="BR290" s="281">
        <f>+BR103-BR291</f>
        <v>8.0000000000000071</v>
      </c>
      <c r="BS290" s="281">
        <f>+BS103-BS291</f>
        <v>110.39999999999998</v>
      </c>
      <c r="BT290" s="281"/>
      <c r="BU290" s="281">
        <f>+BU103-BU291</f>
        <v>234.1</v>
      </c>
      <c r="BV290" s="281">
        <f>+BV103-BV291</f>
        <v>92.8</v>
      </c>
      <c r="BW290" s="281">
        <f>+BW103-BW291</f>
        <v>30.600000000000005</v>
      </c>
      <c r="BX290" s="281"/>
      <c r="BY290" s="281">
        <f>+BY103-BY291</f>
        <v>112.8</v>
      </c>
      <c r="BZ290" s="281">
        <f>+BZ103-BZ291</f>
        <v>112.79999999999998</v>
      </c>
      <c r="CA290" s="281"/>
      <c r="CB290" s="281">
        <f>+CB103-CB291</f>
        <v>349</v>
      </c>
      <c r="CC290" s="281">
        <f>+CC103-CC291</f>
        <v>77.199999999999989</v>
      </c>
      <c r="CD290" s="281">
        <f>+CD103-CD291</f>
        <v>123.8</v>
      </c>
      <c r="CE290" s="281"/>
      <c r="CF290" s="281">
        <f>+CF103-CF291</f>
        <v>38.200000000000024</v>
      </c>
      <c r="CG290" s="281">
        <f>+CG103-CG291</f>
        <v>88.699999999999974</v>
      </c>
      <c r="CH290" s="281"/>
      <c r="CI290" s="281">
        <f>+CI103-CI291</f>
        <v>327.9</v>
      </c>
      <c r="CJ290" s="281">
        <f>+CJ103-CJ291</f>
        <v>92.800000000000011</v>
      </c>
      <c r="CK290" s="281">
        <f>+CK103-CK291</f>
        <v>112.99999999999997</v>
      </c>
      <c r="CL290" s="281"/>
      <c r="CM290" s="281">
        <f>+CM103-CM291</f>
        <v>86.899999999999977</v>
      </c>
      <c r="CN290" s="281">
        <f>+CN103-CN291</f>
        <v>241.99999999999997</v>
      </c>
      <c r="CO290" s="281"/>
      <c r="CP290" s="320">
        <f>+CP103-CP291</f>
        <v>534.69999999999993</v>
      </c>
      <c r="CQ290" s="320">
        <f>+CQ103-CQ291</f>
        <v>96.4</v>
      </c>
      <c r="CR290" s="320">
        <f>+CR103-CR291</f>
        <v>118.30000000000003</v>
      </c>
      <c r="CS290" s="320"/>
      <c r="CT290" s="320">
        <f>+CT103-CT291</f>
        <v>88.6</v>
      </c>
      <c r="CU290" s="320">
        <f>+CU103-CU291</f>
        <v>99.999999999999986</v>
      </c>
      <c r="CV290" s="320"/>
      <c r="CW290" s="320">
        <f>+CW103-CW291</f>
        <v>403.29999999999995</v>
      </c>
      <c r="CX290" s="320">
        <f>+CX103-CX291</f>
        <v>128.10000000000002</v>
      </c>
      <c r="CY290" s="320">
        <f>+CY103-CY291</f>
        <v>129.69999999999999</v>
      </c>
      <c r="CZ290" s="320"/>
      <c r="DA290" s="320">
        <f>+DA103-DA291</f>
        <v>107.2</v>
      </c>
      <c r="DB290" s="320">
        <f>+DB103-DB291</f>
        <v>205.89999999999998</v>
      </c>
      <c r="DC290" s="320"/>
      <c r="DD290" s="583">
        <f t="shared" ref="DD290:FO290" si="1070">+DD103-DD291</f>
        <v>570.90000000000009</v>
      </c>
      <c r="DE290" s="320">
        <f t="shared" si="1070"/>
        <v>204.8</v>
      </c>
      <c r="DF290" s="320">
        <f t="shared" si="1070"/>
        <v>196.79999999999998</v>
      </c>
      <c r="DG290" s="320">
        <f t="shared" si="1070"/>
        <v>401.6</v>
      </c>
      <c r="DH290" s="320">
        <f>+DH103-DH291</f>
        <v>222.60000000000002</v>
      </c>
      <c r="DI290" s="320">
        <f>+DI103-DI291</f>
        <v>199.99999999999997</v>
      </c>
      <c r="DJ290" s="320"/>
      <c r="DK290" s="583">
        <f t="shared" ref="DK290:DP290" si="1071">+DK103-DK291</f>
        <v>824.2</v>
      </c>
      <c r="DL290" s="344">
        <f t="shared" si="1071"/>
        <v>193.40000000000003</v>
      </c>
      <c r="DM290" s="320">
        <f t="shared" si="1071"/>
        <v>210.5</v>
      </c>
      <c r="DN290" s="320">
        <f t="shared" si="1071"/>
        <v>403.90000000000003</v>
      </c>
      <c r="DO290" s="320">
        <f t="shared" si="1071"/>
        <v>222.8</v>
      </c>
      <c r="DP290" s="320">
        <f t="shared" si="1071"/>
        <v>350.49999999999994</v>
      </c>
      <c r="DQ290" s="320"/>
      <c r="DR290" s="583">
        <f t="shared" ref="DR290:DW290" si="1072">+DR103-DR291</f>
        <v>977.2</v>
      </c>
      <c r="DS290" s="320">
        <f t="shared" si="1072"/>
        <v>199.8</v>
      </c>
      <c r="DT290" s="320">
        <f t="shared" si="1072"/>
        <v>226.9</v>
      </c>
      <c r="DU290" s="320">
        <f t="shared" si="1072"/>
        <v>426.70000000000005</v>
      </c>
      <c r="DV290" s="320">
        <f t="shared" si="1072"/>
        <v>194.49999999999997</v>
      </c>
      <c r="DW290" s="320">
        <f t="shared" si="1072"/>
        <v>251.99999999999989</v>
      </c>
      <c r="DX290" s="320"/>
      <c r="DY290" s="583">
        <f t="shared" ref="DY290:ED290" si="1073">+DY103-DY291</f>
        <v>873.19999999999993</v>
      </c>
      <c r="DZ290" s="320">
        <f t="shared" si="1073"/>
        <v>260.50000000000011</v>
      </c>
      <c r="EA290" s="320">
        <f t="shared" si="1073"/>
        <v>267.19999999999993</v>
      </c>
      <c r="EB290" s="320">
        <f t="shared" si="1073"/>
        <v>527.69999999999993</v>
      </c>
      <c r="EC290" s="320">
        <f t="shared" si="1073"/>
        <v>264.10000000000002</v>
      </c>
      <c r="ED290" s="320">
        <f t="shared" si="1073"/>
        <v>346.30000000000013</v>
      </c>
      <c r="EE290" s="320"/>
      <c r="EF290" s="583">
        <f t="shared" ref="EF290:EK290" si="1074">+EF103-EF291</f>
        <v>1138.1000000000001</v>
      </c>
      <c r="EG290" s="320">
        <f t="shared" si="1074"/>
        <v>268.7</v>
      </c>
      <c r="EH290" s="320">
        <f t="shared" si="1074"/>
        <v>296.79999999999995</v>
      </c>
      <c r="EI290" s="320">
        <f t="shared" si="1074"/>
        <v>565.50000000000011</v>
      </c>
      <c r="EJ290" s="320">
        <f t="shared" si="1074"/>
        <v>228.2</v>
      </c>
      <c r="EK290" s="320">
        <f t="shared" si="1074"/>
        <v>288.99999999999989</v>
      </c>
      <c r="EL290" s="320"/>
      <c r="EM290" s="583">
        <f>+EM103-EM291</f>
        <v>1082.7</v>
      </c>
      <c r="EN290" s="320">
        <f t="shared" ref="EN290:EP290" si="1075">+EN103-EN291</f>
        <v>191.5</v>
      </c>
      <c r="EO290" s="320">
        <f t="shared" si="1075"/>
        <v>465.40000000000003</v>
      </c>
      <c r="EP290" s="320">
        <f t="shared" si="1075"/>
        <v>656.90000000000009</v>
      </c>
      <c r="EQ290" s="726">
        <f t="shared" ref="EQ290" si="1076">+EQ103-EQ291</f>
        <v>313.39999999999998</v>
      </c>
      <c r="ER290" s="320">
        <f t="shared" si="1070"/>
        <v>281.50076295311476</v>
      </c>
      <c r="ES290" s="320">
        <f t="shared" si="1070"/>
        <v>594.90076295311474</v>
      </c>
      <c r="ET290" s="733">
        <f t="shared" si="1070"/>
        <v>1251.8007629531148</v>
      </c>
      <c r="EU290" s="320">
        <f t="shared" si="1070"/>
        <v>291.52904129152887</v>
      </c>
      <c r="EV290" s="320">
        <f t="shared" si="1070"/>
        <v>285.90332114078336</v>
      </c>
      <c r="EW290" s="320">
        <f t="shared" si="1070"/>
        <v>577.43236243231217</v>
      </c>
      <c r="EX290" s="320">
        <f t="shared" si="1070"/>
        <v>298.07305926933333</v>
      </c>
      <c r="EY290" s="320">
        <f t="shared" si="1070"/>
        <v>337.35544264978796</v>
      </c>
      <c r="EZ290" s="320">
        <f t="shared" si="1070"/>
        <v>635.42850191912123</v>
      </c>
      <c r="FA290" s="583">
        <f t="shared" si="1070"/>
        <v>1212.8608643514335</v>
      </c>
      <c r="FB290" s="320">
        <f t="shared" si="1070"/>
        <v>331.38108884513639</v>
      </c>
      <c r="FC290" s="320">
        <f t="shared" si="1070"/>
        <v>332.5931565527747</v>
      </c>
      <c r="FD290" s="320">
        <f t="shared" si="1070"/>
        <v>663.97424539791109</v>
      </c>
      <c r="FE290" s="320">
        <f t="shared" si="1070"/>
        <v>354.58336788156612</v>
      </c>
      <c r="FF290" s="320">
        <f t="shared" si="1070"/>
        <v>382.71937304594633</v>
      </c>
      <c r="FG290" s="320">
        <f t="shared" si="1070"/>
        <v>737.30274092751245</v>
      </c>
      <c r="FH290" s="583">
        <f t="shared" si="1070"/>
        <v>1401.2769863254236</v>
      </c>
      <c r="FI290" s="320">
        <f t="shared" si="1070"/>
        <v>375.66983756292564</v>
      </c>
      <c r="FJ290" s="320">
        <f t="shared" si="1070"/>
        <v>368.25395353192397</v>
      </c>
      <c r="FK290" s="320">
        <f t="shared" si="1070"/>
        <v>743.92379109484955</v>
      </c>
      <c r="FL290" s="320">
        <f t="shared" si="1070"/>
        <v>389.88688011415081</v>
      </c>
      <c r="FM290" s="320">
        <f t="shared" si="1070"/>
        <v>416.06745385168267</v>
      </c>
      <c r="FN290" s="320">
        <f t="shared" si="1070"/>
        <v>805.95433396583348</v>
      </c>
      <c r="FO290" s="583">
        <f t="shared" si="1070"/>
        <v>1549.878125060683</v>
      </c>
      <c r="FP290" s="320">
        <f t="shared" ref="FP290:FV290" si="1077">+FP103-FP291</f>
        <v>413.1122593136547</v>
      </c>
      <c r="FQ290" s="320">
        <f t="shared" si="1077"/>
        <v>413.23890466360547</v>
      </c>
      <c r="FR290" s="320">
        <f t="shared" si="1077"/>
        <v>826.35116397726017</v>
      </c>
      <c r="FS290" s="320">
        <f t="shared" si="1077"/>
        <v>434.71131514607515</v>
      </c>
      <c r="FT290" s="320">
        <f t="shared" si="1077"/>
        <v>459.58932080436557</v>
      </c>
      <c r="FU290" s="320">
        <f t="shared" si="1077"/>
        <v>894.30063595044078</v>
      </c>
      <c r="FV290" s="583">
        <f t="shared" si="1077"/>
        <v>1720.6517999277009</v>
      </c>
    </row>
    <row r="291" spans="2:178" outlineLevel="1" x14ac:dyDescent="0.3">
      <c r="B291" s="253" t="s">
        <v>615</v>
      </c>
      <c r="C291" s="280" t="s">
        <v>226</v>
      </c>
      <c r="D291" s="281">
        <f>+D30</f>
        <v>9.4</v>
      </c>
      <c r="E291" s="281">
        <f>+E30</f>
        <v>13.099999999999998</v>
      </c>
      <c r="F291" s="281"/>
      <c r="G291" s="281">
        <f>+G30</f>
        <v>11.299999999999999</v>
      </c>
      <c r="H291" s="281">
        <f>+H30</f>
        <v>11.499999999999998</v>
      </c>
      <c r="I291" s="281"/>
      <c r="J291" s="281">
        <f>+J30</f>
        <v>45.3</v>
      </c>
      <c r="K291" s="281">
        <f>+K30</f>
        <v>11</v>
      </c>
      <c r="L291" s="281">
        <f>+L30</f>
        <v>13.2</v>
      </c>
      <c r="M291" s="281"/>
      <c r="N291" s="281">
        <f>+N30</f>
        <v>12.799999999999999</v>
      </c>
      <c r="O291" s="281">
        <f>+O30</f>
        <v>13.6</v>
      </c>
      <c r="P291" s="281"/>
      <c r="Q291" s="281">
        <f>+Q30</f>
        <v>50.699999999999996</v>
      </c>
      <c r="R291" s="281">
        <f>+R30</f>
        <v>14.2</v>
      </c>
      <c r="S291" s="281">
        <f>+S30</f>
        <v>13.5</v>
      </c>
      <c r="T291" s="281"/>
      <c r="U291" s="281">
        <f>+U30</f>
        <v>14.4</v>
      </c>
      <c r="V291" s="281">
        <f>+V30</f>
        <v>14.4</v>
      </c>
      <c r="W291" s="281"/>
      <c r="X291" s="281">
        <f>+X30</f>
        <v>56.5</v>
      </c>
      <c r="Y291" s="281">
        <f>+Y30</f>
        <v>14</v>
      </c>
      <c r="Z291" s="281">
        <f>+Z30</f>
        <v>14.6</v>
      </c>
      <c r="AA291" s="281"/>
      <c r="AB291" s="281">
        <f>+AB30</f>
        <v>13</v>
      </c>
      <c r="AC291" s="281">
        <f>+AC30</f>
        <v>14.799999999999999</v>
      </c>
      <c r="AD291" s="281"/>
      <c r="AE291" s="281">
        <f>+AE30</f>
        <v>56.4</v>
      </c>
      <c r="AF291" s="281">
        <f>+AF30</f>
        <v>15</v>
      </c>
      <c r="AG291" s="281">
        <f>+AG30</f>
        <v>14.8</v>
      </c>
      <c r="AH291" s="281"/>
      <c r="AI291" s="281">
        <f>+AI30</f>
        <v>15.799999999999999</v>
      </c>
      <c r="AJ291" s="281">
        <f>+AJ30</f>
        <v>16.100000000000001</v>
      </c>
      <c r="AK291" s="281"/>
      <c r="AL291" s="281">
        <f>+AL30</f>
        <v>61.7</v>
      </c>
      <c r="AM291" s="281">
        <f>+AM30</f>
        <v>15.4</v>
      </c>
      <c r="AN291" s="281">
        <f>+AN30</f>
        <v>15.6</v>
      </c>
      <c r="AO291" s="281"/>
      <c r="AP291" s="281">
        <f>+AP30</f>
        <v>15.899999999999999</v>
      </c>
      <c r="AQ291" s="281">
        <f>+AQ30</f>
        <v>16</v>
      </c>
      <c r="AR291" s="281"/>
      <c r="AS291" s="281">
        <f>+AS30</f>
        <v>62.9</v>
      </c>
      <c r="AT291" s="281">
        <f>+AT30</f>
        <v>16.2</v>
      </c>
      <c r="AU291" s="281">
        <f>+AU30</f>
        <v>14.6</v>
      </c>
      <c r="AV291" s="281"/>
      <c r="AW291" s="281">
        <f>+AW30</f>
        <v>17</v>
      </c>
      <c r="AX291" s="281">
        <f>+AX30</f>
        <v>17.399999999999999</v>
      </c>
      <c r="AY291" s="281"/>
      <c r="AZ291" s="281">
        <f>+AZ30</f>
        <v>65.2</v>
      </c>
      <c r="BA291" s="281">
        <f>+BA30</f>
        <v>15.4</v>
      </c>
      <c r="BB291" s="281">
        <f>+BB30</f>
        <v>15.3</v>
      </c>
      <c r="BC291" s="281"/>
      <c r="BD291" s="281">
        <f>+BD30</f>
        <v>17.3</v>
      </c>
      <c r="BE291" s="281">
        <f>+BE30</f>
        <v>13.200000000000001</v>
      </c>
      <c r="BF291" s="281"/>
      <c r="BG291" s="281">
        <f>+BG30</f>
        <v>61.2</v>
      </c>
      <c r="BH291" s="281">
        <f>+BH30</f>
        <v>15.4</v>
      </c>
      <c r="BI291" s="281">
        <f>+BI30</f>
        <v>15.200000000000001</v>
      </c>
      <c r="BJ291" s="281"/>
      <c r="BK291" s="281">
        <f>+BK30</f>
        <v>15.6</v>
      </c>
      <c r="BL291" s="281">
        <f>+BL30</f>
        <v>15.200000000000001</v>
      </c>
      <c r="BM291" s="281"/>
      <c r="BN291" s="281">
        <f>+BN30</f>
        <v>61.400000000000006</v>
      </c>
      <c r="BO291" s="281">
        <f>+BO30</f>
        <v>16.600000000000001</v>
      </c>
      <c r="BP291" s="281">
        <f>+BP30</f>
        <v>17.5</v>
      </c>
      <c r="BQ291" s="281"/>
      <c r="BR291" s="281">
        <f>+BR30</f>
        <v>17.899999999999999</v>
      </c>
      <c r="BS291" s="281">
        <f>+BS30</f>
        <v>18.899999999999999</v>
      </c>
      <c r="BT291" s="281"/>
      <c r="BU291" s="281">
        <f>+BU30</f>
        <v>70.900000000000006</v>
      </c>
      <c r="BV291" s="281">
        <f>+BV30</f>
        <v>18.2</v>
      </c>
      <c r="BW291" s="281">
        <f>+BW30</f>
        <v>17.599999999999998</v>
      </c>
      <c r="BX291" s="281"/>
      <c r="BY291" s="281">
        <f>+BY30</f>
        <v>19.299999999999997</v>
      </c>
      <c r="BZ291" s="281">
        <f>+BZ30</f>
        <v>26.900000000000006</v>
      </c>
      <c r="CA291" s="281"/>
      <c r="CB291" s="281">
        <f>+CB30</f>
        <v>82</v>
      </c>
      <c r="CC291" s="281">
        <f>+CC30</f>
        <v>19.5</v>
      </c>
      <c r="CD291" s="281">
        <f>+CD30</f>
        <v>20.3</v>
      </c>
      <c r="CE291" s="281"/>
      <c r="CF291" s="281">
        <f>+CF30</f>
        <v>22.6</v>
      </c>
      <c r="CG291" s="281">
        <f>+CG30</f>
        <v>20.7</v>
      </c>
      <c r="CH291" s="281"/>
      <c r="CI291" s="281">
        <f>+CI30</f>
        <v>83.1</v>
      </c>
      <c r="CJ291" s="281">
        <f>+CJ30</f>
        <v>21.800000000000004</v>
      </c>
      <c r="CK291" s="281">
        <f>+CK30</f>
        <v>23.4</v>
      </c>
      <c r="CL291" s="281"/>
      <c r="CM291" s="281">
        <f>+CM30</f>
        <v>23.400000000000002</v>
      </c>
      <c r="CN291" s="281">
        <f>+CN30</f>
        <v>23.4</v>
      </c>
      <c r="CO291" s="281"/>
      <c r="CP291" s="320">
        <f>+CP30</f>
        <v>92</v>
      </c>
      <c r="CQ291" s="320">
        <f>+CQ30</f>
        <v>27.3</v>
      </c>
      <c r="CR291" s="320">
        <f>+CR30</f>
        <v>30.8</v>
      </c>
      <c r="CS291" s="320"/>
      <c r="CT291" s="320">
        <f>+CT30</f>
        <v>29.799999999999997</v>
      </c>
      <c r="CU291" s="320">
        <f>+CU30</f>
        <v>30.7</v>
      </c>
      <c r="CV291" s="320"/>
      <c r="CW291" s="320">
        <f>+CW30</f>
        <v>118.6</v>
      </c>
      <c r="CX291" s="320">
        <f>+CX30</f>
        <v>31.599999999999998</v>
      </c>
      <c r="CY291" s="320">
        <f>+CY30</f>
        <v>32</v>
      </c>
      <c r="CZ291" s="320"/>
      <c r="DA291" s="320">
        <f>+DA30</f>
        <v>30.2</v>
      </c>
      <c r="DB291" s="320">
        <f>+DB30</f>
        <v>32</v>
      </c>
      <c r="DC291" s="320"/>
      <c r="DD291" s="583">
        <f t="shared" ref="DD291:DI291" si="1078">+DD30</f>
        <v>125.80000000000001</v>
      </c>
      <c r="DE291" s="320">
        <f t="shared" si="1078"/>
        <v>31.200000000000003</v>
      </c>
      <c r="DF291" s="320">
        <f t="shared" si="1078"/>
        <v>31.9</v>
      </c>
      <c r="DG291" s="320">
        <f t="shared" si="1078"/>
        <v>63.1</v>
      </c>
      <c r="DH291" s="320">
        <f t="shared" si="1078"/>
        <v>34</v>
      </c>
      <c r="DI291" s="320">
        <f t="shared" si="1078"/>
        <v>37.9</v>
      </c>
      <c r="DJ291" s="320"/>
      <c r="DK291" s="583">
        <f t="shared" ref="DK291:DP291" si="1079">+DK30</f>
        <v>135</v>
      </c>
      <c r="DL291" s="344">
        <f t="shared" si="1079"/>
        <v>38.4</v>
      </c>
      <c r="DM291" s="320">
        <f t="shared" si="1079"/>
        <v>39.9</v>
      </c>
      <c r="DN291" s="320">
        <f t="shared" si="1079"/>
        <v>78.3</v>
      </c>
      <c r="DO291" s="320">
        <f t="shared" si="1079"/>
        <v>41.199999999999996</v>
      </c>
      <c r="DP291" s="320">
        <f t="shared" si="1079"/>
        <v>42.300000000000011</v>
      </c>
      <c r="DQ291" s="320"/>
      <c r="DR291" s="583">
        <f t="shared" ref="DR291:DW291" si="1080">+DR30</f>
        <v>161.80000000000001</v>
      </c>
      <c r="DS291" s="320">
        <f t="shared" si="1080"/>
        <v>40.5</v>
      </c>
      <c r="DT291" s="320">
        <f t="shared" si="1080"/>
        <v>42.6</v>
      </c>
      <c r="DU291" s="320">
        <f t="shared" si="1080"/>
        <v>83.100000000000009</v>
      </c>
      <c r="DV291" s="320">
        <f t="shared" si="1080"/>
        <v>43.5</v>
      </c>
      <c r="DW291" s="320">
        <f t="shared" si="1080"/>
        <v>45.999999999999993</v>
      </c>
      <c r="DX291" s="320"/>
      <c r="DY291" s="583">
        <f t="shared" ref="DY291:ED291" si="1081">+DY30</f>
        <v>172.6</v>
      </c>
      <c r="DZ291" s="320">
        <f t="shared" si="1081"/>
        <v>44.900000000000006</v>
      </c>
      <c r="EA291" s="320">
        <f t="shared" si="1081"/>
        <v>45.5</v>
      </c>
      <c r="EB291" s="320">
        <f t="shared" si="1081"/>
        <v>90.399999999999991</v>
      </c>
      <c r="EC291" s="320">
        <f t="shared" si="1081"/>
        <v>46.300000000000004</v>
      </c>
      <c r="ED291" s="320">
        <f t="shared" si="1081"/>
        <v>47.600000000000023</v>
      </c>
      <c r="EE291" s="320"/>
      <c r="EF291" s="583">
        <f t="shared" ref="EF291:EK291" si="1082">+EF30</f>
        <v>184.3</v>
      </c>
      <c r="EG291" s="320">
        <f t="shared" si="1082"/>
        <v>49.8</v>
      </c>
      <c r="EH291" s="320">
        <f t="shared" si="1082"/>
        <v>51.900000000000006</v>
      </c>
      <c r="EI291" s="320">
        <f t="shared" si="1082"/>
        <v>101.7</v>
      </c>
      <c r="EJ291" s="320">
        <f t="shared" si="1082"/>
        <v>55.100000000000009</v>
      </c>
      <c r="EK291" s="320">
        <f t="shared" si="1082"/>
        <v>59.40000000000002</v>
      </c>
      <c r="EL291" s="320"/>
      <c r="EM291" s="583">
        <f t="shared" ref="EM291:FV291" si="1083">+EM30</f>
        <v>216.20000000000005</v>
      </c>
      <c r="EN291" s="320">
        <f t="shared" si="1083"/>
        <v>56.5</v>
      </c>
      <c r="EO291" s="320">
        <f t="shared" si="1083"/>
        <v>77.7</v>
      </c>
      <c r="EP291" s="320">
        <f t="shared" si="1083"/>
        <v>134.19999999999999</v>
      </c>
      <c r="EQ291" s="726">
        <f t="shared" ref="EQ291" si="1084">+EQ30</f>
        <v>89.999999999999972</v>
      </c>
      <c r="ER291" s="320">
        <f t="shared" si="1083"/>
        <v>95.268000000000043</v>
      </c>
      <c r="ES291" s="320">
        <f t="shared" si="1083"/>
        <v>185.268</v>
      </c>
      <c r="ET291" s="733">
        <f t="shared" si="1083"/>
        <v>319.46799999999996</v>
      </c>
      <c r="EU291" s="320">
        <f t="shared" si="1083"/>
        <v>83.578679999999991</v>
      </c>
      <c r="EV291" s="320">
        <f t="shared" si="1083"/>
        <v>99.78877039999999</v>
      </c>
      <c r="EW291" s="320">
        <f t="shared" si="1083"/>
        <v>183.3674504</v>
      </c>
      <c r="EX291" s="320">
        <f t="shared" si="1083"/>
        <v>92.563958511999999</v>
      </c>
      <c r="EY291" s="320">
        <f t="shared" si="1083"/>
        <v>90.363902267360004</v>
      </c>
      <c r="EZ291" s="320">
        <f t="shared" si="1083"/>
        <v>182.92786077936</v>
      </c>
      <c r="FA291" s="583">
        <f t="shared" si="1083"/>
        <v>366.29531117936</v>
      </c>
      <c r="FB291" s="320">
        <f t="shared" si="1083"/>
        <v>85.332330399999989</v>
      </c>
      <c r="FC291" s="320">
        <f t="shared" si="1083"/>
        <v>101.805446012</v>
      </c>
      <c r="FD291" s="320">
        <f t="shared" si="1083"/>
        <v>187.13777641199997</v>
      </c>
      <c r="FE291" s="320">
        <f t="shared" si="1083"/>
        <v>94.992764767359972</v>
      </c>
      <c r="FF291" s="320">
        <f t="shared" si="1083"/>
        <v>92.741879585380815</v>
      </c>
      <c r="FG291" s="320">
        <f t="shared" si="1083"/>
        <v>187.73464435274079</v>
      </c>
      <c r="FH291" s="583">
        <f t="shared" si="1083"/>
        <v>374.87242076474081</v>
      </c>
      <c r="FI291" s="320">
        <f t="shared" si="1083"/>
        <v>87.127116911999991</v>
      </c>
      <c r="FJ291" s="320">
        <f t="shared" si="1083"/>
        <v>103.86775895485999</v>
      </c>
      <c r="FK291" s="320">
        <f t="shared" si="1083"/>
        <v>190.99487586686001</v>
      </c>
      <c r="FL291" s="320">
        <f t="shared" si="1083"/>
        <v>97.486463647880782</v>
      </c>
      <c r="FM291" s="320">
        <f t="shared" si="1083"/>
        <v>95.183603979192227</v>
      </c>
      <c r="FN291" s="320">
        <f t="shared" si="1083"/>
        <v>192.67006762707302</v>
      </c>
      <c r="FO291" s="583">
        <f t="shared" si="1083"/>
        <v>383.66494349393304</v>
      </c>
      <c r="FP291" s="320">
        <f t="shared" si="1083"/>
        <v>88.96408635585999</v>
      </c>
      <c r="FQ291" s="320">
        <f t="shared" si="1083"/>
        <v>105.97683923256828</v>
      </c>
      <c r="FR291" s="320">
        <f t="shared" si="1083"/>
        <v>194.94092558842826</v>
      </c>
      <c r="FS291" s="320">
        <f t="shared" si="1083"/>
        <v>100.04680264325469</v>
      </c>
      <c r="FT291" s="320">
        <f t="shared" si="1083"/>
        <v>97.690798054974238</v>
      </c>
      <c r="FU291" s="320">
        <f t="shared" si="1083"/>
        <v>197.73760069822893</v>
      </c>
      <c r="FV291" s="583">
        <f t="shared" si="1083"/>
        <v>392.67852628665719</v>
      </c>
    </row>
    <row r="292" spans="2:178" outlineLevel="1" x14ac:dyDescent="0.3">
      <c r="B292" s="253" t="s">
        <v>616</v>
      </c>
      <c r="C292" s="280" t="s">
        <v>226</v>
      </c>
      <c r="D292" s="288" t="s">
        <v>617</v>
      </c>
      <c r="E292" s="288" t="s">
        <v>617</v>
      </c>
      <c r="G292" s="288" t="s">
        <v>617</v>
      </c>
      <c r="H292" s="288" t="s">
        <v>617</v>
      </c>
      <c r="J292" s="288" t="s">
        <v>617</v>
      </c>
      <c r="K292" s="288" t="s">
        <v>617</v>
      </c>
      <c r="L292" s="288" t="s">
        <v>617</v>
      </c>
      <c r="N292" s="288" t="s">
        <v>617</v>
      </c>
      <c r="O292" s="288" t="s">
        <v>617</v>
      </c>
      <c r="Q292" s="288" t="s">
        <v>617</v>
      </c>
      <c r="R292" s="288" t="s">
        <v>617</v>
      </c>
      <c r="S292" s="288" t="s">
        <v>617</v>
      </c>
      <c r="U292" s="288" t="s">
        <v>617</v>
      </c>
      <c r="V292" s="288" t="s">
        <v>617</v>
      </c>
      <c r="X292" s="288" t="s">
        <v>617</v>
      </c>
      <c r="Y292" s="288" t="s">
        <v>617</v>
      </c>
      <c r="Z292" s="288" t="s">
        <v>617</v>
      </c>
      <c r="AB292" s="288" t="s">
        <v>617</v>
      </c>
      <c r="AC292" s="288" t="s">
        <v>617</v>
      </c>
      <c r="AE292" s="288" t="s">
        <v>617</v>
      </c>
      <c r="AF292" s="288" t="s">
        <v>617</v>
      </c>
      <c r="AG292" s="288" t="s">
        <v>617</v>
      </c>
      <c r="AI292" s="288" t="s">
        <v>617</v>
      </c>
      <c r="AJ292" s="288" t="s">
        <v>617</v>
      </c>
      <c r="AL292" s="288" t="s">
        <v>617</v>
      </c>
      <c r="AM292" s="288" t="s">
        <v>617</v>
      </c>
      <c r="AN292" s="288" t="s">
        <v>617</v>
      </c>
      <c r="AP292" s="288" t="s">
        <v>617</v>
      </c>
      <c r="AQ292" s="288" t="s">
        <v>617</v>
      </c>
      <c r="AS292" s="288" t="s">
        <v>617</v>
      </c>
      <c r="AT292" s="288" t="s">
        <v>617</v>
      </c>
      <c r="AU292" s="288" t="s">
        <v>617</v>
      </c>
      <c r="AW292" s="288" t="s">
        <v>617</v>
      </c>
      <c r="AX292" s="288" t="s">
        <v>617</v>
      </c>
      <c r="AZ292" s="288" t="s">
        <v>617</v>
      </c>
      <c r="BA292" s="288" t="s">
        <v>617</v>
      </c>
      <c r="BB292" s="288" t="s">
        <v>617</v>
      </c>
      <c r="BD292" s="288" t="s">
        <v>617</v>
      </c>
      <c r="BE292" s="288" t="s">
        <v>617</v>
      </c>
      <c r="BG292" s="288" t="s">
        <v>617</v>
      </c>
      <c r="BH292" s="288" t="s">
        <v>617</v>
      </c>
      <c r="BI292" s="288" t="s">
        <v>617</v>
      </c>
      <c r="BK292" s="288" t="s">
        <v>617</v>
      </c>
      <c r="BL292" s="288" t="s">
        <v>617</v>
      </c>
      <c r="BN292" s="288" t="s">
        <v>617</v>
      </c>
      <c r="BO292" s="288" t="s">
        <v>617</v>
      </c>
      <c r="BP292" s="288" t="s">
        <v>617</v>
      </c>
      <c r="BR292" s="288" t="s">
        <v>617</v>
      </c>
      <c r="BS292" s="288" t="s">
        <v>617</v>
      </c>
      <c r="BU292" s="288" t="s">
        <v>617</v>
      </c>
      <c r="BV292" s="288" t="s">
        <v>617</v>
      </c>
      <c r="BW292" s="288" t="s">
        <v>617</v>
      </c>
      <c r="BY292" s="288" t="s">
        <v>617</v>
      </c>
      <c r="BZ292" s="288" t="s">
        <v>617</v>
      </c>
      <c r="CB292" s="288" t="s">
        <v>617</v>
      </c>
      <c r="CC292" s="288" t="s">
        <v>617</v>
      </c>
      <c r="CD292" s="288" t="s">
        <v>617</v>
      </c>
      <c r="CF292" s="288" t="s">
        <v>617</v>
      </c>
      <c r="CG292" s="288" t="s">
        <v>617</v>
      </c>
      <c r="CI292" s="288" t="s">
        <v>617</v>
      </c>
      <c r="CJ292" s="288" t="s">
        <v>617</v>
      </c>
      <c r="CK292" s="523" t="s">
        <v>617</v>
      </c>
      <c r="CM292" s="523" t="s">
        <v>617</v>
      </c>
      <c r="CN292" s="523" t="s">
        <v>617</v>
      </c>
      <c r="CP292" s="523" t="s">
        <v>617</v>
      </c>
      <c r="CQ292" s="523" t="s">
        <v>617</v>
      </c>
      <c r="CR292" s="523" t="s">
        <v>617</v>
      </c>
      <c r="CT292" s="523" t="s">
        <v>617</v>
      </c>
      <c r="CU292" s="523" t="s">
        <v>617</v>
      </c>
      <c r="CW292" s="523" t="s">
        <v>617</v>
      </c>
      <c r="CX292" s="523" t="s">
        <v>617</v>
      </c>
      <c r="CY292" s="523" t="s">
        <v>617</v>
      </c>
      <c r="CZ292" s="523"/>
      <c r="DA292" s="523" t="s">
        <v>617</v>
      </c>
      <c r="DB292" s="523" t="s">
        <v>617</v>
      </c>
      <c r="DD292" s="621" t="s">
        <v>617</v>
      </c>
      <c r="DE292" s="523" t="s">
        <v>617</v>
      </c>
      <c r="DF292" s="523" t="s">
        <v>617</v>
      </c>
      <c r="DG292" s="523"/>
      <c r="DH292" s="523" t="s">
        <v>617</v>
      </c>
      <c r="DI292" s="523" t="s">
        <v>617</v>
      </c>
      <c r="DK292" s="621" t="s">
        <v>617</v>
      </c>
      <c r="DL292" s="524" t="s">
        <v>617</v>
      </c>
      <c r="DM292" s="523" t="s">
        <v>617</v>
      </c>
      <c r="DN292" s="523"/>
      <c r="DO292" s="523" t="s">
        <v>617</v>
      </c>
      <c r="DP292" s="523" t="s">
        <v>617</v>
      </c>
      <c r="DR292" s="621" t="s">
        <v>617</v>
      </c>
      <c r="DS292" s="523" t="s">
        <v>617</v>
      </c>
      <c r="DT292" s="523" t="s">
        <v>617</v>
      </c>
      <c r="DU292" s="523"/>
      <c r="DV292" s="523" t="s">
        <v>617</v>
      </c>
      <c r="DW292" s="523" t="s">
        <v>617</v>
      </c>
      <c r="DY292" s="621" t="s">
        <v>617</v>
      </c>
      <c r="DZ292" s="523" t="s">
        <v>617</v>
      </c>
      <c r="EA292" s="523" t="s">
        <v>617</v>
      </c>
      <c r="EB292" s="523"/>
      <c r="EC292" s="523" t="s">
        <v>617</v>
      </c>
      <c r="ED292" s="523" t="s">
        <v>617</v>
      </c>
      <c r="EF292" s="621" t="s">
        <v>617</v>
      </c>
      <c r="EG292" s="523" t="s">
        <v>617</v>
      </c>
      <c r="EH292" s="523" t="s">
        <v>617</v>
      </c>
      <c r="EI292" s="523"/>
      <c r="EJ292" s="523" t="s">
        <v>617</v>
      </c>
      <c r="EK292" s="523" t="s">
        <v>617</v>
      </c>
      <c r="EM292" s="621" t="s">
        <v>617</v>
      </c>
      <c r="EN292" s="523" t="s">
        <v>617</v>
      </c>
      <c r="EO292" s="523" t="s">
        <v>617</v>
      </c>
      <c r="EP292" s="523"/>
      <c r="EQ292" s="524" t="s">
        <v>617</v>
      </c>
      <c r="ER292" s="523" t="s">
        <v>617</v>
      </c>
      <c r="ET292" s="621" t="s">
        <v>617</v>
      </c>
      <c r="EU292" s="523" t="s">
        <v>617</v>
      </c>
      <c r="EV292" s="523" t="s">
        <v>617</v>
      </c>
      <c r="EX292" s="523" t="s">
        <v>617</v>
      </c>
      <c r="EY292" s="523" t="s">
        <v>617</v>
      </c>
      <c r="FA292" s="621" t="s">
        <v>617</v>
      </c>
      <c r="FB292" s="523" t="s">
        <v>617</v>
      </c>
      <c r="FC292" s="523" t="s">
        <v>617</v>
      </c>
      <c r="FE292" s="523" t="s">
        <v>617</v>
      </c>
      <c r="FF292" s="523" t="s">
        <v>617</v>
      </c>
      <c r="FH292" s="621" t="s">
        <v>617</v>
      </c>
      <c r="FI292" s="523" t="s">
        <v>617</v>
      </c>
      <c r="FJ292" s="523" t="s">
        <v>617</v>
      </c>
      <c r="FL292" s="523" t="s">
        <v>617</v>
      </c>
      <c r="FM292" s="523" t="s">
        <v>617</v>
      </c>
      <c r="FO292" s="621" t="s">
        <v>617</v>
      </c>
      <c r="FP292" s="523" t="s">
        <v>617</v>
      </c>
      <c r="FQ292" s="523" t="s">
        <v>617</v>
      </c>
      <c r="FS292" s="523" t="s">
        <v>617</v>
      </c>
      <c r="FT292" s="523" t="s">
        <v>617</v>
      </c>
      <c r="FV292" s="621" t="s">
        <v>617</v>
      </c>
    </row>
    <row r="293" spans="2:178" outlineLevel="1" x14ac:dyDescent="0.3">
      <c r="B293" s="247" t="s">
        <v>618</v>
      </c>
      <c r="C293" s="280"/>
    </row>
    <row r="294" spans="2:178" outlineLevel="1" x14ac:dyDescent="0.3">
      <c r="B294" s="503" t="s">
        <v>619</v>
      </c>
      <c r="C294" s="280" t="s">
        <v>226</v>
      </c>
      <c r="E294" s="281"/>
      <c r="G294" s="281"/>
      <c r="H294" s="281"/>
      <c r="J294" s="281"/>
      <c r="K294" s="281">
        <f>+J299</f>
        <v>94.899999999999991</v>
      </c>
      <c r="L294" s="281">
        <f>+K299</f>
        <v>112.79999999999998</v>
      </c>
      <c r="M294" s="281"/>
      <c r="N294" s="281">
        <f>+L299</f>
        <v>140.69999999999999</v>
      </c>
      <c r="O294" s="281">
        <f>+N299</f>
        <v>138.79999999999995</v>
      </c>
      <c r="Q294" s="281">
        <f>+J299</f>
        <v>94.899999999999991</v>
      </c>
      <c r="R294" s="281">
        <f>+Q299</f>
        <v>258.7</v>
      </c>
      <c r="S294" s="281">
        <f>+R299</f>
        <v>147.70000000000005</v>
      </c>
      <c r="T294" s="281"/>
      <c r="U294" s="281">
        <f>+S299</f>
        <v>112.4</v>
      </c>
      <c r="V294" s="281">
        <f>+U299</f>
        <v>-52.599999999999952</v>
      </c>
      <c r="X294" s="281">
        <f>+Q299</f>
        <v>258.7</v>
      </c>
      <c r="Y294" s="281">
        <f>+X299</f>
        <v>-202.60000000000002</v>
      </c>
      <c r="Z294" s="281">
        <f>+Y299</f>
        <v>-237.60000000000002</v>
      </c>
      <c r="AA294" s="281"/>
      <c r="AB294" s="281">
        <f>+Z299</f>
        <v>-116.39999999999998</v>
      </c>
      <c r="AC294" s="281">
        <f>+AB299</f>
        <v>-37.5</v>
      </c>
      <c r="AE294" s="281">
        <f>+X299</f>
        <v>-202.60000000000002</v>
      </c>
      <c r="AF294" s="281">
        <f>+AE299</f>
        <v>-108.70000000000005</v>
      </c>
      <c r="AG294" s="281">
        <f>+AF299</f>
        <v>-151.19999999999999</v>
      </c>
      <c r="AH294" s="281"/>
      <c r="AI294" s="281">
        <f>+AG299</f>
        <v>-153.00000000000006</v>
      </c>
      <c r="AJ294" s="281">
        <f>+AI299</f>
        <v>-131.09999999999997</v>
      </c>
      <c r="AL294" s="281">
        <f>+AE299</f>
        <v>-108.70000000000005</v>
      </c>
      <c r="AM294" s="281">
        <f>+AL299</f>
        <v>-117.90000000000002</v>
      </c>
      <c r="AN294" s="281">
        <f>+AM299</f>
        <v>-26.70000000000006</v>
      </c>
      <c r="AO294" s="281"/>
      <c r="AP294" s="281">
        <f>+AN299</f>
        <v>-431.99999999999994</v>
      </c>
      <c r="AQ294" s="281">
        <f>+AP299</f>
        <v>-450.1</v>
      </c>
      <c r="AS294" s="281">
        <f>+AL299</f>
        <v>-117.90000000000002</v>
      </c>
      <c r="AT294" s="281">
        <f>+AS299</f>
        <v>-454.5</v>
      </c>
      <c r="AU294" s="281">
        <f>+AT299</f>
        <v>-450.7000000000001</v>
      </c>
      <c r="AV294" s="281"/>
      <c r="AW294" s="281">
        <f>+AU299</f>
        <v>-335.29999999999995</v>
      </c>
      <c r="AX294" s="281">
        <f>+AW299</f>
        <v>-360.29999999999995</v>
      </c>
      <c r="AZ294" s="281">
        <f>+AS299</f>
        <v>-454.5</v>
      </c>
      <c r="BA294" s="281">
        <f>+AZ299</f>
        <v>126.39999999999995</v>
      </c>
      <c r="BB294" s="281">
        <f>+BA299</f>
        <v>26.999999999999943</v>
      </c>
      <c r="BC294" s="281"/>
      <c r="BD294" s="281">
        <f>+BB299</f>
        <v>61.799999999999926</v>
      </c>
      <c r="BE294" s="281">
        <f>+BD299</f>
        <v>79.199999999999932</v>
      </c>
      <c r="BG294" s="281">
        <f>+AZ299</f>
        <v>126.39999999999995</v>
      </c>
      <c r="BH294" s="281">
        <f>+BG299</f>
        <v>18.19999999999996</v>
      </c>
      <c r="BI294" s="281">
        <f>+BH299</f>
        <v>-13.000000000000057</v>
      </c>
      <c r="BJ294" s="281"/>
      <c r="BK294" s="281">
        <f>+BI299</f>
        <v>44.899999999999949</v>
      </c>
      <c r="BL294" s="281">
        <f>+BK299</f>
        <v>105.69999999999995</v>
      </c>
      <c r="BN294" s="281">
        <f>+BG299</f>
        <v>18.19999999999996</v>
      </c>
      <c r="BO294" s="281">
        <f>+BN299</f>
        <v>-199.00000000000003</v>
      </c>
      <c r="BP294" s="281">
        <f>+BO299</f>
        <v>-400.9</v>
      </c>
      <c r="BQ294" s="281"/>
      <c r="BR294" s="281">
        <f>+BP299</f>
        <v>-287.10000000000008</v>
      </c>
      <c r="BS294" s="281">
        <f>+BR299</f>
        <v>-224.40000000000015</v>
      </c>
      <c r="BU294" s="281">
        <f>+BN299</f>
        <v>-199.00000000000003</v>
      </c>
      <c r="BV294" s="281">
        <f>+BU299</f>
        <v>-202.60000000000008</v>
      </c>
      <c r="BW294" s="281">
        <f>+BV299</f>
        <v>-356.29999999999995</v>
      </c>
      <c r="BX294" s="281"/>
      <c r="BY294" s="281">
        <f>+BW299</f>
        <v>-264</v>
      </c>
      <c r="BZ294" s="281">
        <f>+BY299</f>
        <v>-267.3</v>
      </c>
      <c r="CB294" s="281">
        <f>+BU299</f>
        <v>-202.60000000000008</v>
      </c>
      <c r="CC294" s="281">
        <f>+CB299</f>
        <v>-225.20000000000002</v>
      </c>
      <c r="CD294" s="281">
        <f>+CC299</f>
        <v>-270</v>
      </c>
      <c r="CE294" s="281"/>
      <c r="CF294" s="281">
        <f>+CD299</f>
        <v>-304.20000000000005</v>
      </c>
      <c r="CG294" s="281">
        <f>+CF299</f>
        <v>-269.7</v>
      </c>
      <c r="CI294" s="281">
        <f>+CB299</f>
        <v>-225.20000000000002</v>
      </c>
      <c r="CJ294" s="281">
        <f>+CI299</f>
        <v>-212.20000000000002</v>
      </c>
      <c r="CK294" s="281">
        <f>+CJ299</f>
        <v>-272.40000000000009</v>
      </c>
      <c r="CL294" s="281"/>
      <c r="CM294" s="281">
        <f>+CK299</f>
        <v>-200.60000000000008</v>
      </c>
      <c r="CN294" s="281">
        <f>+CM299</f>
        <v>-161.00000000000014</v>
      </c>
      <c r="CP294" s="282">
        <f>+CI299</f>
        <v>-212.20000000000002</v>
      </c>
      <c r="CQ294" s="282">
        <f>+CP299</f>
        <v>-221.5</v>
      </c>
      <c r="CR294" s="282">
        <f>+CQ299</f>
        <v>882.59999999999991</v>
      </c>
      <c r="CS294" s="282"/>
      <c r="CT294" s="282">
        <f>+CR299</f>
        <v>948.89999999999986</v>
      </c>
      <c r="CU294" s="282">
        <f>+CT299</f>
        <v>969.69999999999982</v>
      </c>
      <c r="CV294" s="282"/>
      <c r="CW294" s="282">
        <f>+CP299</f>
        <v>-221.5</v>
      </c>
      <c r="CX294" s="282">
        <f>+CW299</f>
        <v>974.40000000000009</v>
      </c>
      <c r="CY294" s="282">
        <f>+CX299</f>
        <v>948.1</v>
      </c>
      <c r="CZ294" s="282"/>
      <c r="DA294" s="282">
        <f>+CY299</f>
        <v>1039.3</v>
      </c>
      <c r="DB294" s="282">
        <f>+DA299</f>
        <v>1059.8999999999999</v>
      </c>
      <c r="DC294" s="282"/>
      <c r="DD294" s="590">
        <f>+CW299</f>
        <v>974.40000000000009</v>
      </c>
      <c r="DE294" s="282">
        <f>+DD299</f>
        <v>1035.3</v>
      </c>
      <c r="DF294" s="282">
        <f>+DE299</f>
        <v>1074.2</v>
      </c>
      <c r="DG294" s="282"/>
      <c r="DH294" s="282">
        <f>+DF299</f>
        <v>1180.3</v>
      </c>
      <c r="DI294" s="282">
        <f>+DH299</f>
        <v>1277.8</v>
      </c>
      <c r="DJ294" s="282"/>
      <c r="DK294" s="590">
        <f>+DD299</f>
        <v>1035.3</v>
      </c>
      <c r="DL294" s="284">
        <f>+DK299</f>
        <v>1060.8</v>
      </c>
      <c r="DM294" s="282">
        <f>+DL299</f>
        <v>1186.6999999999998</v>
      </c>
      <c r="DN294" s="282"/>
      <c r="DO294" s="282">
        <f>+DM299</f>
        <v>1321.7</v>
      </c>
      <c r="DP294" s="282">
        <f>+DO299</f>
        <v>1280.3</v>
      </c>
      <c r="DQ294" s="282"/>
      <c r="DR294" s="590">
        <f>+DK299</f>
        <v>1060.8</v>
      </c>
      <c r="DS294" s="282">
        <f>+DR299</f>
        <v>1332.9</v>
      </c>
      <c r="DT294" s="282">
        <f>+DS299</f>
        <v>1328.3</v>
      </c>
      <c r="DU294" s="282"/>
      <c r="DV294" s="282">
        <f>+DT299</f>
        <v>1466.3000000000004</v>
      </c>
      <c r="DW294" s="282">
        <f>+DV299</f>
        <v>1567.7000000000003</v>
      </c>
      <c r="DX294" s="282"/>
      <c r="DY294" s="590">
        <f>+DR299</f>
        <v>1332.9</v>
      </c>
      <c r="DZ294" s="282">
        <f>+DY299</f>
        <v>1611.4000000000003</v>
      </c>
      <c r="EA294" s="282">
        <f>+DZ299</f>
        <v>1719.4000000000003</v>
      </c>
      <c r="EB294" s="282"/>
      <c r="EC294" s="282">
        <f>+EA299</f>
        <v>1788.0000000000005</v>
      </c>
      <c r="ED294" s="282">
        <f>+EC299</f>
        <v>1895.2000000000003</v>
      </c>
      <c r="EE294" s="282"/>
      <c r="EF294" s="590">
        <f>+DY299</f>
        <v>1611.4000000000003</v>
      </c>
      <c r="EG294" s="282">
        <f>+EF299</f>
        <v>1858.9000000000003</v>
      </c>
      <c r="EH294" s="282">
        <f>+EG299</f>
        <v>1937.0000000000002</v>
      </c>
      <c r="EI294" s="282"/>
      <c r="EJ294" s="282">
        <f>+EH299</f>
        <v>1976.8000000000004</v>
      </c>
      <c r="EK294" s="282">
        <f>+EJ299</f>
        <v>2100.3000000000006</v>
      </c>
      <c r="EL294" s="282"/>
      <c r="EM294" s="590">
        <f>+EF299</f>
        <v>1858.9000000000003</v>
      </c>
      <c r="EN294" s="282">
        <f>+EM299</f>
        <v>2161.5</v>
      </c>
      <c r="EO294" s="282">
        <f>+EN299</f>
        <v>2256.3000000000002</v>
      </c>
      <c r="EP294" s="282"/>
      <c r="EQ294" s="284">
        <f>+EP299</f>
        <v>0</v>
      </c>
      <c r="ER294" s="282">
        <f>+EQ299</f>
        <v>74.599999999999454</v>
      </c>
      <c r="ES294" s="282"/>
      <c r="ET294" s="590">
        <f>+EM299</f>
        <v>2161.5</v>
      </c>
      <c r="EU294" s="282">
        <f>+ET299</f>
        <v>6558.6098129539942</v>
      </c>
      <c r="EV294" s="282">
        <f>+EU299</f>
        <v>6739.0061444133053</v>
      </c>
      <c r="EW294" s="282"/>
      <c r="EX294" s="282">
        <f>+EV299</f>
        <v>6917.7568346793405</v>
      </c>
      <c r="EY294" s="282">
        <f>+EX299</f>
        <v>7106.9349824297669</v>
      </c>
      <c r="EZ294" s="282"/>
      <c r="FA294" s="590">
        <f>+ET299</f>
        <v>6558.6098129539942</v>
      </c>
      <c r="FB294" s="282">
        <f>+FA299</f>
        <v>7328.6253845013325</v>
      </c>
      <c r="FC294" s="282">
        <f>+FB299</f>
        <v>7549.1890743062313</v>
      </c>
      <c r="FD294" s="282"/>
      <c r="FE294" s="282">
        <f>+FC299</f>
        <v>7774.0436406873087</v>
      </c>
      <c r="FF294" s="282">
        <f>+FE299</f>
        <v>8017.6477776709871</v>
      </c>
      <c r="FG294" s="282"/>
      <c r="FH294" s="590">
        <f>+FA299</f>
        <v>7328.6253845013325</v>
      </c>
      <c r="FI294" s="282">
        <f>+FH299</f>
        <v>8286.0438614869454</v>
      </c>
      <c r="FJ294" s="282">
        <f>+FI299</f>
        <v>8550.0754031846282</v>
      </c>
      <c r="FK294" s="282"/>
      <c r="FL294" s="282">
        <f>+FJ299</f>
        <v>8812.3133343586815</v>
      </c>
      <c r="FM294" s="282">
        <f>+FL299</f>
        <v>9093.4429636227578</v>
      </c>
      <c r="FN294" s="282"/>
      <c r="FO294" s="590">
        <f>+FH299</f>
        <v>8286.0438614869454</v>
      </c>
      <c r="FP294" s="282">
        <f>+FO299</f>
        <v>9398.3090052598855</v>
      </c>
      <c r="FQ294" s="282">
        <f>+FP299</f>
        <v>9702.4341897458798</v>
      </c>
      <c r="FR294" s="282"/>
      <c r="FS294" s="282">
        <f>+FQ299</f>
        <v>10011.26264960833</v>
      </c>
      <c r="FT294" s="282">
        <f>+FS299</f>
        <v>10339.297848149707</v>
      </c>
      <c r="FU294" s="282"/>
      <c r="FV294" s="590">
        <f>+FO299</f>
        <v>9398.3090052598855</v>
      </c>
    </row>
    <row r="295" spans="2:178" outlineLevel="1" x14ac:dyDescent="0.3">
      <c r="B295" s="501" t="s">
        <v>620</v>
      </c>
      <c r="C295" s="280" t="s">
        <v>226</v>
      </c>
      <c r="K295" s="281">
        <f>+K211-J211</f>
        <v>0</v>
      </c>
      <c r="L295" s="281">
        <f>+L211-K211</f>
        <v>0</v>
      </c>
      <c r="N295" s="281">
        <f>+N211-L211</f>
        <v>2.5</v>
      </c>
      <c r="O295" s="281">
        <f>+O211-N211</f>
        <v>-3.8999999999999773</v>
      </c>
      <c r="Q295" s="281">
        <f>+Q211-J211</f>
        <v>-1.3999999999999773</v>
      </c>
      <c r="R295" s="281">
        <f>+R211-Q211</f>
        <v>0.29999999999998295</v>
      </c>
      <c r="S295" s="281">
        <f>+S211-R211</f>
        <v>0</v>
      </c>
      <c r="U295" s="281">
        <f>+U211-S211</f>
        <v>0.20000000000001705</v>
      </c>
      <c r="V295" s="281">
        <f>+V211-U211</f>
        <v>-32.600000000000023</v>
      </c>
      <c r="X295" s="281">
        <f>+X211-Q211</f>
        <v>-32.100000000000023</v>
      </c>
      <c r="Y295" s="281">
        <f>+Y211-X211</f>
        <v>0</v>
      </c>
      <c r="Z295" s="281">
        <f>+Z211-Y211</f>
        <v>0</v>
      </c>
      <c r="AB295" s="281">
        <f>+AB211-Z211</f>
        <v>0</v>
      </c>
      <c r="AC295" s="281">
        <f>+AC211-AB211</f>
        <v>-0.5</v>
      </c>
      <c r="AE295" s="281">
        <f>+AE211-X211</f>
        <v>-0.5</v>
      </c>
      <c r="AF295" s="281">
        <f>+AF211-AE211</f>
        <v>0</v>
      </c>
      <c r="AG295" s="281">
        <f>+AG211-AF211</f>
        <v>0.5</v>
      </c>
      <c r="AI295" s="281">
        <f>+AI211-AG211</f>
        <v>1.3000000000000114</v>
      </c>
      <c r="AJ295" s="281">
        <f>+AJ211-AI211</f>
        <v>9.9999999999994316E-2</v>
      </c>
      <c r="AL295" s="281">
        <f>+AL211-AE211</f>
        <v>1.9000000000000057</v>
      </c>
      <c r="AM295" s="281">
        <f>+AM211-AL211</f>
        <v>0</v>
      </c>
      <c r="AN295" s="281">
        <f>+AN211-AM211</f>
        <v>9.9999999999994316E-2</v>
      </c>
      <c r="AP295" s="281">
        <f>+AP211-AN211</f>
        <v>9.9999999999994316E-2</v>
      </c>
      <c r="AQ295" s="281">
        <f>+AQ211-AP211</f>
        <v>1.2000000000000171</v>
      </c>
      <c r="AS295" s="281">
        <f>+AS211-AL211</f>
        <v>1.4000000000000057</v>
      </c>
      <c r="AT295" s="281">
        <f>+AT211-AS211</f>
        <v>0.80000000000001137</v>
      </c>
      <c r="AU295" s="281">
        <f>+AU211-AT211</f>
        <v>-1.3000000000000114</v>
      </c>
      <c r="AW295" s="281">
        <f>+AW211-AU211</f>
        <v>0.90000000000000568</v>
      </c>
      <c r="AX295" s="281">
        <f>+AX211-AW211</f>
        <v>1.0999999999999943</v>
      </c>
      <c r="AZ295" s="281">
        <f>+AZ211-AS211</f>
        <v>1.5</v>
      </c>
      <c r="BA295" s="281">
        <f>+BA211-AZ211</f>
        <v>0.5</v>
      </c>
      <c r="BB295" s="281">
        <f>+BB211-BA211</f>
        <v>1.1999999999999886</v>
      </c>
      <c r="BD295" s="281">
        <f>+BD211-BB211</f>
        <v>1.1000000000000227</v>
      </c>
      <c r="BE295" s="281">
        <f>+BE211-BD211</f>
        <v>0.5</v>
      </c>
      <c r="BG295" s="281">
        <f>+BG211-AZ211</f>
        <v>3.3000000000000114</v>
      </c>
      <c r="BH295" s="281">
        <f>+BH211-BG211</f>
        <v>0.29999999999998295</v>
      </c>
      <c r="BI295" s="281">
        <f>+BI211-BH211</f>
        <v>0.40000000000000568</v>
      </c>
      <c r="BK295" s="281">
        <f>+BK211-BI211</f>
        <v>1</v>
      </c>
      <c r="BL295" s="281">
        <f>+BL211-BK211</f>
        <v>1.5999999999999943</v>
      </c>
      <c r="BN295" s="281">
        <f>+BN211-BG211</f>
        <v>3.2999999999999829</v>
      </c>
      <c r="BO295" s="281">
        <f>+BO211-BN211</f>
        <v>0</v>
      </c>
      <c r="BP295" s="281">
        <f>+BP211-BO211</f>
        <v>9.9999999999994316E-2</v>
      </c>
      <c r="BR295" s="281">
        <f>+BR211-BP211</f>
        <v>0.20000000000001705</v>
      </c>
      <c r="BS295" s="281">
        <f>+BS211-BR211</f>
        <v>0.29999999999998295</v>
      </c>
      <c r="BU295" s="281">
        <f>+BU211-BN211</f>
        <v>0.59999999999999432</v>
      </c>
      <c r="BV295" s="281">
        <f>+BV211-BU211</f>
        <v>0.10000000000002274</v>
      </c>
      <c r="BW295" s="281">
        <f>+BW211-BV211</f>
        <v>-0.10000000000002274</v>
      </c>
      <c r="BY295" s="281">
        <f>+BY211-BW211</f>
        <v>0.10000000000002274</v>
      </c>
      <c r="BZ295" s="281">
        <f>+BZ211-BY211</f>
        <v>9.9999999999994316E-2</v>
      </c>
      <c r="CB295" s="281">
        <f>+CB211-BU211</f>
        <v>0.20000000000001705</v>
      </c>
      <c r="CC295" s="281">
        <f>+CC211-CB211</f>
        <v>0</v>
      </c>
      <c r="CD295" s="281">
        <f>+CD211-CC211</f>
        <v>-2.5</v>
      </c>
      <c r="CF295" s="281">
        <f>+CF211-CD211</f>
        <v>0.19999999999998863</v>
      </c>
      <c r="CG295" s="281">
        <f>+CG211-CF211</f>
        <v>0</v>
      </c>
      <c r="CI295" s="281">
        <f>+CI211-CB211</f>
        <v>-2.3000000000000114</v>
      </c>
      <c r="CJ295" s="281">
        <f>+CJ211-CI211</f>
        <v>0</v>
      </c>
      <c r="CK295" s="281">
        <f>+CK211-CJ211</f>
        <v>0.30000000000001137</v>
      </c>
      <c r="CM295" s="281">
        <f>+CM211-CK211</f>
        <v>9.9999999999994316E-2</v>
      </c>
      <c r="CN295" s="281">
        <f>+CN211-CM211</f>
        <v>0</v>
      </c>
      <c r="CP295" s="282">
        <f>+CP211-CI211</f>
        <v>0.40000000000000568</v>
      </c>
      <c r="CQ295" s="282">
        <f>+CQ211-CP211</f>
        <v>0</v>
      </c>
      <c r="CR295" s="282">
        <f>+CR211-CQ211</f>
        <v>0.30000000000001137</v>
      </c>
      <c r="CS295" s="282"/>
      <c r="CT295" s="282">
        <f>+CT211-CR211</f>
        <v>0.19999999999998863</v>
      </c>
      <c r="CU295" s="282">
        <f>+CU211-CT211</f>
        <v>0</v>
      </c>
      <c r="CV295" s="282"/>
      <c r="CW295" s="282">
        <f>+CW211-CP211</f>
        <v>0.5</v>
      </c>
      <c r="CX295" s="282">
        <f>+CX211-CW211</f>
        <v>0</v>
      </c>
      <c r="CY295" s="282">
        <f>+CY211-CX211</f>
        <v>0.30000000000001137</v>
      </c>
      <c r="CZ295" s="282"/>
      <c r="DA295" s="282">
        <f>+DA211-CY211</f>
        <v>0.19999999999998863</v>
      </c>
      <c r="DB295" s="282">
        <f>+DB211-DA211</f>
        <v>9.9999999999994316E-2</v>
      </c>
      <c r="DC295" s="282"/>
      <c r="DD295" s="590">
        <f>+DD211-CW211</f>
        <v>0.59999999999999432</v>
      </c>
      <c r="DE295" s="282">
        <f>+DE211-DD211</f>
        <v>0</v>
      </c>
      <c r="DF295" s="282">
        <f>+DF211-DE211</f>
        <v>0.59999999999999432</v>
      </c>
      <c r="DG295" s="282"/>
      <c r="DH295" s="282">
        <f>+DH211-DF211</f>
        <v>0.10000000000002274</v>
      </c>
      <c r="DI295" s="282">
        <f>+DI211-DH211</f>
        <v>9.9999999999994316E-2</v>
      </c>
      <c r="DJ295" s="282"/>
      <c r="DK295" s="590">
        <f>+DK211-DD211</f>
        <v>0.80000000000001137</v>
      </c>
      <c r="DL295" s="284">
        <f>+DL211-DK211</f>
        <v>9.9999999999994316E-2</v>
      </c>
      <c r="DM295" s="282">
        <f>+DM211-DL211</f>
        <v>0.5</v>
      </c>
      <c r="DN295" s="282"/>
      <c r="DO295" s="282">
        <f>+DO211-DM211</f>
        <v>9.9999999999994316E-2</v>
      </c>
      <c r="DP295" s="282">
        <f>+DP211-DO211</f>
        <v>0</v>
      </c>
      <c r="DQ295" s="282"/>
      <c r="DR295" s="590">
        <f>+DR211-DK211</f>
        <v>0.69999999999998863</v>
      </c>
      <c r="DS295" s="282">
        <f>+DS211-DR211</f>
        <v>9.9999999999994316E-2</v>
      </c>
      <c r="DT295" s="282">
        <f>+DT211-DS211</f>
        <v>0.10000000000002274</v>
      </c>
      <c r="DU295" s="282"/>
      <c r="DV295" s="282">
        <f>+DV211-DT211</f>
        <v>-0.90000000000000568</v>
      </c>
      <c r="DW295" s="282">
        <f>+DW211-DV211</f>
        <v>-1.4000000000000057</v>
      </c>
      <c r="DX295" s="282"/>
      <c r="DY295" s="590">
        <f>+DY211-DR211</f>
        <v>-2.0999999999999943</v>
      </c>
      <c r="DZ295" s="282">
        <f>+DZ211-DY211</f>
        <v>-1.3000000000000114</v>
      </c>
      <c r="EA295" s="282">
        <f>+EA211-DZ211</f>
        <v>-1.3999999999999773</v>
      </c>
      <c r="EB295" s="282"/>
      <c r="EC295" s="282">
        <f>+EC211-EA211</f>
        <v>-1.4000000000000057</v>
      </c>
      <c r="ED295" s="282">
        <f>+ED211-EC211</f>
        <v>-1.2000000000000171</v>
      </c>
      <c r="EE295" s="282"/>
      <c r="EF295" s="590">
        <f>+EF211-DY211</f>
        <v>-5.3000000000000114</v>
      </c>
      <c r="EG295" s="282">
        <f>+EG211-EF211</f>
        <v>-1.5</v>
      </c>
      <c r="EH295" s="282">
        <f>+EH211-EG211</f>
        <v>-1.2999999999999829</v>
      </c>
      <c r="EI295" s="282"/>
      <c r="EJ295" s="282">
        <f>+EJ211-EH211</f>
        <v>0.19999999999998863</v>
      </c>
      <c r="EK295" s="282">
        <f>+EK211-EJ211</f>
        <v>0</v>
      </c>
      <c r="EL295" s="282"/>
      <c r="EM295" s="590">
        <f>+EM211-EF211</f>
        <v>-2.5999999999999943</v>
      </c>
      <c r="EN295" s="282">
        <f>+EN211-EM211</f>
        <v>0</v>
      </c>
      <c r="EO295" s="282">
        <f>+EO211-EN211</f>
        <v>103.79999999999998</v>
      </c>
      <c r="EP295" s="282"/>
      <c r="EQ295" s="284">
        <f>+EQ211-EP211</f>
        <v>0.5</v>
      </c>
      <c r="ER295" s="282">
        <f>+ER211-EQ211</f>
        <v>0</v>
      </c>
      <c r="ES295" s="282"/>
      <c r="ET295" s="590">
        <f>+ET211-EM211</f>
        <v>104.29999999999998</v>
      </c>
      <c r="EU295" s="282">
        <f>+EU211-ET211</f>
        <v>0</v>
      </c>
      <c r="EV295" s="282">
        <f>+EV211-EU211</f>
        <v>0</v>
      </c>
      <c r="EW295" s="282"/>
      <c r="EX295" s="282">
        <f>+EX211-EV211</f>
        <v>0</v>
      </c>
      <c r="EY295" s="282">
        <f>+EY211-EX211</f>
        <v>0</v>
      </c>
      <c r="EZ295" s="282"/>
      <c r="FA295" s="590">
        <f>+FA211-ET211</f>
        <v>0</v>
      </c>
      <c r="FB295" s="282">
        <f>+FB211-FA211</f>
        <v>0</v>
      </c>
      <c r="FC295" s="282">
        <f>+FC211-FB211</f>
        <v>0</v>
      </c>
      <c r="FD295" s="282"/>
      <c r="FE295" s="282">
        <f>+FE211-FC211</f>
        <v>0</v>
      </c>
      <c r="FF295" s="282">
        <f>+FF211-FE211</f>
        <v>0</v>
      </c>
      <c r="FG295" s="282"/>
      <c r="FH295" s="590">
        <f>+FH211-FA211</f>
        <v>0</v>
      </c>
      <c r="FI295" s="282">
        <f>+FI211-FH211</f>
        <v>0</v>
      </c>
      <c r="FJ295" s="282">
        <f>+FJ211-FI211</f>
        <v>0</v>
      </c>
      <c r="FK295" s="282"/>
      <c r="FL295" s="282">
        <f>+FL211-FJ211</f>
        <v>0</v>
      </c>
      <c r="FM295" s="282">
        <f>+FM211-FL211</f>
        <v>0</v>
      </c>
      <c r="FN295" s="282"/>
      <c r="FO295" s="590">
        <f>+FO211-FH211</f>
        <v>0</v>
      </c>
      <c r="FP295" s="282">
        <f>+FP211-FO211</f>
        <v>0</v>
      </c>
      <c r="FQ295" s="282">
        <f>+FQ211-FP211</f>
        <v>0</v>
      </c>
      <c r="FR295" s="282"/>
      <c r="FS295" s="282">
        <f>+FS211-FQ211</f>
        <v>0</v>
      </c>
      <c r="FT295" s="282">
        <f>+FT211-FS211</f>
        <v>0</v>
      </c>
      <c r="FU295" s="282"/>
      <c r="FV295" s="590">
        <f>+FV211-FO211</f>
        <v>0</v>
      </c>
    </row>
    <row r="296" spans="2:178" outlineLevel="1" x14ac:dyDescent="0.3">
      <c r="B296" s="501" t="s">
        <v>621</v>
      </c>
      <c r="C296" s="280" t="s">
        <v>226</v>
      </c>
      <c r="D296" s="281"/>
      <c r="E296" s="281"/>
      <c r="F296" s="281"/>
      <c r="G296" s="281"/>
      <c r="H296" s="281"/>
      <c r="I296" s="281"/>
      <c r="J296" s="281"/>
      <c r="K296" s="281">
        <f>+K79</f>
        <v>35.9</v>
      </c>
      <c r="L296" s="281">
        <f>+L79</f>
        <v>21.100000000000009</v>
      </c>
      <c r="M296" s="281"/>
      <c r="N296" s="281">
        <f>+N79</f>
        <v>-8</v>
      </c>
      <c r="O296" s="281">
        <f>+O79</f>
        <v>-234.9</v>
      </c>
      <c r="P296" s="281"/>
      <c r="Q296" s="281">
        <f>+Q79</f>
        <v>-185.90000000000006</v>
      </c>
      <c r="R296" s="281">
        <f>+R79</f>
        <v>39.100000000000009</v>
      </c>
      <c r="S296" s="281">
        <f>+S79</f>
        <v>19.100000000000019</v>
      </c>
      <c r="T296" s="281"/>
      <c r="U296" s="281">
        <f>+U79</f>
        <v>17.099999999999994</v>
      </c>
      <c r="V296" s="281">
        <f>+V79</f>
        <v>-145.30000000000001</v>
      </c>
      <c r="W296" s="281"/>
      <c r="X296" s="281">
        <f>+X79</f>
        <v>-72.000000000000057</v>
      </c>
      <c r="Y296" s="281">
        <f>+Y79</f>
        <v>1.399999999999983</v>
      </c>
      <c r="Z296" s="281">
        <f>+Z79</f>
        <v>153.5</v>
      </c>
      <c r="AA296" s="281"/>
      <c r="AB296" s="281">
        <f>+AB79</f>
        <v>110.99999999999999</v>
      </c>
      <c r="AC296" s="281">
        <f>+AC79</f>
        <v>-144.4</v>
      </c>
      <c r="AD296" s="281"/>
      <c r="AE296" s="281">
        <f>+AE79</f>
        <v>136.30000000000001</v>
      </c>
      <c r="AF296" s="281">
        <f>+AF79</f>
        <v>-77.899999999999991</v>
      </c>
      <c r="AG296" s="281">
        <f>+AG79</f>
        <v>-19.599999999999994</v>
      </c>
      <c r="AH296" s="281"/>
      <c r="AI296" s="281">
        <f>+AI79</f>
        <v>14.899999999999997</v>
      </c>
      <c r="AJ296" s="281">
        <f>+AJ79</f>
        <v>-2.3000000000000194</v>
      </c>
      <c r="AK296" s="281"/>
      <c r="AL296" s="281">
        <f>+AL79</f>
        <v>-84.899999999999991</v>
      </c>
      <c r="AM296" s="281">
        <f>+AM79</f>
        <v>104.9</v>
      </c>
      <c r="AN296" s="281">
        <f>+AN79</f>
        <v>-423.7</v>
      </c>
      <c r="AO296" s="281"/>
      <c r="AP296" s="281">
        <f>+AP79</f>
        <v>-26.4</v>
      </c>
      <c r="AQ296" s="281">
        <f>+AQ79</f>
        <v>-1.8000000000000043</v>
      </c>
      <c r="AR296" s="281"/>
      <c r="AS296" s="281">
        <f>+AS79</f>
        <v>-347</v>
      </c>
      <c r="AT296" s="281">
        <f>+AT79</f>
        <v>0.29999999999998861</v>
      </c>
      <c r="AU296" s="281">
        <f>+AU79</f>
        <v>126.8</v>
      </c>
      <c r="AV296" s="281"/>
      <c r="AW296" s="281">
        <f>+AW79</f>
        <v>-6.6</v>
      </c>
      <c r="AX296" s="281">
        <f>+AX79</f>
        <v>483.8</v>
      </c>
      <c r="AY296" s="281"/>
      <c r="AZ296" s="281">
        <f>+AZ79</f>
        <v>604.29999999999995</v>
      </c>
      <c r="BA296" s="281">
        <f>+BA79</f>
        <v>68.499999999999986</v>
      </c>
      <c r="BB296" s="281">
        <f>+BB79</f>
        <v>15.000000000000004</v>
      </c>
      <c r="BC296" s="281"/>
      <c r="BD296" s="281">
        <f>+BD79</f>
        <v>31.500000000000007</v>
      </c>
      <c r="BE296" s="281">
        <f>+BE79</f>
        <v>-69.499999999999972</v>
      </c>
      <c r="BF296" s="281"/>
      <c r="BG296" s="281">
        <f>+BG79</f>
        <v>45.500000000000028</v>
      </c>
      <c r="BH296" s="281">
        <f>+BH79</f>
        <v>142.19999999999999</v>
      </c>
      <c r="BI296" s="281">
        <f>+BI79</f>
        <v>51.900000000000006</v>
      </c>
      <c r="BJ296" s="281"/>
      <c r="BK296" s="281">
        <f>+BK79</f>
        <v>92.2</v>
      </c>
      <c r="BL296" s="281">
        <f>+BL79</f>
        <v>137</v>
      </c>
      <c r="BM296" s="281"/>
      <c r="BN296" s="281">
        <f>+BN79</f>
        <v>423.29999999999995</v>
      </c>
      <c r="BO296" s="281">
        <f>+BO79</f>
        <v>28.899999999999995</v>
      </c>
      <c r="BP296" s="281">
        <f>+BP79</f>
        <v>127.2</v>
      </c>
      <c r="BQ296" s="281"/>
      <c r="BR296" s="281">
        <f>+BR79</f>
        <v>107.5</v>
      </c>
      <c r="BS296" s="281">
        <f>+BS79</f>
        <v>27.70000000000001</v>
      </c>
      <c r="BT296" s="281"/>
      <c r="BU296" s="281">
        <f>+BU79</f>
        <v>291.3</v>
      </c>
      <c r="BV296" s="281">
        <f>+BV79</f>
        <v>60</v>
      </c>
      <c r="BW296" s="281">
        <f>+BW79</f>
        <v>130.20000000000005</v>
      </c>
      <c r="BX296" s="281"/>
      <c r="BY296" s="281">
        <f>+BY79</f>
        <v>25.400000000000013</v>
      </c>
      <c r="BZ296" s="281">
        <f>+BZ79</f>
        <v>29.099999999999977</v>
      </c>
      <c r="CA296" s="281"/>
      <c r="CB296" s="281">
        <f>+CB79</f>
        <v>242.60000000000011</v>
      </c>
      <c r="CC296" s="281">
        <f>+CC79</f>
        <v>87.1</v>
      </c>
      <c r="CD296" s="281">
        <f>+CD79</f>
        <v>57.000000000000014</v>
      </c>
      <c r="CE296" s="281"/>
      <c r="CF296" s="281">
        <f>+CF79</f>
        <v>87.90000000000002</v>
      </c>
      <c r="CG296" s="281">
        <f>+CG79</f>
        <v>43.39999999999997</v>
      </c>
      <c r="CH296" s="281"/>
      <c r="CI296" s="281">
        <f>+CI79</f>
        <v>275.40000000000003</v>
      </c>
      <c r="CJ296" s="281">
        <f>+CJ79</f>
        <v>57.6</v>
      </c>
      <c r="CK296" s="281">
        <f>+CK79</f>
        <v>66.100000000000009</v>
      </c>
      <c r="CL296" s="281"/>
      <c r="CM296" s="281">
        <f>+CM79</f>
        <v>79.399999999999963</v>
      </c>
      <c r="CN296" s="281">
        <f>+CN79</f>
        <v>-57.299999999999969</v>
      </c>
      <c r="CO296" s="281"/>
      <c r="CP296" s="282">
        <f>+CP79</f>
        <v>144.09999999999994</v>
      </c>
      <c r="CQ296" s="282">
        <f>+CQ79</f>
        <v>90.6</v>
      </c>
      <c r="CR296" s="282">
        <f>+CR79</f>
        <v>69.5</v>
      </c>
      <c r="CS296" s="282"/>
      <c r="CT296" s="282">
        <f>+CT79</f>
        <v>67.899999999999991</v>
      </c>
      <c r="CU296" s="282">
        <f>+CU79</f>
        <v>73.799999999999983</v>
      </c>
      <c r="CV296" s="282"/>
      <c r="CW296" s="282">
        <f>+CW79</f>
        <v>301.8</v>
      </c>
      <c r="CX296" s="282">
        <f>+CX79</f>
        <v>86.500000000000043</v>
      </c>
      <c r="CY296" s="282">
        <f>+CY79</f>
        <v>103.09999999999997</v>
      </c>
      <c r="CZ296" s="282"/>
      <c r="DA296" s="282">
        <f>+DA79</f>
        <v>77.100000000000009</v>
      </c>
      <c r="DB296" s="282">
        <f>+DB79</f>
        <v>2.1999999999999602</v>
      </c>
      <c r="DC296" s="282"/>
      <c r="DD296" s="590">
        <f>+DD79</f>
        <v>268.89999999999998</v>
      </c>
      <c r="DE296" s="282">
        <f>+DE79</f>
        <v>9.4000000000000128</v>
      </c>
      <c r="DF296" s="282">
        <f>+DF79</f>
        <v>86.800000000000011</v>
      </c>
      <c r="DG296" s="282"/>
      <c r="DH296" s="282">
        <f>+DH79</f>
        <v>68.59999999999998</v>
      </c>
      <c r="DI296" s="282">
        <f>+DI79</f>
        <v>98</v>
      </c>
      <c r="DJ296" s="282"/>
      <c r="DK296" s="590">
        <f>+DK79</f>
        <v>262.80000000000018</v>
      </c>
      <c r="DL296" s="284">
        <f>+DL79</f>
        <v>121.30000000000001</v>
      </c>
      <c r="DM296" s="282">
        <f>+DM79</f>
        <v>150.39999999999998</v>
      </c>
      <c r="DN296" s="282"/>
      <c r="DO296" s="282">
        <f>+DO79</f>
        <v>135.60000000000002</v>
      </c>
      <c r="DP296" s="282">
        <f>+DP79</f>
        <v>52.000000000000014</v>
      </c>
      <c r="DQ296" s="282"/>
      <c r="DR296" s="590">
        <f>+DR79</f>
        <v>459.09999999999991</v>
      </c>
      <c r="DS296" s="282">
        <f>+DS79</f>
        <v>162.9</v>
      </c>
      <c r="DT296" s="282">
        <f>+DT79</f>
        <v>154.20000000000002</v>
      </c>
      <c r="DU296" s="282"/>
      <c r="DV296" s="282">
        <f>+DV79</f>
        <v>101.49999999999997</v>
      </c>
      <c r="DW296" s="282">
        <f>+DW79</f>
        <v>80.400000000000034</v>
      </c>
      <c r="DX296" s="282"/>
      <c r="DY296" s="590">
        <f>+DY79</f>
        <v>512.1</v>
      </c>
      <c r="DZ296" s="282">
        <f>+DZ79</f>
        <v>147.60000000000005</v>
      </c>
      <c r="EA296" s="282">
        <f>+EA79</f>
        <v>151.6999999999999</v>
      </c>
      <c r="EB296" s="282"/>
      <c r="EC296" s="282">
        <f>+EC79</f>
        <v>149.90000000000003</v>
      </c>
      <c r="ED296" s="282">
        <f>+ED79</f>
        <v>55.300000000000047</v>
      </c>
      <c r="EE296" s="282"/>
      <c r="EF296" s="590">
        <f>+EF79</f>
        <v>510.20000000000027</v>
      </c>
      <c r="EG296" s="282">
        <f>+EG79</f>
        <v>144.30000000000004</v>
      </c>
      <c r="EH296" s="282">
        <f>+EH79</f>
        <v>71.199999999999946</v>
      </c>
      <c r="EI296" s="282"/>
      <c r="EJ296" s="282">
        <f>+EJ79</f>
        <v>132.4</v>
      </c>
      <c r="EK296" s="282">
        <f>+EK79</f>
        <v>42.499999999999964</v>
      </c>
      <c r="EL296" s="282"/>
      <c r="EM296" s="590">
        <f>+EM79</f>
        <v>424.79999999999995</v>
      </c>
      <c r="EN296" s="282">
        <f>+EN79</f>
        <v>104.4</v>
      </c>
      <c r="EO296" s="282">
        <f>+EO79</f>
        <v>-59.600000000000023</v>
      </c>
      <c r="EP296" s="282"/>
      <c r="EQ296" s="284">
        <f>+EQ79</f>
        <v>68.7</v>
      </c>
      <c r="ER296" s="282">
        <f>+ER79</f>
        <v>174.19981295399353</v>
      </c>
      <c r="ES296" s="282"/>
      <c r="ET296" s="590">
        <f>+ET79</f>
        <v>276.1998129539935</v>
      </c>
      <c r="EU296" s="282">
        <f>+EU79</f>
        <v>180.39633145931072</v>
      </c>
      <c r="EV296" s="282">
        <f>+EV79</f>
        <v>178.75069026603586</v>
      </c>
      <c r="EW296" s="282"/>
      <c r="EX296" s="282">
        <f>+EX79</f>
        <v>189.17814775042601</v>
      </c>
      <c r="EY296" s="282">
        <f>+EY79</f>
        <v>221.69040207156581</v>
      </c>
      <c r="EZ296" s="282"/>
      <c r="FA296" s="590">
        <f>+FA79</f>
        <v>770.01557154733871</v>
      </c>
      <c r="FB296" s="282">
        <f>+FB79</f>
        <v>220.56368980489898</v>
      </c>
      <c r="FC296" s="282">
        <f>+FC79</f>
        <v>224.85456638107755</v>
      </c>
      <c r="FD296" s="282"/>
      <c r="FE296" s="282">
        <f>+FE79</f>
        <v>243.60413698367893</v>
      </c>
      <c r="FF296" s="282">
        <f>+FF79</f>
        <v>268.39608381595724</v>
      </c>
      <c r="FG296" s="282"/>
      <c r="FH296" s="590">
        <f>+FH79</f>
        <v>957.41847698561264</v>
      </c>
      <c r="FI296" s="282">
        <f>+FI79</f>
        <v>264.03154169768374</v>
      </c>
      <c r="FJ296" s="282">
        <f>+FJ79</f>
        <v>262.23793117405404</v>
      </c>
      <c r="FK296" s="282"/>
      <c r="FL296" s="282">
        <f>+FL79</f>
        <v>281.12962926407738</v>
      </c>
      <c r="FM296" s="282">
        <f>+FM79</f>
        <v>304.86604163712792</v>
      </c>
      <c r="FN296" s="282"/>
      <c r="FO296" s="590">
        <f>+FO79</f>
        <v>1112.2651437729432</v>
      </c>
      <c r="FP296" s="282">
        <f>+FP79</f>
        <v>304.12518448599531</v>
      </c>
      <c r="FQ296" s="282">
        <f>+FQ79</f>
        <v>308.82845986245104</v>
      </c>
      <c r="FR296" s="282"/>
      <c r="FS296" s="282">
        <f>+FS79</f>
        <v>328.03519854137579</v>
      </c>
      <c r="FT296" s="282">
        <f>+FT79</f>
        <v>351.28297443391011</v>
      </c>
      <c r="FU296" s="282"/>
      <c r="FV296" s="590">
        <f>+FV79</f>
        <v>1292.2718173237326</v>
      </c>
    </row>
    <row r="297" spans="2:178" outlineLevel="1" x14ac:dyDescent="0.3">
      <c r="B297" s="501" t="s">
        <v>622</v>
      </c>
      <c r="C297" s="280" t="s">
        <v>226</v>
      </c>
      <c r="D297" s="281"/>
      <c r="E297" s="281"/>
      <c r="F297" s="281"/>
      <c r="G297" s="281"/>
      <c r="H297" s="281"/>
      <c r="I297" s="281"/>
      <c r="J297" s="281"/>
      <c r="K297" s="281">
        <f>+K120</f>
        <v>0</v>
      </c>
      <c r="L297" s="281">
        <f>+L120</f>
        <v>-18.7</v>
      </c>
      <c r="M297" s="281"/>
      <c r="N297" s="281">
        <f>+N120</f>
        <v>0</v>
      </c>
      <c r="O297" s="281">
        <f>+O120</f>
        <v>-23.400000000000002</v>
      </c>
      <c r="P297" s="281"/>
      <c r="Q297" s="281">
        <f>+Q120</f>
        <v>-42.1</v>
      </c>
      <c r="R297" s="281">
        <f>+R120</f>
        <v>0</v>
      </c>
      <c r="S297" s="281">
        <f>+S120</f>
        <v>-70.7</v>
      </c>
      <c r="T297" s="281"/>
      <c r="U297" s="281">
        <f>+U120</f>
        <v>-52.399999999999991</v>
      </c>
      <c r="V297" s="281">
        <f>+V120</f>
        <v>-3.1000000000000085</v>
      </c>
      <c r="W297" s="281"/>
      <c r="X297" s="281">
        <f>+X120</f>
        <v>-126.2</v>
      </c>
      <c r="Y297" s="281">
        <f>+Y120</f>
        <v>0</v>
      </c>
      <c r="Z297" s="281">
        <f>+Z120</f>
        <v>-34.6</v>
      </c>
      <c r="AA297" s="281"/>
      <c r="AB297" s="281">
        <f>+AB120</f>
        <v>0</v>
      </c>
      <c r="AC297" s="281">
        <f>+AC120</f>
        <v>0</v>
      </c>
      <c r="AD297" s="281"/>
      <c r="AE297" s="281">
        <f>+AE120</f>
        <v>-34.6</v>
      </c>
      <c r="AF297" s="281">
        <f>+AF120</f>
        <v>0</v>
      </c>
      <c r="AG297" s="281">
        <f>+AG120</f>
        <v>0</v>
      </c>
      <c r="AH297" s="281"/>
      <c r="AI297" s="281">
        <f>+AI120</f>
        <v>0</v>
      </c>
      <c r="AJ297" s="281">
        <f>+AJ120</f>
        <v>0</v>
      </c>
      <c r="AK297" s="281"/>
      <c r="AL297" s="281">
        <f>+AL120</f>
        <v>0</v>
      </c>
      <c r="AM297" s="281">
        <f>+AM120</f>
        <v>0</v>
      </c>
      <c r="AN297" s="281">
        <f>+AN120</f>
        <v>0</v>
      </c>
      <c r="AO297" s="281"/>
      <c r="AP297" s="281">
        <f>+AP120</f>
        <v>0</v>
      </c>
      <c r="AQ297" s="281">
        <f>+AQ120</f>
        <v>0</v>
      </c>
      <c r="AR297" s="281"/>
      <c r="AS297" s="281">
        <f>+AS120</f>
        <v>0</v>
      </c>
      <c r="AT297" s="281">
        <f>+AT120</f>
        <v>0</v>
      </c>
      <c r="AU297" s="281">
        <f>+AU120</f>
        <v>0</v>
      </c>
      <c r="AV297" s="281"/>
      <c r="AW297" s="281">
        <f>+AW120</f>
        <v>0</v>
      </c>
      <c r="AX297" s="281">
        <f>+AX120</f>
        <v>-17.381050720000001</v>
      </c>
      <c r="AY297" s="281"/>
      <c r="AZ297" s="281">
        <f>+AZ120</f>
        <v>-17.381050720000001</v>
      </c>
      <c r="BA297" s="281">
        <f>+BA120</f>
        <v>0</v>
      </c>
      <c r="BB297" s="281">
        <f>+BB120</f>
        <v>-166.4</v>
      </c>
      <c r="BC297" s="281"/>
      <c r="BD297" s="281">
        <f>+BD120</f>
        <v>0</v>
      </c>
      <c r="BE297" s="281">
        <f>+BE120</f>
        <v>-22.099999999999994</v>
      </c>
      <c r="BF297" s="281"/>
      <c r="BG297" s="281">
        <f>+BG120</f>
        <v>-188.5</v>
      </c>
      <c r="BH297" s="281">
        <f>+BH120</f>
        <v>0</v>
      </c>
      <c r="BI297" s="281">
        <f>+BI120</f>
        <v>-163.6</v>
      </c>
      <c r="BJ297" s="281"/>
      <c r="BK297" s="281">
        <f>+BK120</f>
        <v>0</v>
      </c>
      <c r="BL297" s="281">
        <f>+BL120</f>
        <v>-35.5</v>
      </c>
      <c r="BM297" s="281"/>
      <c r="BN297" s="281">
        <f>+BN120</f>
        <v>-199.1</v>
      </c>
      <c r="BO297" s="281">
        <f>+BO120</f>
        <v>-124.6</v>
      </c>
      <c r="BP297" s="281">
        <f>+BP120</f>
        <v>-231.29999999999998</v>
      </c>
      <c r="BQ297" s="281"/>
      <c r="BR297" s="281">
        <f>+BR120</f>
        <v>0</v>
      </c>
      <c r="BS297" s="281">
        <f>+BS120</f>
        <v>-34.200000000000045</v>
      </c>
      <c r="BT297" s="281"/>
      <c r="BU297" s="281">
        <f>+BU120</f>
        <v>-390.1</v>
      </c>
      <c r="BV297" s="281">
        <f>+BV120</f>
        <v>0</v>
      </c>
      <c r="BW297" s="281">
        <f>+BW120</f>
        <v>-206.8</v>
      </c>
      <c r="BX297" s="281"/>
      <c r="BY297" s="281">
        <f>+BY120</f>
        <v>0</v>
      </c>
      <c r="BZ297" s="281">
        <f>+BZ120</f>
        <v>-39.699999999999989</v>
      </c>
      <c r="CA297" s="281"/>
      <c r="CB297" s="281">
        <f>+CB120</f>
        <v>-246.5</v>
      </c>
      <c r="CC297" s="281">
        <f>+CC120</f>
        <v>0</v>
      </c>
      <c r="CD297" s="281">
        <f>+CD120</f>
        <v>-130.19999999999999</v>
      </c>
      <c r="CE297" s="281"/>
      <c r="CF297" s="281">
        <f>+CF120</f>
        <v>0</v>
      </c>
      <c r="CG297" s="281">
        <f>+CG120</f>
        <v>-46.600000000000023</v>
      </c>
      <c r="CH297" s="281"/>
      <c r="CI297" s="281">
        <f>+CI120</f>
        <v>-176.8</v>
      </c>
      <c r="CJ297" s="281">
        <f>+CJ120</f>
        <v>0</v>
      </c>
      <c r="CK297" s="281">
        <f>+CK120</f>
        <v>-131.30000000000001</v>
      </c>
      <c r="CL297" s="281"/>
      <c r="CM297" s="281">
        <f>+CM120</f>
        <v>0</v>
      </c>
      <c r="CN297" s="281">
        <f>+CN120</f>
        <v>-46.199999999999989</v>
      </c>
      <c r="CO297" s="281"/>
      <c r="CP297" s="282">
        <f>+CP120</f>
        <v>-177.5</v>
      </c>
      <c r="CQ297" s="282">
        <f>+CQ120</f>
        <v>0</v>
      </c>
      <c r="CR297" s="282">
        <f>+CR120</f>
        <v>-128.5</v>
      </c>
      <c r="CS297" s="282"/>
      <c r="CT297" s="282">
        <f>+CT120</f>
        <v>0</v>
      </c>
      <c r="CU297" s="282">
        <f>+CU120</f>
        <v>-43.6</v>
      </c>
      <c r="CV297" s="282"/>
      <c r="CW297" s="282">
        <f>+CW120</f>
        <v>-172.1</v>
      </c>
      <c r="CX297" s="282">
        <f>+CX120</f>
        <v>0</v>
      </c>
      <c r="CY297" s="282">
        <f>+CY120</f>
        <v>-113.9</v>
      </c>
      <c r="CZ297" s="282"/>
      <c r="DA297" s="282">
        <f>+DA120</f>
        <v>-41.900000000000006</v>
      </c>
      <c r="DB297" s="282">
        <f>+DB120</f>
        <v>-2.7999999999999829</v>
      </c>
      <c r="DC297" s="282"/>
      <c r="DD297" s="590">
        <f>+DD120</f>
        <v>-158.6</v>
      </c>
      <c r="DE297" s="282">
        <f>+DE120</f>
        <v>0</v>
      </c>
      <c r="DF297" s="282">
        <f>+DF120</f>
        <v>0</v>
      </c>
      <c r="DG297" s="282"/>
      <c r="DH297" s="282">
        <f>+DH120</f>
        <v>0</v>
      </c>
      <c r="DI297" s="282">
        <f>+DI120</f>
        <v>0</v>
      </c>
      <c r="DJ297" s="282"/>
      <c r="DK297" s="590">
        <f>+DK120</f>
        <v>0</v>
      </c>
      <c r="DL297" s="284">
        <f>+DL120</f>
        <v>-309.89999999999998</v>
      </c>
      <c r="DM297" s="282">
        <f>+DM120</f>
        <v>0</v>
      </c>
      <c r="DN297" s="282"/>
      <c r="DO297" s="282">
        <f>+DO120</f>
        <v>-151.90000000000003</v>
      </c>
      <c r="DP297" s="282">
        <f>+DP120</f>
        <v>-22.199999999999989</v>
      </c>
      <c r="DQ297" s="282"/>
      <c r="DR297" s="590">
        <f>+DR120</f>
        <v>-484</v>
      </c>
      <c r="DS297" s="282">
        <f>+DS120</f>
        <v>0</v>
      </c>
      <c r="DT297" s="282">
        <f>+DT120</f>
        <v>-129.6</v>
      </c>
      <c r="DU297" s="282"/>
      <c r="DV297" s="282">
        <f>+DV120</f>
        <v>0</v>
      </c>
      <c r="DW297" s="282">
        <f>+DW120</f>
        <v>0</v>
      </c>
      <c r="DX297" s="282"/>
      <c r="DY297" s="590">
        <f>+DY120</f>
        <v>-129.6</v>
      </c>
      <c r="DZ297" s="282">
        <f>+DZ120</f>
        <v>0</v>
      </c>
      <c r="EA297" s="282">
        <f>+EA120</f>
        <v>0</v>
      </c>
      <c r="EB297" s="282"/>
      <c r="EC297" s="282">
        <f>+EC120</f>
        <v>0</v>
      </c>
      <c r="ED297" s="282">
        <f>+ED120</f>
        <v>0</v>
      </c>
      <c r="EE297" s="282"/>
      <c r="EF297" s="590">
        <f>+EF120</f>
        <v>0</v>
      </c>
      <c r="EG297" s="282">
        <f>+EG120</f>
        <v>0</v>
      </c>
      <c r="EH297" s="282">
        <f>+EH120</f>
        <v>0</v>
      </c>
      <c r="EI297" s="282"/>
      <c r="EJ297" s="282">
        <f>+EJ120</f>
        <v>0</v>
      </c>
      <c r="EK297" s="282">
        <f>+EK120</f>
        <v>0</v>
      </c>
      <c r="EL297" s="282"/>
      <c r="EM297" s="590">
        <f>+EM120</f>
        <v>0</v>
      </c>
      <c r="EN297" s="282">
        <f>+EN120</f>
        <v>0</v>
      </c>
      <c r="EO297" s="282">
        <f>+EO120</f>
        <v>0</v>
      </c>
      <c r="EP297" s="282"/>
      <c r="EQ297" s="284">
        <f>+EQ120</f>
        <v>0</v>
      </c>
      <c r="ER297" s="540">
        <f>+ER120</f>
        <v>0</v>
      </c>
      <c r="ES297" s="540"/>
      <c r="ET297" s="608">
        <f>+ET120</f>
        <v>0</v>
      </c>
      <c r="EU297" s="540">
        <f>+EU120</f>
        <v>0</v>
      </c>
      <c r="EV297" s="540">
        <f>+EV120</f>
        <v>0</v>
      </c>
      <c r="EW297" s="540"/>
      <c r="EX297" s="540">
        <f>+EX120</f>
        <v>0</v>
      </c>
      <c r="EY297" s="540">
        <f>+EY120</f>
        <v>0</v>
      </c>
      <c r="EZ297" s="540"/>
      <c r="FA297" s="608">
        <f>+FA120</f>
        <v>0</v>
      </c>
      <c r="FB297" s="540">
        <f>+FB120</f>
        <v>0</v>
      </c>
      <c r="FC297" s="540">
        <f>+FC120</f>
        <v>0</v>
      </c>
      <c r="FD297" s="540"/>
      <c r="FE297" s="540">
        <f>+FE120</f>
        <v>0</v>
      </c>
      <c r="FF297" s="540">
        <f>+FF120</f>
        <v>0</v>
      </c>
      <c r="FG297" s="540"/>
      <c r="FH297" s="608">
        <f>+FH120</f>
        <v>0</v>
      </c>
      <c r="FI297" s="540">
        <f>+FI120</f>
        <v>0</v>
      </c>
      <c r="FJ297" s="540">
        <f>+FJ120</f>
        <v>0</v>
      </c>
      <c r="FK297" s="540"/>
      <c r="FL297" s="540">
        <f>+FL120</f>
        <v>0</v>
      </c>
      <c r="FM297" s="540">
        <f>+FM120</f>
        <v>0</v>
      </c>
      <c r="FN297" s="540"/>
      <c r="FO297" s="608">
        <f>+FO120</f>
        <v>0</v>
      </c>
      <c r="FP297" s="540">
        <f>+FP120</f>
        <v>0</v>
      </c>
      <c r="FQ297" s="540">
        <f>+FQ120</f>
        <v>0</v>
      </c>
      <c r="FR297" s="540"/>
      <c r="FS297" s="540">
        <f>+FS120</f>
        <v>0</v>
      </c>
      <c r="FT297" s="540">
        <f>+FT120</f>
        <v>0</v>
      </c>
      <c r="FU297" s="540"/>
      <c r="FV297" s="608">
        <f>+FV120</f>
        <v>0</v>
      </c>
    </row>
    <row r="298" spans="2:178" outlineLevel="1" x14ac:dyDescent="0.3">
      <c r="B298" s="501" t="s">
        <v>623</v>
      </c>
      <c r="C298" s="280" t="s">
        <v>226</v>
      </c>
      <c r="K298" s="281">
        <f>+SUM(K212:K216)-SUM(J212:J216)-K297-K296</f>
        <v>-17.999999999999993</v>
      </c>
      <c r="L298" s="281">
        <f>+SUM(L212:L216)-SUM(K212:K216)-L297-L296</f>
        <v>25.5</v>
      </c>
      <c r="N298" s="281">
        <f>+SUM(N212:N216)-SUM(L212:L216)-N297-N296</f>
        <v>3.5999999999999801</v>
      </c>
      <c r="O298" s="281">
        <f>+SUM(O212:O216)-SUM(N212:N216)-O297-O296</f>
        <v>382.1</v>
      </c>
      <c r="Q298" s="281">
        <f>+SUM(Q212:Q216)-SUM(J212:J216)-Q297-Q296</f>
        <v>393.20000000000005</v>
      </c>
      <c r="R298" s="281">
        <f>+SUM(R212:R216)-SUM(Q212:Q216)-R297-R296</f>
        <v>-150.39999999999998</v>
      </c>
      <c r="S298" s="281">
        <f>+SUM(S212:S216)-SUM(R212:R216)-S297-S296</f>
        <v>16.299999999999944</v>
      </c>
      <c r="U298" s="281">
        <f>+SUM(U212:U216)-SUM(S212:S216)-U297-U296</f>
        <v>-129.89999999999998</v>
      </c>
      <c r="V298" s="281">
        <f>+SUM(V212:V216)-SUM(U212:U216)-V297-V296</f>
        <v>30.999999999999986</v>
      </c>
      <c r="X298" s="281">
        <f>+SUM(X212:X216)-SUM(Q212:Q216)-X297-X296</f>
        <v>-230.99999999999994</v>
      </c>
      <c r="Y298" s="281">
        <f>+SUM(Y212:Y216)-SUM(X212:X216)-Y297-Y296</f>
        <v>-36.399999999999984</v>
      </c>
      <c r="Z298" s="281">
        <f>+SUM(Z212:Z216)-SUM(Y212:Y216)-Z297-Z296</f>
        <v>2.3000000000000398</v>
      </c>
      <c r="AB298" s="281">
        <f>+SUM(AB212:AB216)-SUM(Z212:Z216)-AB297-AB296</f>
        <v>-32.100000000000009</v>
      </c>
      <c r="AC298" s="281">
        <f>+SUM(AC212:AC216)-SUM(AB212:AB216)-AC297-AC296</f>
        <v>73.69999999999996</v>
      </c>
      <c r="AE298" s="281">
        <f>+SUM(AE212:AE216)-SUM(X212:X216)-AE297-AE296</f>
        <v>-7.3000000000000398</v>
      </c>
      <c r="AF298" s="281">
        <f>+SUM(AF212:AF216)-SUM(AE212:AE216)-AF297-AF296</f>
        <v>35.400000000000048</v>
      </c>
      <c r="AG298" s="281">
        <f>+SUM(AG212:AG216)-SUM(AF212:AF216)-AG297-AG296</f>
        <v>17.299999999999926</v>
      </c>
      <c r="AI298" s="281">
        <f>+SUM(AI212:AI216)-SUM(AG212:AG216)-AI297-AI296</f>
        <v>5.7000000000000828</v>
      </c>
      <c r="AJ298" s="281">
        <f>+SUM(AJ212:AJ216)-SUM(AI212:AI216)-AJ297-AJ296</f>
        <v>15.399999999999984</v>
      </c>
      <c r="AL298" s="281">
        <f>+SUM(AL212:AL216)-SUM(AE212:AE216)-AL297-AL296</f>
        <v>73.800000000000026</v>
      </c>
      <c r="AM298" s="281">
        <f>+SUM(AM212:AM216)-SUM(AL212:AL216)-AM297-AM296</f>
        <v>-13.700000000000045</v>
      </c>
      <c r="AN298" s="281">
        <f>+SUM(AN212:AN216)-SUM(AM212:AM216)-AN297-AN296</f>
        <v>18.300000000000125</v>
      </c>
      <c r="AP298" s="281">
        <f>+SUM(AP212:AP216)-SUM(AN212:AN216)-AP297-AP296</f>
        <v>8.1999999999999531</v>
      </c>
      <c r="AQ298" s="281">
        <f>+SUM(AQ212:AQ216)-SUM(AP212:AP216)-AQ297-AQ296</f>
        <v>-3.8000000000000185</v>
      </c>
      <c r="AS298" s="281">
        <f>+SUM(AS212:AS216)-SUM(AL212:AL216)-AS297-AS296</f>
        <v>9</v>
      </c>
      <c r="AT298" s="281">
        <f>+SUM(AT212:AT216)-SUM(AS212:AS216)-AT297-AT296</f>
        <v>2.6999999999998976</v>
      </c>
      <c r="AU298" s="281">
        <f>+SUM(AU212:AU216)-SUM(AT212:AT216)-AU297-AU296</f>
        <v>-10.099999999999838</v>
      </c>
      <c r="AW298" s="281">
        <f>+SUM(AW212:AW216)-SUM(AU212:AU216)-AW297-AW296</f>
        <v>-19.299999999999976</v>
      </c>
      <c r="AX298" s="281">
        <f>+SUM(AX212:AX216)-SUM(AW212:AW216)-AX297-AX296</f>
        <v>19.181050719999917</v>
      </c>
      <c r="AZ298" s="281">
        <f>+SUM(AZ212:AZ216)-SUM(AS212:AS216)-AZ297-AZ296</f>
        <v>-7.5189492800000153</v>
      </c>
      <c r="BA298" s="281">
        <f>+SUM(BA212:BA216)-SUM(AZ212:AZ216)-BA297-BA296</f>
        <v>-168.39999999999998</v>
      </c>
      <c r="BB298" s="281">
        <f>+SUM(BB212:BB216)-SUM(BA212:BA216)-BB297-BB296</f>
        <v>185</v>
      </c>
      <c r="BD298" s="281">
        <f>+SUM(BD212:BD216)-SUM(BB212:BB216)-BD297-BD296</f>
        <v>-15.200000000000024</v>
      </c>
      <c r="BE298" s="281">
        <f>+SUM(BE212:BE216)-SUM(BD212:BD216)-BE297-BE296</f>
        <v>30.099999999999994</v>
      </c>
      <c r="BG298" s="281">
        <f>+SUM(BG212:BG216)-SUM(AZ212:AZ216)-BG297-BG296</f>
        <v>31.499999999999972</v>
      </c>
      <c r="BH298" s="281">
        <f>+SUM(BH212:BH216)-SUM(BG212:BG216)-BH297-BH296</f>
        <v>-173.7</v>
      </c>
      <c r="BI298" s="281">
        <f>+SUM(BI212:BI216)-SUM(BH212:BH216)-BI297-BI296</f>
        <v>169.2</v>
      </c>
      <c r="BK298" s="281">
        <f>+SUM(BK212:BK216)-SUM(BI212:BI216)-BK297-BK296</f>
        <v>-32.40000000000002</v>
      </c>
      <c r="BL298" s="281">
        <f>+SUM(BL212:BL216)-SUM(BK212:BK216)-BL297-BL296</f>
        <v>-407.79999999999995</v>
      </c>
      <c r="BN298" s="281">
        <f>+SUM(BN212:BN216)-SUM(BG212:BG216)-BN297-BN296</f>
        <v>-444.69999999999993</v>
      </c>
      <c r="BO298" s="281">
        <f>+SUM(BO212:BO216)-SUM(BN212:BN216)-BO297-BO296</f>
        <v>-106.19999999999992</v>
      </c>
      <c r="BP298" s="281">
        <f>+SUM(BP212:BP216)-SUM(BO212:BO216)-BP297-BP296</f>
        <v>217.7999999999999</v>
      </c>
      <c r="BR298" s="281">
        <f>+SUM(BR212:BR216)-SUM(BP212:BP216)-BR297-BR296</f>
        <v>-45.000000000000057</v>
      </c>
      <c r="BS298" s="281">
        <f>+SUM(BS212:BS216)-SUM(BR212:BR216)-BS297-BS296</f>
        <v>28.000000000000036</v>
      </c>
      <c r="BU298" s="281">
        <f>+SUM(BU212:BU216)-SUM(BN212:BN216)-BU297-BU296</f>
        <v>94.599999999999966</v>
      </c>
      <c r="BV298" s="281">
        <f>+SUM(BV212:BV216)-SUM(BU212:BU216)-BV297-BV296</f>
        <v>-213.7999999999999</v>
      </c>
      <c r="BW298" s="281">
        <f>+SUM(BW212:BW216)-SUM(BV212:BV216)-BW297-BW296</f>
        <v>168.99999999999994</v>
      </c>
      <c r="BY298" s="281">
        <f>+SUM(BY212:BY216)-SUM(BW212:BW216)-BY297-BY296</f>
        <v>-28.800000000000047</v>
      </c>
      <c r="BZ298" s="281">
        <f>+SUM(BZ212:BZ216)-SUM(BY212:BY216)-BZ297-BZ296</f>
        <v>52.600000000000009</v>
      </c>
      <c r="CB298" s="281">
        <f>+SUM(CB212:CB216)-SUM(BU212:BU216)-CB297-CB296</f>
        <v>-18.900000000000063</v>
      </c>
      <c r="CC298" s="281">
        <f>+SUM(CC212:CC216)-SUM(CB212:CB216)-CC297-CC296</f>
        <v>-131.9</v>
      </c>
      <c r="CD298" s="281">
        <f>+SUM(CD212:CD216)-SUM(CC212:CC216)-CD297-CD296</f>
        <v>41.499999999999929</v>
      </c>
      <c r="CF298" s="281">
        <f>+SUM(CF212:CF216)-SUM(CD212:CD216)-CF297-CF296</f>
        <v>-53.599999999999952</v>
      </c>
      <c r="CG298" s="281">
        <f>+SUM(CG212:CG216)-SUM(CF212:CF216)-CG297-CG296</f>
        <v>60.700000000000053</v>
      </c>
      <c r="CI298" s="281">
        <f>+SUM(CI212:CI216)-SUM(CB212:CB216)-CI297-CI296</f>
        <v>-83.300000000000011</v>
      </c>
      <c r="CJ298" s="281">
        <f>+SUM(CJ212:CJ216)-SUM(CI212:CI216)-CJ297-CJ296</f>
        <v>-117.80000000000004</v>
      </c>
      <c r="CK298" s="281">
        <f>+SUM(CK212:CK216)-SUM(CJ212:CJ216)-CK297-CK296</f>
        <v>136.69999999999999</v>
      </c>
      <c r="CM298" s="281">
        <f>+SUM(CM212:CM216)-SUM(CK212:CK216)-CM297-CM296</f>
        <v>-39.90000000000002</v>
      </c>
      <c r="CN298" s="281">
        <f>+SUM(CN212:CN216)-SUM(CM212:CM216)-CN297-CN296</f>
        <v>43.000000000000071</v>
      </c>
      <c r="CP298" s="282">
        <f>+SUM(CP212:CP216)-SUM(CI212:CI216)-CP297-CP296</f>
        <v>23.700000000000074</v>
      </c>
      <c r="CQ298" s="282">
        <f>+SUM(CQ212:CQ216)-SUM(CP212:CP216)-CQ297-CQ296</f>
        <v>1013.4999999999999</v>
      </c>
      <c r="CR298" s="282">
        <f>+SUM(CR212:CR216)-SUM(CQ212:CQ216)-CR297-CR296</f>
        <v>125</v>
      </c>
      <c r="CS298" s="282"/>
      <c r="CT298" s="282">
        <f>+SUM(CT212:CT216)-SUM(CR212:CR216)-CT297-CT296</f>
        <v>-47.300000000000082</v>
      </c>
      <c r="CU298" s="282">
        <f>+SUM(CU212:CU216)-SUM(CT212:CT216)-CU297-CU296</f>
        <v>-25.499999999999822</v>
      </c>
      <c r="CV298" s="282"/>
      <c r="CW298" s="282">
        <f>+SUM(CW212:CW216)-SUM(CP212:CP216)-CW297-CW296</f>
        <v>1065.7</v>
      </c>
      <c r="CX298" s="282">
        <f>+SUM(CX212:CX216)-SUM(CW212:CW216)-CX297-CX296</f>
        <v>-112.80000000000011</v>
      </c>
      <c r="CY298" s="282">
        <f>+SUM(CY212:CY216)-SUM(CX212:CX216)-CY297-CY296</f>
        <v>101.70000000000002</v>
      </c>
      <c r="CZ298" s="282"/>
      <c r="DA298" s="282">
        <f>+SUM(DA212:DA216)-SUM(CY212:CY216)-DA297-DA296</f>
        <v>-14.800000000000026</v>
      </c>
      <c r="DB298" s="282">
        <f>+SUM(DB212:DB216)-SUM(DA212:DA216)-DB297-DB296</f>
        <v>-24.100000000000023</v>
      </c>
      <c r="DC298" s="282"/>
      <c r="DD298" s="590">
        <f>+SUM(DD212:DD216)-SUM(CW212:CW216)-DD297-DD296</f>
        <v>-50.000000000000142</v>
      </c>
      <c r="DE298" s="282">
        <f>+SUM(DE212:DE216)-SUM(DD212:DD216)-DE297-DE296</f>
        <v>29.500000000000078</v>
      </c>
      <c r="DF298" s="282">
        <f>+SUM(DF212:DF216)-SUM(DE212:DE216)-DF297-DF296</f>
        <v>18.699999999999989</v>
      </c>
      <c r="DG298" s="282"/>
      <c r="DH298" s="282">
        <f>+SUM(DH212:DH216)-SUM(DF212:DF216)-DH297-DH296</f>
        <v>28.799999999999997</v>
      </c>
      <c r="DI298" s="282">
        <f>+SUM(DI212:DI216)-SUM(DH212:DH216)-DI297-DI296</f>
        <v>-315.10000000000002</v>
      </c>
      <c r="DJ298" s="282"/>
      <c r="DK298" s="590">
        <f>+SUM(DK212:DK216)-SUM(DD212:DD216)-DK297-DK296</f>
        <v>-238.10000000000014</v>
      </c>
      <c r="DL298" s="284">
        <f>+SUM(DL212:DL216)-SUM(DK212:DK216)-DL297-DL296</f>
        <v>314.39999999999992</v>
      </c>
      <c r="DM298" s="282">
        <f>+SUM(DM212:DM216)-SUM(DL212:DL216)-DM297-DM296</f>
        <v>-15.899999999999864</v>
      </c>
      <c r="DN298" s="282"/>
      <c r="DO298" s="282">
        <f>+SUM(DO212:DO216)-SUM(DM212:DM216)-DO297-DO296</f>
        <v>-25.199999999999989</v>
      </c>
      <c r="DP298" s="282">
        <f>+SUM(DP212:DP216)-SUM(DO212:DO216)-DP297-DP296</f>
        <v>22.799999999999883</v>
      </c>
      <c r="DQ298" s="282"/>
      <c r="DR298" s="590">
        <f>+SUM(DR212:DR216)-SUM(DK212:DK216)-DR297-DR296</f>
        <v>296.30000000000007</v>
      </c>
      <c r="DS298" s="282">
        <f>+SUM(DS212:DS216)-SUM(DR212:DR216)-DS297-DS296</f>
        <v>-167.60000000000005</v>
      </c>
      <c r="DT298" s="282">
        <f>+SUM(DT212:DT216)-SUM(DS212:DS216)-DT297-DT296</f>
        <v>113.3000000000001</v>
      </c>
      <c r="DU298" s="282"/>
      <c r="DV298" s="282">
        <f>+SUM(DV212:DV216)-SUM(DT212:DT216)-DV297-DV296</f>
        <v>0.79999999999998295</v>
      </c>
      <c r="DW298" s="282">
        <f>+SUM(DW212:DW216)-SUM(DV212:DV216)-DW297-DW296</f>
        <v>-35.299999999999898</v>
      </c>
      <c r="DX298" s="282"/>
      <c r="DY298" s="590">
        <f>+SUM(DY212:DY216)-SUM(DR212:DR216)-DY297-DY296</f>
        <v>-101.89999999999986</v>
      </c>
      <c r="DZ298" s="282">
        <f>+SUM(DZ212:DZ216)-SUM(DY212:DY216)-DZ297-DZ296</f>
        <v>-38.300000000000097</v>
      </c>
      <c r="EA298" s="282">
        <f>+SUM(EA212:EA216)-SUM(DZ212:DZ216)-EA297-EA296</f>
        <v>-81.699999999999903</v>
      </c>
      <c r="EB298" s="282"/>
      <c r="EC298" s="282">
        <f>+SUM(EC212:EC216)-SUM(EA212:EA216)-EC297-EC296</f>
        <v>-41.300000000000125</v>
      </c>
      <c r="ED298" s="282">
        <f>+SUM(ED212:ED216)-SUM(EC212:EC216)-ED297-ED296</f>
        <v>-90.399999999999949</v>
      </c>
      <c r="EE298" s="282"/>
      <c r="EF298" s="590">
        <f>+SUM(EF212:EF216)-SUM(DY212:DY216)-EF297-EF296</f>
        <v>-257.40000000000032</v>
      </c>
      <c r="EG298" s="282">
        <f>+SUM(EG212:EG216)-SUM(EF212:EF216)-EG297-EG296</f>
        <v>-64.700000000000131</v>
      </c>
      <c r="EH298" s="282">
        <f>+SUM(EH212:EH216)-SUM(EG212:EG216)-EH297-EH296</f>
        <v>-30.09999999999981</v>
      </c>
      <c r="EI298" s="282"/>
      <c r="EJ298" s="282">
        <f>+SUM(EJ212:EJ216)-SUM(EH212:EH216)-EJ297-EJ296</f>
        <v>-9.1000000000000512</v>
      </c>
      <c r="EK298" s="282">
        <f>+SUM(EK212:EK216)-SUM(EJ212:EJ216)-EK297-EK296</f>
        <v>18.699999999999854</v>
      </c>
      <c r="EL298" s="282"/>
      <c r="EM298" s="590">
        <f>+SUM(EM212:EM216)-SUM(EF212:EF216)-EM297-EM296</f>
        <v>-119.60000000000014</v>
      </c>
      <c r="EN298" s="282">
        <f>+SUM(EN212:EN216)-SUM(EM212:EM216)-EN297-EN296</f>
        <v>-9.6000000000000512</v>
      </c>
      <c r="EO298" s="282">
        <f>+SUM(EO212:EO216)-SUM(EN212:EN216)-EO297-EO296</f>
        <v>4021.6000000000008</v>
      </c>
      <c r="EP298" s="282"/>
      <c r="EQ298" s="284">
        <f>+SUM(EQ212:EQ216)-SUM(EP212:EP216)-EQ297-EQ296</f>
        <v>5.3999999999994515</v>
      </c>
      <c r="ER298" s="282">
        <f>+SUM(ER212:ER216)-SUM(EQ212:EQ216)-ER297-ER296</f>
        <v>-12.290000000000106</v>
      </c>
      <c r="ES298" s="282"/>
      <c r="ET298" s="590">
        <f>+SUM(ET212:ET216)-SUM(EM212:EM216)-ET297-ET296</f>
        <v>4016.6100000000006</v>
      </c>
      <c r="EU298" s="282">
        <f>+SUM(EU212:EU216)-SUM(ET212:ET216)-EU297-EU296</f>
        <v>3.979039320256561E-13</v>
      </c>
      <c r="EV298" s="282">
        <f>+SUM(EV212:EV216)-SUM(EU212:EU216)-EV297-EV296</f>
        <v>-6.2527760746888816E-13</v>
      </c>
      <c r="EW298" s="282"/>
      <c r="EX298" s="282">
        <f>+SUM(EX212:EX216)-SUM(EV212:EV216)-EX297-EX296</f>
        <v>4.2632564145606011E-13</v>
      </c>
      <c r="EY298" s="282">
        <f>+SUM(EY212:EY216)-SUM(EX212:EX216)-EY297-EY296</f>
        <v>-2.2737367544323206E-13</v>
      </c>
      <c r="EZ298" s="282"/>
      <c r="FA298" s="590">
        <f>+SUM(FA212:FA216)-SUM(ET212:ET216)-FA297-FA296</f>
        <v>0</v>
      </c>
      <c r="FB298" s="282">
        <f>+SUM(FB212:FB216)-SUM(FA212:FA216)-FB297-FB296</f>
        <v>0</v>
      </c>
      <c r="FC298" s="282">
        <f>+SUM(FC212:FC216)-SUM(FB212:FB216)-FC297-FC296</f>
        <v>0</v>
      </c>
      <c r="FD298" s="282"/>
      <c r="FE298" s="282">
        <f>+SUM(FE212:FE216)-SUM(FC212:FC216)-FE297-FE296</f>
        <v>4.5474735088646412E-13</v>
      </c>
      <c r="FF298" s="282">
        <f>+SUM(FF212:FF216)-SUM(FE212:FE216)-FF297-FF296</f>
        <v>-7.9580786405131221E-13</v>
      </c>
      <c r="FG298" s="282"/>
      <c r="FH298" s="590">
        <f>+SUM(FH212:FH216)-SUM(FA212:FA216)-FH297-FH296</f>
        <v>0</v>
      </c>
      <c r="FI298" s="282">
        <f>+SUM(FI212:FI216)-SUM(FH212:FH216)-FI297-FI296</f>
        <v>-9.6633812063373625E-13</v>
      </c>
      <c r="FJ298" s="282">
        <f>+SUM(FJ212:FJ216)-SUM(FI212:FI216)-FJ297-FJ296</f>
        <v>-7.3896444519050419E-13</v>
      </c>
      <c r="FK298" s="282"/>
      <c r="FL298" s="282">
        <f>+SUM(FL212:FL216)-SUM(FJ212:FJ216)-FL297-FL296</f>
        <v>-1.0231815394945443E-12</v>
      </c>
      <c r="FM298" s="282">
        <f>+SUM(FM212:FM216)-SUM(FL212:FL216)-FM297-FM296</f>
        <v>0</v>
      </c>
      <c r="FN298" s="282"/>
      <c r="FO298" s="590">
        <f>+SUM(FO212:FO216)-SUM(FH212:FH216)-FO297-FO296</f>
        <v>-3.1832314562052488E-12</v>
      </c>
      <c r="FP298" s="282">
        <f>+SUM(FP212:FP216)-SUM(FO212:FO216)-FP297-FP296</f>
        <v>9.0949470177292824E-13</v>
      </c>
      <c r="FQ298" s="282">
        <f>+SUM(FQ212:FQ216)-SUM(FP212:FP216)-FQ297-FQ296</f>
        <v>-5.6843418860808015E-13</v>
      </c>
      <c r="FR298" s="282"/>
      <c r="FS298" s="282">
        <f>+SUM(FS212:FS216)-SUM(FQ212:FQ216)-FS297-FS296</f>
        <v>5.1159076974727213E-13</v>
      </c>
      <c r="FT298" s="282">
        <f>+SUM(FT212:FT216)-SUM(FS212:FS216)-FT297-FT296</f>
        <v>4.5474735088646412E-13</v>
      </c>
      <c r="FU298" s="282"/>
      <c r="FV298" s="590">
        <f>+SUM(FV212:FV216)-SUM(FO212:FO216)-FV297-FV296</f>
        <v>0</v>
      </c>
    </row>
    <row r="299" spans="2:178" outlineLevel="1" x14ac:dyDescent="0.3">
      <c r="B299" s="503" t="s">
        <v>624</v>
      </c>
      <c r="C299" s="280" t="s">
        <v>226</v>
      </c>
      <c r="D299" s="305">
        <f>+SUM(D211:D216)</f>
        <v>658.69999999999993</v>
      </c>
      <c r="E299" s="305">
        <f>+SUM(E211:E216)</f>
        <v>712.7</v>
      </c>
      <c r="F299" s="305"/>
      <c r="G299" s="305">
        <f>+SUM(G211:G216)</f>
        <v>740</v>
      </c>
      <c r="H299" s="305">
        <f>+SUM(H211:H216)</f>
        <v>94.899999999999991</v>
      </c>
      <c r="I299" s="305"/>
      <c r="J299" s="305">
        <f>+SUM(J211:J216)</f>
        <v>94.899999999999991</v>
      </c>
      <c r="K299" s="305">
        <f t="shared" ref="K299:BV299" si="1085">+SUM(K294:K298)</f>
        <v>112.79999999999998</v>
      </c>
      <c r="L299" s="305">
        <f t="shared" si="1085"/>
        <v>140.69999999999999</v>
      </c>
      <c r="M299" s="305"/>
      <c r="N299" s="305">
        <f t="shared" si="1085"/>
        <v>138.79999999999995</v>
      </c>
      <c r="O299" s="305">
        <f t="shared" si="1085"/>
        <v>258.7</v>
      </c>
      <c r="P299" s="305"/>
      <c r="Q299" s="305">
        <f t="shared" si="1085"/>
        <v>258.7</v>
      </c>
      <c r="R299" s="305">
        <f t="shared" si="1085"/>
        <v>147.70000000000005</v>
      </c>
      <c r="S299" s="305">
        <f t="shared" si="1085"/>
        <v>112.4</v>
      </c>
      <c r="T299" s="305"/>
      <c r="U299" s="305">
        <f t="shared" si="1085"/>
        <v>-52.599999999999952</v>
      </c>
      <c r="V299" s="305">
        <f t="shared" si="1085"/>
        <v>-202.60000000000002</v>
      </c>
      <c r="W299" s="305"/>
      <c r="X299" s="305">
        <f t="shared" si="1085"/>
        <v>-202.60000000000002</v>
      </c>
      <c r="Y299" s="305">
        <f t="shared" si="1085"/>
        <v>-237.60000000000002</v>
      </c>
      <c r="Z299" s="305">
        <f t="shared" si="1085"/>
        <v>-116.39999999999998</v>
      </c>
      <c r="AA299" s="305"/>
      <c r="AB299" s="305">
        <f t="shared" si="1085"/>
        <v>-37.5</v>
      </c>
      <c r="AC299" s="305">
        <f t="shared" si="1085"/>
        <v>-108.70000000000005</v>
      </c>
      <c r="AD299" s="305"/>
      <c r="AE299" s="305">
        <f t="shared" si="1085"/>
        <v>-108.70000000000005</v>
      </c>
      <c r="AF299" s="305">
        <f t="shared" si="1085"/>
        <v>-151.19999999999999</v>
      </c>
      <c r="AG299" s="305">
        <f t="shared" si="1085"/>
        <v>-153.00000000000006</v>
      </c>
      <c r="AH299" s="305"/>
      <c r="AI299" s="305">
        <f t="shared" si="1085"/>
        <v>-131.09999999999997</v>
      </c>
      <c r="AJ299" s="305">
        <f t="shared" si="1085"/>
        <v>-117.9</v>
      </c>
      <c r="AK299" s="305"/>
      <c r="AL299" s="305">
        <f t="shared" si="1085"/>
        <v>-117.90000000000002</v>
      </c>
      <c r="AM299" s="305">
        <f t="shared" si="1085"/>
        <v>-26.70000000000006</v>
      </c>
      <c r="AN299" s="305">
        <f t="shared" si="1085"/>
        <v>-431.99999999999994</v>
      </c>
      <c r="AO299" s="305"/>
      <c r="AP299" s="305">
        <f t="shared" si="1085"/>
        <v>-450.1</v>
      </c>
      <c r="AQ299" s="305">
        <f t="shared" si="1085"/>
        <v>-454.5</v>
      </c>
      <c r="AR299" s="305"/>
      <c r="AS299" s="305">
        <f t="shared" si="1085"/>
        <v>-454.5</v>
      </c>
      <c r="AT299" s="305">
        <f t="shared" si="1085"/>
        <v>-450.7000000000001</v>
      </c>
      <c r="AU299" s="305">
        <f t="shared" si="1085"/>
        <v>-335.29999999999995</v>
      </c>
      <c r="AV299" s="305"/>
      <c r="AW299" s="305">
        <f t="shared" si="1085"/>
        <v>-360.29999999999995</v>
      </c>
      <c r="AX299" s="305">
        <f t="shared" si="1085"/>
        <v>126.39999999999999</v>
      </c>
      <c r="AY299" s="305"/>
      <c r="AZ299" s="305">
        <f t="shared" si="1085"/>
        <v>126.39999999999995</v>
      </c>
      <c r="BA299" s="305">
        <f t="shared" si="1085"/>
        <v>26.999999999999943</v>
      </c>
      <c r="BB299" s="305">
        <f t="shared" si="1085"/>
        <v>61.799999999999926</v>
      </c>
      <c r="BC299" s="305"/>
      <c r="BD299" s="305">
        <f t="shared" si="1085"/>
        <v>79.199999999999932</v>
      </c>
      <c r="BE299" s="305">
        <f t="shared" si="1085"/>
        <v>18.19999999999996</v>
      </c>
      <c r="BF299" s="305"/>
      <c r="BG299" s="305">
        <f t="shared" si="1085"/>
        <v>18.19999999999996</v>
      </c>
      <c r="BH299" s="305">
        <f t="shared" si="1085"/>
        <v>-13.000000000000057</v>
      </c>
      <c r="BI299" s="305">
        <f t="shared" si="1085"/>
        <v>44.899999999999949</v>
      </c>
      <c r="BJ299" s="305"/>
      <c r="BK299" s="305">
        <f t="shared" si="1085"/>
        <v>105.69999999999995</v>
      </c>
      <c r="BL299" s="305">
        <f t="shared" si="1085"/>
        <v>-199</v>
      </c>
      <c r="BM299" s="305"/>
      <c r="BN299" s="305">
        <f t="shared" si="1085"/>
        <v>-199.00000000000003</v>
      </c>
      <c r="BO299" s="305">
        <f t="shared" si="1085"/>
        <v>-400.9</v>
      </c>
      <c r="BP299" s="305">
        <f t="shared" si="1085"/>
        <v>-287.10000000000008</v>
      </c>
      <c r="BQ299" s="305"/>
      <c r="BR299" s="305">
        <f t="shared" si="1085"/>
        <v>-224.40000000000015</v>
      </c>
      <c r="BS299" s="305">
        <f t="shared" si="1085"/>
        <v>-202.60000000000016</v>
      </c>
      <c r="BT299" s="305"/>
      <c r="BU299" s="305">
        <f t="shared" si="1085"/>
        <v>-202.60000000000008</v>
      </c>
      <c r="BV299" s="305">
        <f t="shared" si="1085"/>
        <v>-356.29999999999995</v>
      </c>
      <c r="BW299" s="305">
        <f t="shared" ref="BW299:DF299" si="1086">+SUM(BW294:BW298)</f>
        <v>-264</v>
      </c>
      <c r="BX299" s="305"/>
      <c r="BY299" s="305">
        <f t="shared" si="1086"/>
        <v>-267.3</v>
      </c>
      <c r="BZ299" s="305">
        <f t="shared" si="1086"/>
        <v>-225.20000000000005</v>
      </c>
      <c r="CA299" s="305"/>
      <c r="CB299" s="305">
        <f t="shared" si="1086"/>
        <v>-225.20000000000002</v>
      </c>
      <c r="CC299" s="305">
        <f t="shared" si="1086"/>
        <v>-270</v>
      </c>
      <c r="CD299" s="305">
        <f t="shared" si="1086"/>
        <v>-304.20000000000005</v>
      </c>
      <c r="CE299" s="305"/>
      <c r="CF299" s="305">
        <f t="shared" si="1086"/>
        <v>-269.7</v>
      </c>
      <c r="CG299" s="305">
        <f t="shared" si="1086"/>
        <v>-212.2</v>
      </c>
      <c r="CH299" s="305"/>
      <c r="CI299" s="305">
        <f t="shared" si="1086"/>
        <v>-212.20000000000002</v>
      </c>
      <c r="CJ299" s="305">
        <f t="shared" si="1086"/>
        <v>-272.40000000000009</v>
      </c>
      <c r="CK299" s="305">
        <f t="shared" si="1086"/>
        <v>-200.60000000000008</v>
      </c>
      <c r="CL299" s="305"/>
      <c r="CM299" s="305">
        <f t="shared" si="1086"/>
        <v>-161.00000000000014</v>
      </c>
      <c r="CN299" s="305">
        <f t="shared" si="1086"/>
        <v>-221.50000000000006</v>
      </c>
      <c r="CO299" s="305"/>
      <c r="CP299" s="306">
        <f t="shared" si="1086"/>
        <v>-221.5</v>
      </c>
      <c r="CQ299" s="306">
        <f>+SUM(CQ294:CQ298)</f>
        <v>882.59999999999991</v>
      </c>
      <c r="CR299" s="306">
        <f t="shared" si="1086"/>
        <v>948.89999999999986</v>
      </c>
      <c r="CS299" s="306"/>
      <c r="CT299" s="306">
        <f>+SUM(CT294:CT298)</f>
        <v>969.69999999999982</v>
      </c>
      <c r="CU299" s="306">
        <f t="shared" si="1086"/>
        <v>974.4</v>
      </c>
      <c r="CV299" s="306"/>
      <c r="CW299" s="306">
        <f t="shared" si="1086"/>
        <v>974.40000000000009</v>
      </c>
      <c r="CX299" s="306">
        <f t="shared" si="1086"/>
        <v>948.1</v>
      </c>
      <c r="CY299" s="306">
        <f t="shared" si="1086"/>
        <v>1039.3</v>
      </c>
      <c r="CZ299" s="306"/>
      <c r="DA299" s="306">
        <f t="shared" si="1086"/>
        <v>1059.8999999999999</v>
      </c>
      <c r="DB299" s="306">
        <f>+SUM(DB294:DB298)</f>
        <v>1035.2999999999997</v>
      </c>
      <c r="DC299" s="306"/>
      <c r="DD299" s="576">
        <f>+SUM(DD294:DD298)</f>
        <v>1035.3</v>
      </c>
      <c r="DE299" s="306">
        <f>+SUM(DE294:DE298)</f>
        <v>1074.2</v>
      </c>
      <c r="DF299" s="306">
        <f t="shared" si="1086"/>
        <v>1180.3</v>
      </c>
      <c r="DG299" s="306"/>
      <c r="DH299" s="306">
        <f>+SUM(DH294:DH298)</f>
        <v>1277.8</v>
      </c>
      <c r="DI299" s="306">
        <f>+SUM(DI294:DI298)</f>
        <v>1060.7999999999997</v>
      </c>
      <c r="DJ299" s="306"/>
      <c r="DK299" s="576">
        <f>+SUM(DK294:DK298)</f>
        <v>1060.8</v>
      </c>
      <c r="DL299" s="307">
        <f>+SUM(DL294:DL298)</f>
        <v>1186.6999999999998</v>
      </c>
      <c r="DM299" s="306">
        <f>+SUM(DM294:DM298)</f>
        <v>1321.7</v>
      </c>
      <c r="DN299" s="306"/>
      <c r="DO299" s="306">
        <f>+SUM(DO294:DO298)</f>
        <v>1280.3</v>
      </c>
      <c r="DP299" s="306">
        <f>+SUM(DP294:DP298)</f>
        <v>1332.8999999999999</v>
      </c>
      <c r="DQ299" s="306"/>
      <c r="DR299" s="576">
        <f>+SUM(DR294:DR298)</f>
        <v>1332.9</v>
      </c>
      <c r="DS299" s="306">
        <f>+SUM(DS294:DS298)</f>
        <v>1328.3</v>
      </c>
      <c r="DT299" s="306">
        <f>+SUM(DT294:DT298)</f>
        <v>1466.3000000000004</v>
      </c>
      <c r="DU299" s="306"/>
      <c r="DV299" s="306">
        <f>+SUM(DV294:DV298)</f>
        <v>1567.7000000000003</v>
      </c>
      <c r="DW299" s="306">
        <f>+SUM(DW294:DW298)</f>
        <v>1611.4000000000003</v>
      </c>
      <c r="DX299" s="306"/>
      <c r="DY299" s="576">
        <f>+SUM(DY294:DY298)</f>
        <v>1611.4000000000003</v>
      </c>
      <c r="DZ299" s="306">
        <f>+SUM(DZ294:DZ298)</f>
        <v>1719.4000000000003</v>
      </c>
      <c r="EA299" s="306">
        <f>+SUM(EA294:EA298)</f>
        <v>1788.0000000000005</v>
      </c>
      <c r="EB299" s="306"/>
      <c r="EC299" s="306">
        <f>+SUM(EC294:EC298)</f>
        <v>1895.2000000000003</v>
      </c>
      <c r="ED299" s="306">
        <f>+SUM(ED294:ED298)</f>
        <v>1858.9000000000003</v>
      </c>
      <c r="EE299" s="306"/>
      <c r="EF299" s="576">
        <f>+SUM(EF294:EF298)</f>
        <v>1858.9000000000003</v>
      </c>
      <c r="EG299" s="306">
        <f>+SUM(EG294:EG298)</f>
        <v>1937.0000000000002</v>
      </c>
      <c r="EH299" s="306">
        <f>+SUM(EH294:EH298)</f>
        <v>1976.8000000000004</v>
      </c>
      <c r="EI299" s="306"/>
      <c r="EJ299" s="306">
        <f>+SUM(EJ294:EJ298)</f>
        <v>2100.3000000000006</v>
      </c>
      <c r="EK299" s="306">
        <f>+SUM(EK294:EK298)</f>
        <v>2161.5000000000005</v>
      </c>
      <c r="EL299" s="306"/>
      <c r="EM299" s="576">
        <f>+SUM(EM294:EM298)</f>
        <v>2161.5</v>
      </c>
      <c r="EN299" s="306">
        <f>+SUM(EN294:EN298)</f>
        <v>2256.3000000000002</v>
      </c>
      <c r="EO299" s="306">
        <f>+SUM(EO294:EO298)</f>
        <v>6322.1000000000013</v>
      </c>
      <c r="EP299" s="306"/>
      <c r="EQ299" s="307">
        <f>+SUM(EQ294:EQ298)</f>
        <v>74.599999999999454</v>
      </c>
      <c r="ER299" s="306">
        <f>+SUM(ER294:ER298)</f>
        <v>236.50981295399288</v>
      </c>
      <c r="ES299" s="306"/>
      <c r="ET299" s="576">
        <f>+SUM(ET294:ET298)</f>
        <v>6558.6098129539942</v>
      </c>
      <c r="EU299" s="306">
        <f>+SUM(EU294:EU298)</f>
        <v>6739.0061444133053</v>
      </c>
      <c r="EV299" s="306">
        <f>+SUM(EV294:EV298)</f>
        <v>6917.7568346793405</v>
      </c>
      <c r="EW299" s="306"/>
      <c r="EX299" s="306">
        <f>+SUM(EX294:EX298)</f>
        <v>7106.9349824297669</v>
      </c>
      <c r="EY299" s="306">
        <f>+SUM(EY294:EY298)</f>
        <v>7328.6253845013325</v>
      </c>
      <c r="EZ299" s="306"/>
      <c r="FA299" s="576">
        <f>+SUM(FA294:FA298)</f>
        <v>7328.6253845013325</v>
      </c>
      <c r="FB299" s="306">
        <f>+SUM(FB294:FB298)</f>
        <v>7549.1890743062313</v>
      </c>
      <c r="FC299" s="306">
        <f>+SUM(FC294:FC298)</f>
        <v>7774.0436406873087</v>
      </c>
      <c r="FD299" s="306"/>
      <c r="FE299" s="306">
        <f>+SUM(FE294:FE298)</f>
        <v>8017.6477776709871</v>
      </c>
      <c r="FF299" s="306">
        <f>+SUM(FF294:FF298)</f>
        <v>8286.0438614869436</v>
      </c>
      <c r="FG299" s="306"/>
      <c r="FH299" s="576">
        <f>+SUM(FH294:FH298)</f>
        <v>8286.0438614869454</v>
      </c>
      <c r="FI299" s="306">
        <f>+SUM(FI294:FI298)</f>
        <v>8550.0754031846282</v>
      </c>
      <c r="FJ299" s="306">
        <f>+SUM(FJ294:FJ298)</f>
        <v>8812.3133343586815</v>
      </c>
      <c r="FK299" s="306"/>
      <c r="FL299" s="306">
        <f>+SUM(FL294:FL298)</f>
        <v>9093.4429636227578</v>
      </c>
      <c r="FM299" s="306">
        <f>+SUM(FM294:FM298)</f>
        <v>9398.3090052598855</v>
      </c>
      <c r="FN299" s="306"/>
      <c r="FO299" s="576">
        <f>+SUM(FO294:FO298)</f>
        <v>9398.3090052598855</v>
      </c>
      <c r="FP299" s="306">
        <f>+SUM(FP294:FP298)</f>
        <v>9702.4341897458798</v>
      </c>
      <c r="FQ299" s="306">
        <f>+SUM(FQ294:FQ298)</f>
        <v>10011.26264960833</v>
      </c>
      <c r="FR299" s="306"/>
      <c r="FS299" s="306">
        <f>+SUM(FS294:FS298)</f>
        <v>10339.297848149707</v>
      </c>
      <c r="FT299" s="306">
        <f>+SUM(FT294:FT298)</f>
        <v>10690.580822583617</v>
      </c>
      <c r="FU299" s="306"/>
      <c r="FV299" s="576">
        <f>+SUM(FV294:FV298)</f>
        <v>10690.580822583619</v>
      </c>
    </row>
    <row r="300" spans="2:178" outlineLevel="1" x14ac:dyDescent="0.3">
      <c r="B300" s="525" t="s">
        <v>625</v>
      </c>
      <c r="C300" s="280"/>
      <c r="K300" s="526">
        <f>+K299-K218-K217</f>
        <v>0</v>
      </c>
      <c r="L300" s="526">
        <f>+L299-L218-L217</f>
        <v>0</v>
      </c>
      <c r="M300" s="526"/>
      <c r="N300" s="526">
        <f>+N299-N218-N217</f>
        <v>0</v>
      </c>
      <c r="O300" s="526">
        <f>+O299-O218-O217</f>
        <v>0</v>
      </c>
      <c r="P300" s="526"/>
      <c r="Q300" s="526">
        <f>+Q299-Q218-Q217</f>
        <v>0</v>
      </c>
      <c r="R300" s="526">
        <f>+R299-R218-R217</f>
        <v>5.6843418860808015E-14</v>
      </c>
      <c r="S300" s="526">
        <f>+S299-S218-S217</f>
        <v>2.8421709430404007E-14</v>
      </c>
      <c r="T300" s="526"/>
      <c r="U300" s="526">
        <f>+U299-U218-U217</f>
        <v>-1.4210854715202004E-14</v>
      </c>
      <c r="V300" s="526">
        <f>+V299-V218-V217</f>
        <v>-2.8421709430404007E-14</v>
      </c>
      <c r="W300" s="526"/>
      <c r="X300" s="526">
        <f>+X299-X218-X217</f>
        <v>-2.8421709430404007E-14</v>
      </c>
      <c r="Y300" s="526">
        <f>+Y299-Y218-Y217</f>
        <v>-2.8421709430404007E-14</v>
      </c>
      <c r="Z300" s="526">
        <f>+Z299-Z218-Z217</f>
        <v>2.8421709430404007E-14</v>
      </c>
      <c r="AA300" s="526"/>
      <c r="AB300" s="526">
        <f>+AB299-AB218-AB217</f>
        <v>1.4210854715202004E-14</v>
      </c>
      <c r="AC300" s="526">
        <f>+AC299-AC218-AC217</f>
        <v>-1.4210854715202004E-14</v>
      </c>
      <c r="AD300" s="526"/>
      <c r="AE300" s="526">
        <f>+AE299-AE218-AE217</f>
        <v>-1.4210854715202004E-14</v>
      </c>
      <c r="AF300" s="526">
        <f>+AF299-AF218-AF217</f>
        <v>2.8421709430404007E-14</v>
      </c>
      <c r="AG300" s="526">
        <f>+AG299-AG218-AG217</f>
        <v>-2.8421709430404007E-14</v>
      </c>
      <c r="AH300" s="526"/>
      <c r="AI300" s="526">
        <f>+AI299-AI218-AI217</f>
        <v>2.8421709430404007E-14</v>
      </c>
      <c r="AJ300" s="526">
        <f>+AJ299-AJ218-AJ217</f>
        <v>-4.2632564145606011E-14</v>
      </c>
      <c r="AK300" s="526"/>
      <c r="AL300" s="526">
        <f>+AL299-AL218-AL217</f>
        <v>-5.6843418860808015E-14</v>
      </c>
      <c r="AM300" s="526">
        <f>+AM299-AM218-AM217</f>
        <v>-4.9737991503207013E-14</v>
      </c>
      <c r="AN300" s="526">
        <f>+AN299-AN218-AN217</f>
        <v>5.6843418860808015E-14</v>
      </c>
      <c r="AO300" s="526"/>
      <c r="AP300" s="526">
        <f>+AP299-AP218-AP217</f>
        <v>-5.6843418860808015E-14</v>
      </c>
      <c r="AQ300" s="526">
        <f>+AQ299-AQ218-AQ217</f>
        <v>5.6843418860808015E-14</v>
      </c>
      <c r="AR300" s="526"/>
      <c r="AS300" s="526">
        <f>+AS299-AS218-AS217</f>
        <v>5.6843418860808015E-14</v>
      </c>
      <c r="AT300" s="526">
        <f>+AT299-AT218-AT217</f>
        <v>-5.6843418860808015E-14</v>
      </c>
      <c r="AU300" s="526">
        <f>+AU299-AU218-AU217</f>
        <v>0</v>
      </c>
      <c r="AV300" s="526"/>
      <c r="AW300" s="526">
        <f>+AW299-AW218-AW217</f>
        <v>0</v>
      </c>
      <c r="AX300" s="526">
        <f>+AX299-AX218-AX217</f>
        <v>-4.2632564145606011E-14</v>
      </c>
      <c r="AY300" s="526"/>
      <c r="AZ300" s="526">
        <f>+AZ299-AZ218-AZ217</f>
        <v>-8.5265128291212022E-14</v>
      </c>
      <c r="BA300" s="526">
        <f>+BA299-BA218-BA217</f>
        <v>-7.1054273576010019E-14</v>
      </c>
      <c r="BB300" s="526">
        <f>+BB299-BB218-BB217</f>
        <v>-6.3948846218409017E-14</v>
      </c>
      <c r="BC300" s="526"/>
      <c r="BD300" s="526">
        <f>+BD299-BD218-BD217</f>
        <v>-4.2632564145606011E-14</v>
      </c>
      <c r="BE300" s="526">
        <f>+BE299-BE218-BE217</f>
        <v>7.1054273576010019E-15</v>
      </c>
      <c r="BF300" s="526"/>
      <c r="BG300" s="526">
        <f>+BG299-BG218-BG217</f>
        <v>7.1054273576010019E-15</v>
      </c>
      <c r="BH300" s="526">
        <f>+BH299-BH218-BH217</f>
        <v>-3.5527136788005009E-14</v>
      </c>
      <c r="BI300" s="526">
        <f>+BI299-BI218-BI217</f>
        <v>-8.5265128291212022E-14</v>
      </c>
      <c r="BJ300" s="526"/>
      <c r="BK300" s="526">
        <f>+BK299-BK218-BK217</f>
        <v>-4.2632564145606011E-14</v>
      </c>
      <c r="BL300" s="526">
        <f>+BL299-BL218-BL217</f>
        <v>2.8421709430404007E-14</v>
      </c>
      <c r="BM300" s="526"/>
      <c r="BN300" s="526">
        <f>+BN299-BN218-BN217</f>
        <v>0</v>
      </c>
      <c r="BO300" s="526">
        <f>+BO299-BO218-BO217</f>
        <v>0</v>
      </c>
      <c r="BP300" s="526">
        <f>+BP299-BP218-BP217</f>
        <v>-5.6843418860808015E-14</v>
      </c>
      <c r="BQ300" s="526"/>
      <c r="BR300" s="526">
        <f>+BR299-BR218-BR217</f>
        <v>-1.7053025658242404E-13</v>
      </c>
      <c r="BS300" s="526">
        <f>+BS299-BS218-BS217</f>
        <v>-1.1368683772161603E-13</v>
      </c>
      <c r="BT300" s="526"/>
      <c r="BU300" s="526">
        <f>+BU299-BU218-BU217</f>
        <v>-2.8421709430404007E-14</v>
      </c>
      <c r="BV300" s="526">
        <f>+BV299-BV218-BV217</f>
        <v>5.6843418860808015E-14</v>
      </c>
      <c r="BW300" s="526">
        <f>+BW299-BW218-BW217</f>
        <v>-5.6843418860808015E-14</v>
      </c>
      <c r="BX300" s="526"/>
      <c r="BY300" s="526">
        <f>+BY299-BY218-BY217</f>
        <v>-5.6843418860808015E-14</v>
      </c>
      <c r="BZ300" s="526">
        <f>+BZ299-BZ218-BZ217</f>
        <v>-1.1368683772161603E-13</v>
      </c>
      <c r="CA300" s="526"/>
      <c r="CB300" s="526">
        <f>+CB299-CB218-CB217</f>
        <v>-8.5265128291212022E-14</v>
      </c>
      <c r="CC300" s="526">
        <f>+CC299-CC218-CC217</f>
        <v>0</v>
      </c>
      <c r="CD300" s="526">
        <f>+CD299-CD218-CD217</f>
        <v>0</v>
      </c>
      <c r="CE300" s="526"/>
      <c r="CF300" s="526">
        <f>+CF299-CF218-CF217</f>
        <v>0</v>
      </c>
      <c r="CG300" s="526">
        <f>+CG299-CG218-CG217</f>
        <v>0</v>
      </c>
      <c r="CH300" s="526"/>
      <c r="CI300" s="526">
        <f>+CI299-CI218-CI217</f>
        <v>-2.8421709430404007E-14</v>
      </c>
      <c r="CJ300" s="526">
        <f>+CJ299-CJ218-CJ217</f>
        <v>-1.1368683772161603E-13</v>
      </c>
      <c r="CK300" s="526">
        <f>+CK299-CK218-CK217</f>
        <v>-1.1368683772161603E-13</v>
      </c>
      <c r="CL300" s="526"/>
      <c r="CM300" s="526">
        <f>+CM299-CM218-CM217</f>
        <v>-8.5265128291212022E-14</v>
      </c>
      <c r="CN300" s="526">
        <f>+CN299-CN218-CN217</f>
        <v>-1.1368683772161603E-13</v>
      </c>
      <c r="CO300" s="526"/>
      <c r="CP300" s="527">
        <f>+CP299-CP218-CP217</f>
        <v>-5.6843418860808015E-14</v>
      </c>
      <c r="CQ300" s="527">
        <f>+CQ299-CQ218-CQ217</f>
        <v>-1.1368683772161603E-13</v>
      </c>
      <c r="CR300" s="527">
        <f>+CR299-CR218-CR217</f>
        <v>-2.2737367544323206E-13</v>
      </c>
      <c r="CS300" s="527"/>
      <c r="CT300" s="527">
        <f>+CT299-CT218-CT217</f>
        <v>-1.1368683772161603E-13</v>
      </c>
      <c r="CU300" s="527">
        <f>+CU299-CU218-CU217</f>
        <v>-1.1368683772161603E-13</v>
      </c>
      <c r="CV300" s="527"/>
      <c r="CW300" s="527">
        <f>+CW299-CW218-CW217</f>
        <v>0</v>
      </c>
      <c r="CX300" s="527">
        <f>+CX299-CX218-CX217</f>
        <v>0</v>
      </c>
      <c r="CY300" s="527">
        <f>+CY299-CY218-CY217</f>
        <v>0</v>
      </c>
      <c r="CZ300" s="527"/>
      <c r="DA300" s="527">
        <f>+DA299-DA218-DA217</f>
        <v>-2.2737367544323206E-13</v>
      </c>
      <c r="DB300" s="527">
        <f>+DB299-DB218-DB217</f>
        <v>-4.5474735088646412E-13</v>
      </c>
      <c r="DC300" s="527"/>
      <c r="DD300" s="614">
        <f>+DD299-DD218-DD217</f>
        <v>-2.2737367544323206E-13</v>
      </c>
      <c r="DE300" s="496">
        <f>+DE299-DE218-DE217</f>
        <v>2.2737367544323206E-13</v>
      </c>
      <c r="DF300" s="527">
        <f>+DF299-DF218-DF217</f>
        <v>-2.2737367544323206E-13</v>
      </c>
      <c r="DG300" s="527"/>
      <c r="DH300" s="527">
        <f>+DH299-DH218-DH217</f>
        <v>0</v>
      </c>
      <c r="DI300" s="527">
        <f>+DI299-DI218-DI217</f>
        <v>-4.5474735088646412E-13</v>
      </c>
      <c r="DJ300" s="527"/>
      <c r="DK300" s="614">
        <f>+DK299-DK218-DK217</f>
        <v>-2.2737367544323206E-13</v>
      </c>
      <c r="DL300" s="528">
        <f>+DL299-DL218-DL217</f>
        <v>0</v>
      </c>
      <c r="DM300" s="527">
        <f>+DM299-DM218-DM217</f>
        <v>0</v>
      </c>
      <c r="DN300" s="527"/>
      <c r="DO300" s="496">
        <f>+DO299-DO218-DO217</f>
        <v>0</v>
      </c>
      <c r="DP300" s="527">
        <f>+DP299-DP218-DP217</f>
        <v>-2.2737367544323206E-13</v>
      </c>
      <c r="DQ300" s="527"/>
      <c r="DR300" s="614">
        <f>+DR299-DR218-DR217</f>
        <v>0</v>
      </c>
      <c r="DS300" s="496">
        <f>+DS299-DS218-DS217</f>
        <v>0</v>
      </c>
      <c r="DT300" s="527">
        <f>+DT299-DT218-DT217</f>
        <v>4.5474735088646412E-13</v>
      </c>
      <c r="DU300" s="496"/>
      <c r="DV300" s="496">
        <f>+DV299-DV218-DV217</f>
        <v>2.2737367544323206E-13</v>
      </c>
      <c r="DW300" s="527">
        <f>+DW299-DW218-DW217</f>
        <v>4.5474735088646412E-13</v>
      </c>
      <c r="DX300" s="527"/>
      <c r="DY300" s="614">
        <f>+DY299-DY218-DY217</f>
        <v>4.5474735088646412E-13</v>
      </c>
      <c r="DZ300" s="496">
        <f>+DZ299-DZ218-DZ217</f>
        <v>2.2737367544323206E-13</v>
      </c>
      <c r="EA300" s="496">
        <f>+EA299-EA218-EA217</f>
        <v>4.5474735088646412E-13</v>
      </c>
      <c r="EB300" s="496"/>
      <c r="EC300" s="496">
        <f>+EC299-EC218-EC217</f>
        <v>2.2737367544323206E-13</v>
      </c>
      <c r="ED300" s="527">
        <f>+ED299-ED218-ED217</f>
        <v>2.2737367544323206E-13</v>
      </c>
      <c r="EE300" s="527"/>
      <c r="EF300" s="614">
        <f>+EF299-EF218-EF217</f>
        <v>2.2737367544323206E-13</v>
      </c>
      <c r="EG300" s="496">
        <f>+EG299-EG218-EG217</f>
        <v>2.2737367544323206E-13</v>
      </c>
      <c r="EH300" s="496">
        <f>+EH299-EH218-EH217</f>
        <v>2.2737367544323206E-13</v>
      </c>
      <c r="EI300" s="496"/>
      <c r="EJ300" s="496">
        <f>+EJ299-EJ218-EJ217</f>
        <v>9.0949470177292824E-13</v>
      </c>
      <c r="EK300" s="496">
        <f>+EK299-EK218-EK217</f>
        <v>4.5474735088646412E-13</v>
      </c>
      <c r="EL300" s="527"/>
      <c r="EM300" s="614">
        <f>+EM299-EM218-EM217</f>
        <v>0</v>
      </c>
      <c r="EN300" s="496">
        <f>+EN299-EN218-EN217</f>
        <v>4.5474735088646412E-13</v>
      </c>
      <c r="EO300" s="496">
        <f>+EO299-EO218-EO217</f>
        <v>9.0949470177292824E-13</v>
      </c>
      <c r="EP300" s="496"/>
      <c r="EQ300" s="528">
        <f>+EQ299-EQ218-EQ217</f>
        <v>-6322.1</v>
      </c>
      <c r="ER300" s="527">
        <f>+ER299-ER218-ER217</f>
        <v>-6322.1</v>
      </c>
      <c r="ES300" s="527"/>
      <c r="ET300" s="622">
        <f>+ET299-ET218-ET217</f>
        <v>9.0949470177292824E-13</v>
      </c>
      <c r="EU300" s="527">
        <f>+EU299-EU218-EU217</f>
        <v>9.0949470177292824E-13</v>
      </c>
      <c r="EV300" s="527">
        <f>+EV299-EV218-EV217</f>
        <v>9.0949470177292824E-13</v>
      </c>
      <c r="EW300" s="527"/>
      <c r="EX300" s="527">
        <f>+EX299-EX218-EX217</f>
        <v>9.0949470177292824E-13</v>
      </c>
      <c r="EY300" s="527">
        <f>+EY299-EY218-EY217</f>
        <v>9.0949470177292824E-13</v>
      </c>
      <c r="EZ300" s="527"/>
      <c r="FA300" s="622">
        <f>+FA299-FA218-FA217</f>
        <v>9.0949470177292824E-13</v>
      </c>
      <c r="FB300" s="527">
        <f>+FB299-FB218-FB217</f>
        <v>9.0949470177292824E-13</v>
      </c>
      <c r="FC300" s="527">
        <f>+FC299-FC218-FC217</f>
        <v>9.0949470177292824E-13</v>
      </c>
      <c r="FD300" s="527"/>
      <c r="FE300" s="527">
        <f>+FE299-FE218-FE217</f>
        <v>0</v>
      </c>
      <c r="FF300" s="527">
        <f>+FF299-FF218-FF217</f>
        <v>1.8189894035458565E-12</v>
      </c>
      <c r="FG300" s="527"/>
      <c r="FH300" s="622">
        <f>+FH299-FH218-FH217</f>
        <v>3.637978807091713E-12</v>
      </c>
      <c r="FI300" s="527">
        <f>+FI299-FI218-FI217</f>
        <v>1.8189894035458565E-12</v>
      </c>
      <c r="FJ300" s="527">
        <f>+FJ299-FJ218-FJ217</f>
        <v>1.8189894035458565E-12</v>
      </c>
      <c r="FK300" s="527"/>
      <c r="FL300" s="527">
        <f>+FL299-FL218-FL217</f>
        <v>0</v>
      </c>
      <c r="FM300" s="527">
        <f>+FM299-FM218-FM217</f>
        <v>0</v>
      </c>
      <c r="FN300" s="527"/>
      <c r="FO300" s="622">
        <f>+FO299-FO218-FO217</f>
        <v>0</v>
      </c>
      <c r="FP300" s="527">
        <f>+FP299-FP218-FP217</f>
        <v>0</v>
      </c>
      <c r="FQ300" s="527">
        <f>+FQ299-FQ218-FQ217</f>
        <v>-1.8189894035458565E-12</v>
      </c>
      <c r="FR300" s="527"/>
      <c r="FS300" s="527">
        <f>+FS299-FS218-FS217</f>
        <v>0</v>
      </c>
      <c r="FT300" s="527">
        <f>+FT299-FT218-FT217</f>
        <v>1.8189894035458565E-12</v>
      </c>
      <c r="FU300" s="527"/>
      <c r="FV300" s="622">
        <f>+FV299-FV218-FV217</f>
        <v>3.637978807091713E-12</v>
      </c>
    </row>
    <row r="301" spans="2:178" outlineLevel="1" x14ac:dyDescent="0.3">
      <c r="B301" s="396" t="s">
        <v>626</v>
      </c>
      <c r="C301" s="280"/>
    </row>
    <row r="302" spans="2:178" outlineLevel="1" x14ac:dyDescent="0.3">
      <c r="B302" s="279" t="s">
        <v>627</v>
      </c>
      <c r="C302" s="280" t="s">
        <v>413</v>
      </c>
      <c r="BH302" s="349">
        <v>0.15221707478491076</v>
      </c>
      <c r="BI302" s="349">
        <v>9.8600932711525813E-2</v>
      </c>
      <c r="BJ302" s="349">
        <v>0.1254980079681276</v>
      </c>
      <c r="BK302" s="349">
        <v>0.10886469673405896</v>
      </c>
      <c r="BL302" s="349">
        <v>-1.6899338721528157E-2</v>
      </c>
      <c r="BM302" s="349">
        <v>4.4200982244049669E-2</v>
      </c>
      <c r="BN302" s="349">
        <v>8.7471284679271788E-2</v>
      </c>
      <c r="BO302" s="349">
        <v>4.8822515795519772E-2</v>
      </c>
      <c r="BP302" s="349">
        <v>7.701637355973312E-2</v>
      </c>
      <c r="BQ302" s="349">
        <v>6.2536873156342043E-2</v>
      </c>
      <c r="BR302" s="349">
        <v>7.8541374474053294E-2</v>
      </c>
      <c r="BS302" s="349">
        <v>4.5590433482810111E-2</v>
      </c>
      <c r="BT302" s="349">
        <v>6.2590448625180928E-2</v>
      </c>
      <c r="BU302" s="349">
        <v>6.2560935976600618E-2</v>
      </c>
      <c r="BV302" s="349">
        <v>0.12486308871851048</v>
      </c>
      <c r="BW302" s="349">
        <v>0.14414414414414423</v>
      </c>
      <c r="BX302" s="349">
        <v>0.13436979455857867</v>
      </c>
      <c r="BY302" s="349">
        <v>7.997399219765966E-2</v>
      </c>
      <c r="BZ302" s="349">
        <v>0.21801286633309513</v>
      </c>
      <c r="CA302" s="349">
        <v>0.14572693224378619</v>
      </c>
      <c r="CB302" s="349">
        <v>0.13947086710506196</v>
      </c>
      <c r="CC302" s="349">
        <v>5.9883154819863504E-2</v>
      </c>
      <c r="CD302" s="349">
        <v>1.6240157480315043E-2</v>
      </c>
      <c r="CE302" s="349">
        <v>3.8179148311306754E-2</v>
      </c>
      <c r="CF302" s="349">
        <v>0.12522576760987336</v>
      </c>
      <c r="CG302" s="349">
        <v>6.4553990610328738E-2</v>
      </c>
      <c r="CH302" s="349">
        <v>9.4502228826151669E-2</v>
      </c>
      <c r="CI302" s="349">
        <v>6.3615622064152388E-2</v>
      </c>
      <c r="CJ302" s="349">
        <v>9.1410197519522507E-2</v>
      </c>
      <c r="CK302" s="349">
        <v>0.11380145278450371</v>
      </c>
      <c r="CL302" s="349">
        <v>0.10231023102310233</v>
      </c>
      <c r="CM302" s="349">
        <v>6.9555912252541541E-2</v>
      </c>
      <c r="CN302" s="349">
        <v>7.3869900771775132E-2</v>
      </c>
      <c r="CO302" s="349">
        <v>7.1680695085528212E-2</v>
      </c>
      <c r="CP302" s="349">
        <v>8.807570977918E-2</v>
      </c>
      <c r="CQ302" s="349">
        <v>8.2912457912457826E-2</v>
      </c>
      <c r="CR302" s="349">
        <v>3.3043478260869508E-2</v>
      </c>
      <c r="CS302" s="349">
        <v>5.8383233532933954E-2</v>
      </c>
      <c r="CT302" s="349">
        <v>-6.9534767383691909E-2</v>
      </c>
      <c r="CU302" s="349">
        <v>-3.1827515400410733E-2</v>
      </c>
      <c r="CV302" s="349">
        <v>-5.0924752976944543E-2</v>
      </c>
      <c r="CW302" s="349">
        <v>8.3497622637132007E-3</v>
      </c>
      <c r="CX302" s="349">
        <v>-5.9075009716284543E-2</v>
      </c>
      <c r="CY302" s="349">
        <v>2.3989898989899006E-2</v>
      </c>
      <c r="CZ302" s="349">
        <v>-1.9195797130733494E-2</v>
      </c>
      <c r="DA302" s="349">
        <v>0.1489247311827957</v>
      </c>
      <c r="DB302" s="349">
        <v>0.13679745493107109</v>
      </c>
      <c r="DC302" s="349">
        <v>0.14281900694073668</v>
      </c>
      <c r="DD302" s="573">
        <v>5.0603795284646313E-2</v>
      </c>
      <c r="DE302" s="350">
        <v>-0.10202395704254452</v>
      </c>
      <c r="DF302" s="349">
        <v>0.15618577887381813</v>
      </c>
      <c r="DG302" s="349">
        <v>2.7400082406262793E-2</v>
      </c>
      <c r="DH302" s="349">
        <v>0.29808142255498349</v>
      </c>
      <c r="DI302" s="349">
        <v>0.19076492537313428</v>
      </c>
      <c r="DJ302" s="349">
        <v>0.24433543564587712</v>
      </c>
      <c r="DK302" s="573">
        <v>0.12906403940886713</v>
      </c>
      <c r="DL302" s="351">
        <v>0.42272309107635686</v>
      </c>
      <c r="DM302" s="349">
        <v>5.2612868823320502E-2</v>
      </c>
      <c r="DN302" s="349">
        <v>0.21395628634449571</v>
      </c>
      <c r="DO302" s="350">
        <v>-4.0374909877433085E-2</v>
      </c>
      <c r="DP302" s="349">
        <v>4.4653349001174902E-2</v>
      </c>
      <c r="DQ302" s="349">
        <v>3.7544584193738295E-4</v>
      </c>
      <c r="DR302" s="573">
        <v>0.10364553034710111</v>
      </c>
      <c r="DS302" s="350">
        <v>-1.9398642095053154E-2</v>
      </c>
      <c r="DT302" s="349">
        <v>-0.18372171563660922</v>
      </c>
      <c r="DU302" s="350">
        <v>-9.9768747935249369E-2</v>
      </c>
      <c r="DV302" s="350">
        <v>-0.27347858752817444</v>
      </c>
      <c r="DW302" s="349">
        <v>-0.29433820772403452</v>
      </c>
      <c r="DX302" s="349">
        <v>-0.28391818352411347</v>
      </c>
      <c r="DY302" s="573">
        <v>-0.18597909162786619</v>
      </c>
      <c r="DZ302" s="350">
        <v>-0.13880646224859883</v>
      </c>
      <c r="EA302" s="350">
        <v>7.2817542407943803E-2</v>
      </c>
      <c r="EB302" s="350">
        <v>-4.4954128440366947E-2</v>
      </c>
      <c r="EC302" s="350">
        <v>0.23526370217166503</v>
      </c>
      <c r="ED302" s="349">
        <v>0.2821466524973435</v>
      </c>
      <c r="EE302" s="349">
        <v>0.25838574423480098</v>
      </c>
      <c r="EF302" s="573">
        <v>7.9969781998704859E-2</v>
      </c>
      <c r="EG302" s="350">
        <v>7.5803981623277172E-2</v>
      </c>
      <c r="EH302" s="350">
        <v>1.9282684149632967E-3</v>
      </c>
      <c r="EI302" s="350">
        <v>3.9000960614793412E-2</v>
      </c>
      <c r="EJ302" s="350">
        <v>-4.6881540393470145E-2</v>
      </c>
      <c r="EK302" s="350">
        <v>-5.1802735184417692E-2</v>
      </c>
      <c r="EL302" s="349">
        <v>-4.9354435651811857E-2</v>
      </c>
      <c r="EM302" s="573">
        <v>-3.3976216648347046E-3</v>
      </c>
      <c r="EN302" s="350">
        <v>-8.3985765124555245E-2</v>
      </c>
      <c r="EO302" s="350">
        <v>-3.6227867590454155E-2</v>
      </c>
      <c r="EP302" s="350">
        <v>-6.104289940828389E-2</v>
      </c>
      <c r="EQ302" s="351">
        <v>5.0000000000000044E-2</v>
      </c>
      <c r="ER302" s="349">
        <v>2.0000000000000018E-2</v>
      </c>
      <c r="ES302" s="349">
        <v>3.4963855421686896E-2</v>
      </c>
      <c r="ET302" s="581">
        <v>-1.7097162338313376E-2</v>
      </c>
      <c r="EU302" s="349">
        <v>2.0000000000000018E-2</v>
      </c>
      <c r="EV302" s="349">
        <v>1.9999999999999796E-2</v>
      </c>
      <c r="EW302" s="349">
        <v>2.0000000000000018E-2</v>
      </c>
      <c r="EX302" s="349">
        <v>2.0000000000000018E-2</v>
      </c>
      <c r="EY302" s="349">
        <v>2.9999999999999805E-2</v>
      </c>
      <c r="EZ302" s="349">
        <v>2.4939582314730702E-2</v>
      </c>
      <c r="FA302" s="581">
        <v>2.2380782841910696E-2</v>
      </c>
      <c r="FB302" s="349">
        <v>3.0000000000000027E-2</v>
      </c>
      <c r="FC302" s="349">
        <v>3.0000000000000027E-2</v>
      </c>
      <c r="FD302" s="349">
        <v>3.0000000000000027E-2</v>
      </c>
      <c r="FE302" s="349">
        <v>3.0000000000000027E-2</v>
      </c>
      <c r="FF302" s="349">
        <v>-4.0000000000000147E-2</v>
      </c>
      <c r="FG302" s="349">
        <v>-4.7477930443244887E-3</v>
      </c>
      <c r="FH302" s="581">
        <v>1.3210321850474882E-2</v>
      </c>
      <c r="FI302" s="349">
        <v>-4.0000000000000147E-2</v>
      </c>
      <c r="FJ302" s="349">
        <v>-4.0000000000000036E-2</v>
      </c>
      <c r="FK302" s="349">
        <v>-4.0000000000000036E-2</v>
      </c>
      <c r="FL302" s="349">
        <v>-4.0000000000000036E-2</v>
      </c>
      <c r="FM302" s="349">
        <v>-5.0000000000000155E-2</v>
      </c>
      <c r="FN302" s="349">
        <v>-4.4788144737788693E-2</v>
      </c>
      <c r="FO302" s="581">
        <v>-4.2272563141411368E-2</v>
      </c>
      <c r="FP302" s="349">
        <v>-4.9999999999999933E-2</v>
      </c>
      <c r="FQ302" s="349">
        <v>-5.0000000000000044E-2</v>
      </c>
      <c r="FR302" s="349">
        <v>-4.9999999999999822E-2</v>
      </c>
      <c r="FS302" s="349">
        <v>-4.9999999999999933E-2</v>
      </c>
      <c r="FT302" s="349">
        <v>-5.9999999999999942E-2</v>
      </c>
      <c r="FU302" s="349">
        <v>-5.4762019520424143E-2</v>
      </c>
      <c r="FV302" s="581">
        <v>-5.2254226934775994E-2</v>
      </c>
    </row>
    <row r="303" spans="2:178" outlineLevel="1" x14ac:dyDescent="0.3">
      <c r="B303" s="279" t="s">
        <v>628</v>
      </c>
      <c r="C303" s="280" t="s">
        <v>413</v>
      </c>
      <c r="BH303" s="349">
        <v>1.821375138229353E-2</v>
      </c>
      <c r="BI303" s="349">
        <v>3.3223086320431472E-2</v>
      </c>
      <c r="BJ303" s="349">
        <v>2.6046931127248873E-2</v>
      </c>
      <c r="BK303" s="349">
        <v>0.12183915987287541</v>
      </c>
      <c r="BL303" s="349">
        <v>0.23283015536723162</v>
      </c>
      <c r="BM303" s="349">
        <v>0.17056817300984428</v>
      </c>
      <c r="BN303" s="349">
        <v>9.0388315172848177E-2</v>
      </c>
      <c r="BO303" s="349">
        <v>0.21583721970229353</v>
      </c>
      <c r="BP303" s="349">
        <v>6.7827892490483377E-2</v>
      </c>
      <c r="BQ303" s="349">
        <v>0.13805280227940964</v>
      </c>
      <c r="BR303" s="349">
        <v>-2.6481909160892991E-2</v>
      </c>
      <c r="BS303" s="349">
        <v>2.2698793455300459E-2</v>
      </c>
      <c r="BT303" s="349">
        <v>-3.7413501970002816E-3</v>
      </c>
      <c r="BU303" s="349">
        <v>7.0283571225116415E-2</v>
      </c>
      <c r="BV303" s="349">
        <v>8.4491500932664332E-2</v>
      </c>
      <c r="BW303" s="349">
        <v>0.15480177163227826</v>
      </c>
      <c r="BX303" s="349">
        <v>0.11916208333888223</v>
      </c>
      <c r="BY303" s="349">
        <v>0.13490431757077337</v>
      </c>
      <c r="BZ303" s="349">
        <v>0.10141781900927715</v>
      </c>
      <c r="CA303" s="349">
        <v>0.11900963775340645</v>
      </c>
      <c r="CB303" s="349">
        <v>0.11909426262835354</v>
      </c>
      <c r="CC303" s="349">
        <v>4.3678383681775346E-2</v>
      </c>
      <c r="CD303" s="349">
        <v>8.6412535079513519E-2</v>
      </c>
      <c r="CE303" s="349">
        <v>6.5422006449386672E-2</v>
      </c>
      <c r="CF303" s="349">
        <v>0.18731884057971016</v>
      </c>
      <c r="CG303" s="349">
        <v>0.29162163880236469</v>
      </c>
      <c r="CH303" s="349">
        <v>0.23604882539871097</v>
      </c>
      <c r="CI303" s="349">
        <v>0.14132552962392908</v>
      </c>
      <c r="CJ303" s="349">
        <v>0.23870758089225208</v>
      </c>
      <c r="CK303" s="349">
        <v>0.16463243999569466</v>
      </c>
      <c r="CL303" s="349">
        <v>0.20027474675273904</v>
      </c>
      <c r="CM303" s="349">
        <v>9.6993028332668318E-2</v>
      </c>
      <c r="CN303" s="349">
        <v>0.10118857199104259</v>
      </c>
      <c r="CO303" s="349">
        <v>9.9041303250918977E-2</v>
      </c>
      <c r="CP303" s="349">
        <v>0.15150340037621191</v>
      </c>
      <c r="CQ303" s="349">
        <v>3.3429524416294987E-2</v>
      </c>
      <c r="CR303" s="349">
        <v>-5.3749329981701566E-2</v>
      </c>
      <c r="CS303" s="349">
        <v>-1.0458829988182594E-2</v>
      </c>
      <c r="CT303" s="349">
        <v>-0.15823935976718806</v>
      </c>
      <c r="CU303" s="349">
        <v>-0.22952468211580146</v>
      </c>
      <c r="CV303" s="349">
        <v>-0.19310902691239806</v>
      </c>
      <c r="CW303" s="349">
        <v>-9.4445365944378246E-2</v>
      </c>
      <c r="CX303" s="349">
        <v>-0.14112420670897552</v>
      </c>
      <c r="CY303" s="349">
        <v>6.8971579255786786E-2</v>
      </c>
      <c r="CZ303" s="349">
        <v>-3.9983073957402748E-2</v>
      </c>
      <c r="DA303" s="349">
        <v>0.21528801667598763</v>
      </c>
      <c r="DB303" s="349">
        <v>0.33763559371193219</v>
      </c>
      <c r="DC303" s="349">
        <v>0.27243416061558468</v>
      </c>
      <c r="DD303" s="573">
        <v>8.8021269864177132E-2</v>
      </c>
      <c r="DE303" s="350">
        <v>0.31137711909135057</v>
      </c>
      <c r="DF303" s="349">
        <v>0.2538098892665277</v>
      </c>
      <c r="DG303" s="349">
        <v>0.28051874271497557</v>
      </c>
      <c r="DH303" s="349">
        <v>0.18704373836467458</v>
      </c>
      <c r="DI303" s="349">
        <v>0.1457533771330688</v>
      </c>
      <c r="DJ303" s="349">
        <v>0.16676958456657376</v>
      </c>
      <c r="DK303" s="573">
        <v>0.22601380478423017</v>
      </c>
      <c r="DL303" s="351">
        <v>0.1479328997359779</v>
      </c>
      <c r="DM303" s="349">
        <v>0.12099218841086623</v>
      </c>
      <c r="DN303" s="349">
        <v>0.13379279747881156</v>
      </c>
      <c r="DO303" s="350">
        <v>0.19982730973232998</v>
      </c>
      <c r="DP303" s="349">
        <v>0.39933006566870421</v>
      </c>
      <c r="DQ303" s="349">
        <v>0.29602153481157045</v>
      </c>
      <c r="DR303" s="573">
        <v>0.20777124025266103</v>
      </c>
      <c r="DS303" s="350">
        <v>0.43238202089615041</v>
      </c>
      <c r="DT303" s="349">
        <v>0.32495644712551019</v>
      </c>
      <c r="DU303" s="350">
        <v>0.37663520506264203</v>
      </c>
      <c r="DV303" s="350">
        <v>0.12781800290795875</v>
      </c>
      <c r="DW303" s="349">
        <v>-3.5013929836899216E-2</v>
      </c>
      <c r="DX303" s="349">
        <v>4.3046940456660909E-2</v>
      </c>
      <c r="DY303" s="573">
        <v>0.21339929854541184</v>
      </c>
      <c r="DZ303" s="350">
        <v>-7.4381217200595318E-2</v>
      </c>
      <c r="EA303" s="350">
        <v>-8.7996624571938797E-2</v>
      </c>
      <c r="EB303" s="350">
        <v>-8.1181480918798954E-2</v>
      </c>
      <c r="EC303" s="350">
        <v>-6.4186373580581324E-2</v>
      </c>
      <c r="ED303" s="349">
        <v>-6.0403907333959062E-3</v>
      </c>
      <c r="EE303" s="349">
        <v>-3.6180768841337918E-2</v>
      </c>
      <c r="EF303" s="573">
        <v>-6.2252622134391866E-2</v>
      </c>
      <c r="EG303" s="350">
        <v>0.12201313743534414</v>
      </c>
      <c r="EH303" s="350">
        <v>0.17178976814244984</v>
      </c>
      <c r="EI303" s="350">
        <v>0.14668985086727404</v>
      </c>
      <c r="EJ303" s="350">
        <v>0.1862293530746002</v>
      </c>
      <c r="EK303" s="350">
        <v>3.8309692338061474E-2</v>
      </c>
      <c r="EL303" s="349">
        <v>0.11275694225583921</v>
      </c>
      <c r="EM303" s="573">
        <v>0.13201965670408056</v>
      </c>
      <c r="EN303" s="350">
        <v>-4.5855157720082307E-2</v>
      </c>
      <c r="EO303" s="350">
        <v>-3.9999999999999925E-2</v>
      </c>
      <c r="EP303" s="350">
        <v>-4.2888932302568628E-2</v>
      </c>
      <c r="EQ303" s="351">
        <v>-3.9999999999999925E-2</v>
      </c>
      <c r="ER303" s="349">
        <v>-3.9999999999999925E-2</v>
      </c>
      <c r="ES303" s="349">
        <v>-3.9999999999999925E-2</v>
      </c>
      <c r="ET303" s="581">
        <v>-4.1661214697047977E-2</v>
      </c>
      <c r="EU303" s="349">
        <v>-3.9999999999999925E-2</v>
      </c>
      <c r="EV303" s="349">
        <v>-2.0000000000000018E-2</v>
      </c>
      <c r="EW303" s="349">
        <v>-2.9837409073669607E-2</v>
      </c>
      <c r="EX303" s="349">
        <v>-2.0000000000000129E-2</v>
      </c>
      <c r="EY303" s="349">
        <v>3.9999999999999813E-2</v>
      </c>
      <c r="EZ303" s="349">
        <v>7.8084148912733742E-3</v>
      </c>
      <c r="FA303" s="581">
        <v>-1.3811226210530103E-2</v>
      </c>
      <c r="FB303" s="349">
        <v>4.0000000000000036E-2</v>
      </c>
      <c r="FC303" s="349">
        <v>4.0000000000000036E-2</v>
      </c>
      <c r="FD303" s="349">
        <v>4.0000000000000036E-2</v>
      </c>
      <c r="FE303" s="349">
        <v>4.0000000000000036E-2</v>
      </c>
      <c r="FF303" s="349">
        <v>4.0000000000000258E-2</v>
      </c>
      <c r="FG303" s="349">
        <v>4.0000000000000036E-2</v>
      </c>
      <c r="FH303" s="581">
        <v>4.0000000000000036E-2</v>
      </c>
      <c r="FI303" s="349">
        <v>4.0000000000000036E-2</v>
      </c>
      <c r="FJ303" s="349">
        <v>4.0000000000000036E-2</v>
      </c>
      <c r="FK303" s="349">
        <v>4.0000000000000036E-2</v>
      </c>
      <c r="FL303" s="349">
        <v>4.0000000000000036E-2</v>
      </c>
      <c r="FM303" s="349">
        <v>4.0000000000000036E-2</v>
      </c>
      <c r="FN303" s="349">
        <v>4.0000000000000036E-2</v>
      </c>
      <c r="FO303" s="581">
        <v>4.0000000000000258E-2</v>
      </c>
      <c r="FP303" s="349">
        <v>4.0000000000000036E-2</v>
      </c>
      <c r="FQ303" s="349">
        <v>3.9999999999999813E-2</v>
      </c>
      <c r="FR303" s="349">
        <v>3.9999999999999813E-2</v>
      </c>
      <c r="FS303" s="349">
        <v>4.0000000000000036E-2</v>
      </c>
      <c r="FT303" s="349">
        <v>4.0000000000000036E-2</v>
      </c>
      <c r="FU303" s="349">
        <v>4.0000000000000258E-2</v>
      </c>
      <c r="FV303" s="581">
        <v>4.0000000000000036E-2</v>
      </c>
    </row>
    <row r="304" spans="2:178" outlineLevel="1" x14ac:dyDescent="0.3">
      <c r="B304" s="279" t="s">
        <v>629</v>
      </c>
      <c r="C304" s="280" t="s">
        <v>413</v>
      </c>
      <c r="BH304" s="349">
        <v>0.15530561546231336</v>
      </c>
      <c r="BI304" s="349">
        <v>4.3168000751156121E-2</v>
      </c>
      <c r="BJ304" s="349">
        <v>9.501211631663975E-2</v>
      </c>
      <c r="BK304" s="349">
        <v>9.2387354651162878E-2</v>
      </c>
      <c r="BL304" s="349">
        <v>0.21743000485515451</v>
      </c>
      <c r="BM304" s="349">
        <v>0.14954503982442735</v>
      </c>
      <c r="BN304" s="349">
        <v>0.12259726328131815</v>
      </c>
      <c r="BO304" s="349">
        <v>0.11616257088846882</v>
      </c>
      <c r="BP304" s="349">
        <v>0.29313681368136812</v>
      </c>
      <c r="BQ304" s="349">
        <v>0.20681189488243423</v>
      </c>
      <c r="BR304" s="349">
        <v>0.12185031185031181</v>
      </c>
      <c r="BS304" s="349">
        <v>0.14277168494516457</v>
      </c>
      <c r="BT304" s="349">
        <v>0.13197833431651196</v>
      </c>
      <c r="BU304" s="349">
        <v>0.16804911247534648</v>
      </c>
      <c r="BV304" s="349">
        <v>0.19150647810991606</v>
      </c>
      <c r="BW304" s="349">
        <v>5.3160944542085087E-2</v>
      </c>
      <c r="BX304" s="349">
        <v>0.11557452986065342</v>
      </c>
      <c r="BY304" s="349">
        <v>9.5457830655473419E-2</v>
      </c>
      <c r="BZ304" s="349">
        <v>0.13111925395994484</v>
      </c>
      <c r="CA304" s="349">
        <v>0.11288610953193112</v>
      </c>
      <c r="CB304" s="349">
        <v>0.11422496825102391</v>
      </c>
      <c r="CC304" s="349">
        <v>3.2337159304929308E-3</v>
      </c>
      <c r="CD304" s="349">
        <v>-7.683156538118352E-3</v>
      </c>
      <c r="CE304" s="349">
        <v>-2.4228622307455039E-3</v>
      </c>
      <c r="CF304" s="349">
        <v>2.3345513601298329E-3</v>
      </c>
      <c r="CG304" s="349">
        <v>-0.16439271879606454</v>
      </c>
      <c r="CH304" s="349">
        <v>-8.0482571900488686E-2</v>
      </c>
      <c r="CI304" s="349">
        <v>-4.1561013924817924E-2</v>
      </c>
      <c r="CJ304" s="349">
        <v>-5.5398129781807914E-2</v>
      </c>
      <c r="CK304" s="349">
        <v>-2.1995770684516414E-2</v>
      </c>
      <c r="CL304" s="349">
        <v>-3.8181958616901657E-2</v>
      </c>
      <c r="CM304" s="349">
        <v>-5.9459915611814296E-2</v>
      </c>
      <c r="CN304" s="349">
        <v>0.19236528481467041</v>
      </c>
      <c r="CO304" s="349">
        <v>5.4212460995731515E-2</v>
      </c>
      <c r="CP304" s="349">
        <v>6.2621925691024316E-3</v>
      </c>
      <c r="CQ304" s="349">
        <v>6.2546872656367158E-2</v>
      </c>
      <c r="CR304" s="349">
        <v>1.2871152274584574E-2</v>
      </c>
      <c r="CS304" s="349">
        <v>3.6512242130059214E-2</v>
      </c>
      <c r="CT304" s="349">
        <v>-0.11003642758447429</v>
      </c>
      <c r="CU304" s="349">
        <v>-0.26888472191161039</v>
      </c>
      <c r="CV304" s="349">
        <v>-0.19113617200674538</v>
      </c>
      <c r="CW304" s="349">
        <v>-7.8210757409440168E-2</v>
      </c>
      <c r="CX304" s="349">
        <v>-0.19792843026538676</v>
      </c>
      <c r="CY304" s="349">
        <v>-0.26274120890203723</v>
      </c>
      <c r="CZ304" s="349">
        <v>-0.23112151785406843</v>
      </c>
      <c r="DA304" s="349">
        <v>-0.12206875693114227</v>
      </c>
      <c r="DB304" s="349">
        <v>2.1271088731499521E-2</v>
      </c>
      <c r="DC304" s="349">
        <v>-5.5921124068886163E-2</v>
      </c>
      <c r="DD304" s="573">
        <v>-0.15364595837854966</v>
      </c>
      <c r="DE304" s="350">
        <v>-6.4195358046419515E-2</v>
      </c>
      <c r="DF304" s="349">
        <v>2.2571304803812087E-2</v>
      </c>
      <c r="DG304" s="349">
        <v>-2.1586277934524611E-2</v>
      </c>
      <c r="DH304" s="349">
        <v>0.21019269194552259</v>
      </c>
      <c r="DI304" s="349">
        <v>0.13397691403820011</v>
      </c>
      <c r="DJ304" s="349">
        <v>0.17214528892160463</v>
      </c>
      <c r="DK304" s="573">
        <v>7.3975944627255208E-2</v>
      </c>
      <c r="DL304" s="351">
        <v>0.56609539929943353</v>
      </c>
      <c r="DM304" s="349">
        <v>0.34868787763929454</v>
      </c>
      <c r="DN304" s="349">
        <v>0.45451320547443586</v>
      </c>
      <c r="DO304" s="350">
        <v>-8.7298123090351343E-4</v>
      </c>
      <c r="DP304" s="349">
        <v>-7.9076760534763757E-2</v>
      </c>
      <c r="DQ304" s="349">
        <v>-3.864155979236783E-2</v>
      </c>
      <c r="DR304" s="573">
        <v>0.18901843115917139</v>
      </c>
      <c r="DS304" s="350">
        <v>-0.28449194650014265</v>
      </c>
      <c r="DT304" s="349">
        <v>-0.22137543395602577</v>
      </c>
      <c r="DU304" s="350">
        <v>-0.25445490806957916</v>
      </c>
      <c r="DV304" s="350">
        <v>-0.20162592360438392</v>
      </c>
      <c r="DW304" s="349">
        <v>-5.4891232405242074E-2</v>
      </c>
      <c r="DX304" s="349">
        <v>-0.13374092862319209</v>
      </c>
      <c r="DY304" s="573">
        <v>-0.20191043184645463</v>
      </c>
      <c r="DZ304" s="350">
        <v>-0.11891324871498998</v>
      </c>
      <c r="EA304" s="350">
        <v>-0.15779528227775541</v>
      </c>
      <c r="EB304" s="350">
        <v>-0.13823814950825208</v>
      </c>
      <c r="EC304" s="350">
        <v>-4.5512942519984723E-2</v>
      </c>
      <c r="ED304" s="349">
        <v>-0.10558382744292449</v>
      </c>
      <c r="EE304" s="349">
        <v>-7.5833627901496392E-2</v>
      </c>
      <c r="EF304" s="573">
        <v>-0.10875446741708139</v>
      </c>
      <c r="EG304" s="350">
        <v>-1.0024525561349584E-2</v>
      </c>
      <c r="EH304" s="350">
        <v>0.13739380341341678</v>
      </c>
      <c r="EI304" s="350">
        <v>6.1581602664576796E-2</v>
      </c>
      <c r="EJ304" s="350">
        <v>-4.4807697101124089E-2</v>
      </c>
      <c r="EK304" s="350">
        <v>-1.4738875114185035E-2</v>
      </c>
      <c r="EL304" s="349">
        <v>-3.0119081010786197E-2</v>
      </c>
      <c r="EM304" s="573">
        <v>1.6656298017464488E-2</v>
      </c>
      <c r="EN304" s="350">
        <v>2.3722820858187443E-3</v>
      </c>
      <c r="EO304" s="350">
        <v>1.655340558991103E-2</v>
      </c>
      <c r="EP304" s="350">
        <v>9.7524598295135601E-3</v>
      </c>
      <c r="EQ304" s="351">
        <v>2.9007822269355721E-2</v>
      </c>
      <c r="ER304" s="349">
        <v>5.9999999999999831E-2</v>
      </c>
      <c r="ES304" s="349">
        <v>4.4387579918087727E-2</v>
      </c>
      <c r="ET304" s="581">
        <v>2.5939946170126404E-2</v>
      </c>
      <c r="EU304" s="349">
        <v>8.0000000000000071E-2</v>
      </c>
      <c r="EV304" s="349">
        <v>7.1594179641303324E-2</v>
      </c>
      <c r="EW304" s="349">
        <v>7.5595956840461165E-2</v>
      </c>
      <c r="EX304" s="349">
        <v>7.3294231849466929E-2</v>
      </c>
      <c r="EY304" s="349">
        <v>0.10000000000000009</v>
      </c>
      <c r="EZ304" s="349">
        <v>8.6744986134123403E-2</v>
      </c>
      <c r="FA304" s="581">
        <v>8.0900396729690183E-2</v>
      </c>
      <c r="FB304" s="349">
        <v>9.9999999999999867E-2</v>
      </c>
      <c r="FC304" s="349">
        <v>3.6745999139242702E-2</v>
      </c>
      <c r="FD304" s="349">
        <v>6.6982769081316285E-2</v>
      </c>
      <c r="FE304" s="349">
        <v>3.7558971548503184E-2</v>
      </c>
      <c r="FF304" s="349">
        <v>0</v>
      </c>
      <c r="FG304" s="349">
        <v>1.8411109205312748E-2</v>
      </c>
      <c r="FH304" s="581">
        <v>4.3748586927447208E-2</v>
      </c>
      <c r="FI304" s="349">
        <v>0</v>
      </c>
      <c r="FJ304" s="349">
        <v>0</v>
      </c>
      <c r="FK304" s="349">
        <v>0</v>
      </c>
      <c r="FL304" s="349">
        <v>0</v>
      </c>
      <c r="FM304" s="349">
        <v>0</v>
      </c>
      <c r="FN304" s="349">
        <v>0</v>
      </c>
      <c r="FO304" s="581">
        <v>0</v>
      </c>
      <c r="FP304" s="349">
        <v>0</v>
      </c>
      <c r="FQ304" s="349">
        <v>0</v>
      </c>
      <c r="FR304" s="349">
        <v>0</v>
      </c>
      <c r="FS304" s="349">
        <v>0</v>
      </c>
      <c r="FT304" s="349">
        <v>1.0000000000000009E-2</v>
      </c>
      <c r="FU304" s="349">
        <v>5.005915065419364E-3</v>
      </c>
      <c r="FV304" s="581">
        <v>2.3364427770957708E-3</v>
      </c>
    </row>
    <row r="305" spans="2:178" outlineLevel="1" x14ac:dyDescent="0.3">
      <c r="B305" s="279" t="s">
        <v>630</v>
      </c>
      <c r="C305" s="280" t="s">
        <v>413</v>
      </c>
      <c r="BH305" s="349">
        <v>2.2612482120800692E-2</v>
      </c>
      <c r="BI305" s="349">
        <v>0.10744044657581675</v>
      </c>
      <c r="BJ305" s="349">
        <v>6.4714238935988044E-2</v>
      </c>
      <c r="BK305" s="349">
        <v>4.3121874298159391E-2</v>
      </c>
      <c r="BL305" s="349">
        <v>4.077380952380949E-2</v>
      </c>
      <c r="BM305" s="349">
        <v>4.2032950236690292E-2</v>
      </c>
      <c r="BN305" s="349">
        <v>5.3460212789448125E-2</v>
      </c>
      <c r="BO305" s="349">
        <v>4.250653599337717E-2</v>
      </c>
      <c r="BP305" s="349">
        <v>3.2447486338623044E-2</v>
      </c>
      <c r="BQ305" s="349">
        <v>3.7313689990498222E-2</v>
      </c>
      <c r="BR305" s="349">
        <v>5.2534562407777763E-3</v>
      </c>
      <c r="BS305" s="349">
        <v>3.9270977115739569E-2</v>
      </c>
      <c r="BT305" s="349">
        <v>2.1010149620013019E-2</v>
      </c>
      <c r="BU305" s="349">
        <v>2.9311931658160262E-2</v>
      </c>
      <c r="BV305" s="349">
        <v>9.3412888103847624E-3</v>
      </c>
      <c r="BW305" s="349">
        <v>-1.5895037955021341E-2</v>
      </c>
      <c r="BX305" s="349">
        <v>-3.6255017250935717E-3</v>
      </c>
      <c r="BY305" s="349">
        <v>4.2509934728603094E-2</v>
      </c>
      <c r="BZ305" s="349">
        <v>-5.5040242580737253E-3</v>
      </c>
      <c r="CA305" s="349">
        <v>1.9872423383301419E-2</v>
      </c>
      <c r="CB305" s="349">
        <v>7.8142361959783191E-3</v>
      </c>
      <c r="CC305" s="349">
        <v>5.7218234968191117E-2</v>
      </c>
      <c r="CD305" s="349">
        <v>-3.4846316084178208E-2</v>
      </c>
      <c r="CE305" s="349">
        <v>1.0496645281696582E-2</v>
      </c>
      <c r="CF305" s="349">
        <v>-1.9319934103210312E-2</v>
      </c>
      <c r="CG305" s="349">
        <v>7.367150535213951E-2</v>
      </c>
      <c r="CH305" s="349">
        <v>2.3432546179531721E-2</v>
      </c>
      <c r="CI305" s="349">
        <v>1.6869713975586897E-2</v>
      </c>
      <c r="CJ305" s="349">
        <v>3.9107912123284239E-2</v>
      </c>
      <c r="CK305" s="349">
        <v>0.17119860015978139</v>
      </c>
      <c r="CL305" s="349">
        <v>0.10313429544221631</v>
      </c>
      <c r="CM305" s="349">
        <v>0.19017900578158464</v>
      </c>
      <c r="CN305" s="349">
        <v>0.27746062679860306</v>
      </c>
      <c r="CO305" s="349">
        <v>0.23227621947255672</v>
      </c>
      <c r="CP305" s="349">
        <v>0.16716865695922167</v>
      </c>
      <c r="CQ305" s="349">
        <v>0.10828297651382268</v>
      </c>
      <c r="CR305" s="349">
        <v>5.5705877800080739E-2</v>
      </c>
      <c r="CS305" s="349">
        <v>8.1225608824165407E-2</v>
      </c>
      <c r="CT305" s="349">
        <v>3.4434743796371015E-2</v>
      </c>
      <c r="CU305" s="349">
        <v>-4.4737769889126588E-2</v>
      </c>
      <c r="CV305" s="349">
        <v>-5.1515130463779535E-3</v>
      </c>
      <c r="CW305" s="349">
        <v>3.6006811106046976E-2</v>
      </c>
      <c r="CX305" s="349">
        <v>2.5323352211248595E-2</v>
      </c>
      <c r="CY305" s="349">
        <v>2.7989749430523903E-2</v>
      </c>
      <c r="CZ305" s="349">
        <v>2.6663153496070624E-2</v>
      </c>
      <c r="DA305" s="349">
        <v>2.7989749430523903E-2</v>
      </c>
      <c r="DB305" s="349">
        <v>2.7989749430523903E-2</v>
      </c>
      <c r="DC305" s="349">
        <v>2.7989749430524125E-2</v>
      </c>
      <c r="DD305" s="573">
        <v>2.7330042071008309E-2</v>
      </c>
      <c r="DE305" s="350">
        <v>-0.12</v>
      </c>
      <c r="DF305" s="349">
        <v>-5.0000000000000044E-2</v>
      </c>
      <c r="DG305" s="349">
        <v>-8.4781213268531053E-2</v>
      </c>
      <c r="DH305" s="349">
        <v>-4.0000000000000036E-2</v>
      </c>
      <c r="DI305" s="349">
        <v>-4.0000000000000036E-2</v>
      </c>
      <c r="DJ305" s="349">
        <v>-4.0000000000000036E-2</v>
      </c>
      <c r="DK305" s="573">
        <v>-6.2254944223448239E-2</v>
      </c>
      <c r="DL305" s="351">
        <v>5.0000000000000044E-2</v>
      </c>
      <c r="DM305" s="349">
        <v>-4.0000000000000036E-2</v>
      </c>
      <c r="DN305" s="349">
        <v>2.9978700300792305E-3</v>
      </c>
      <c r="DO305" s="350">
        <v>-3.0000000000000138E-2</v>
      </c>
      <c r="DP305" s="349">
        <v>3.188467927763794E-2</v>
      </c>
      <c r="DQ305" s="349">
        <v>-2.8889448408631058E-4</v>
      </c>
      <c r="DR305" s="573">
        <v>1.3052929701280469E-3</v>
      </c>
      <c r="DS305" s="350">
        <v>3.188467927763794E-2</v>
      </c>
      <c r="DT305" s="349">
        <v>2.1421894474449532E-2</v>
      </c>
      <c r="DU305" s="350">
        <v>2.6654777351437176E-2</v>
      </c>
      <c r="DV305" s="350">
        <v>2.1421894474449532E-2</v>
      </c>
      <c r="DW305" s="349">
        <v>2.1421894474449532E-2</v>
      </c>
      <c r="DX305" s="349">
        <v>2.1421894474449532E-2</v>
      </c>
      <c r="DY305" s="573">
        <v>2.3964302851856134E-2</v>
      </c>
      <c r="DZ305" s="350">
        <v>2.1421894474449532E-2</v>
      </c>
      <c r="EA305" s="350">
        <v>2.2752116328139005E-2</v>
      </c>
      <c r="EB305" s="350">
        <v>2.2083426784883731E-2</v>
      </c>
      <c r="EC305" s="350">
        <v>2.2752116328139005E-2</v>
      </c>
      <c r="ED305" s="349">
        <v>2.2752116328139005E-2</v>
      </c>
      <c r="EE305" s="349">
        <v>2.2752116328139005E-2</v>
      </c>
      <c r="EF305" s="573">
        <v>2.2426378314183815E-2</v>
      </c>
      <c r="EG305" s="350">
        <v>2.2752116328139005E-2</v>
      </c>
      <c r="EH305" s="350">
        <v>2.1574865778484886E-2</v>
      </c>
      <c r="EI305" s="350">
        <v>2.2166275109030353E-2</v>
      </c>
      <c r="EJ305" s="350">
        <v>2.1574865778484886E-2</v>
      </c>
      <c r="EK305" s="350">
        <v>2.1574865778484886E-2</v>
      </c>
      <c r="EL305" s="349">
        <v>2.1574865778484886E-2</v>
      </c>
      <c r="EM305" s="573">
        <v>2.1862861731379857E-2</v>
      </c>
      <c r="EN305" s="350">
        <v>2.1574865778484886E-2</v>
      </c>
      <c r="EO305" s="350">
        <v>1.226277372262774E-2</v>
      </c>
      <c r="EP305" s="350">
        <v>1.6943522899810493E-2</v>
      </c>
      <c r="EQ305" s="351">
        <v>1.226277372262774E-2</v>
      </c>
      <c r="ER305" s="349">
        <v>1.226277372262774E-2</v>
      </c>
      <c r="ES305" s="349">
        <v>1.2262773722627518E-2</v>
      </c>
      <c r="ET305" s="581">
        <v>1.4542813978068336E-2</v>
      </c>
      <c r="EU305" s="349">
        <v>1.226277372262774E-2</v>
      </c>
      <c r="EV305" s="349">
        <v>1.0000000000000009E-2</v>
      </c>
      <c r="EW305" s="349">
        <v>1.1142569430761196E-2</v>
      </c>
      <c r="EX305" s="349">
        <v>1.0000000000000009E-2</v>
      </c>
      <c r="EY305" s="349">
        <v>1.0000000000000009E-2</v>
      </c>
      <c r="EZ305" s="349">
        <v>1.0000000000000009E-2</v>
      </c>
      <c r="FA305" s="581">
        <v>1.0557874102333109E-2</v>
      </c>
      <c r="FB305" s="349">
        <v>1.0000000000000009E-2</v>
      </c>
      <c r="FC305" s="349">
        <v>1.0000000000000009E-2</v>
      </c>
      <c r="FD305" s="349">
        <v>1.0000000000000009E-2</v>
      </c>
      <c r="FE305" s="349">
        <v>1.0000000000000009E-2</v>
      </c>
      <c r="FF305" s="349">
        <v>1.0000000000000009E-2</v>
      </c>
      <c r="FG305" s="349">
        <v>1.0000000000000231E-2</v>
      </c>
      <c r="FH305" s="581">
        <v>1.0000000000000231E-2</v>
      </c>
      <c r="FI305" s="349">
        <v>1.0000000000000009E-2</v>
      </c>
      <c r="FJ305" s="349">
        <v>1.0000000000000009E-2</v>
      </c>
      <c r="FK305" s="349">
        <v>1.0000000000000009E-2</v>
      </c>
      <c r="FL305" s="349">
        <v>1.0000000000000009E-2</v>
      </c>
      <c r="FM305" s="349">
        <v>1.0000000000000009E-2</v>
      </c>
      <c r="FN305" s="349">
        <v>1.0000000000000009E-2</v>
      </c>
      <c r="FO305" s="581">
        <v>1.0000000000000009E-2</v>
      </c>
      <c r="FP305" s="349">
        <v>1.0000000000000009E-2</v>
      </c>
      <c r="FQ305" s="349">
        <v>1.0000000000000009E-2</v>
      </c>
      <c r="FR305" s="349">
        <v>1.0000000000000009E-2</v>
      </c>
      <c r="FS305" s="349">
        <v>1.0000000000000009E-2</v>
      </c>
      <c r="FT305" s="349">
        <v>1.0000000000000009E-2</v>
      </c>
      <c r="FU305" s="349">
        <v>1.0000000000000231E-2</v>
      </c>
      <c r="FV305" s="581">
        <v>1.0000000000000009E-2</v>
      </c>
    </row>
    <row r="306" spans="2:178" outlineLevel="1" x14ac:dyDescent="0.3">
      <c r="B306" s="279" t="s">
        <v>631</v>
      </c>
      <c r="C306" s="280" t="s">
        <v>413</v>
      </c>
      <c r="BH306" s="349">
        <v>0.35730858468677495</v>
      </c>
      <c r="BI306" s="349">
        <v>0.2199068942584792</v>
      </c>
      <c r="BJ306" s="349">
        <v>0.28343265792610239</v>
      </c>
      <c r="BK306" s="349">
        <v>0.32385634886703718</v>
      </c>
      <c r="BL306" s="349">
        <v>0.24994224994224989</v>
      </c>
      <c r="BM306" s="349">
        <v>0.28833129787942702</v>
      </c>
      <c r="BN306" s="349">
        <v>0.28596884520319588</v>
      </c>
      <c r="BO306" s="349">
        <v>0.17929724596391261</v>
      </c>
      <c r="BP306" s="349">
        <v>0.1495547882972923</v>
      </c>
      <c r="BQ306" s="349">
        <v>0.16409732540861821</v>
      </c>
      <c r="BR306" s="349">
        <v>9.3331180364928157E-2</v>
      </c>
      <c r="BS306" s="349">
        <v>5.9323600073923455E-2</v>
      </c>
      <c r="BT306" s="349">
        <v>7.7473285074112441E-2</v>
      </c>
      <c r="BU306" s="349">
        <v>0.11916681566243525</v>
      </c>
      <c r="BV306" s="349">
        <v>1.8682557577709868E-2</v>
      </c>
      <c r="BW306" s="349">
        <v>0.16297818526715147</v>
      </c>
      <c r="BX306" s="349">
        <v>9.1503789389708823E-2</v>
      </c>
      <c r="BY306" s="349">
        <v>0.13986117264805786</v>
      </c>
      <c r="BZ306" s="349">
        <v>0.11461967899511505</v>
      </c>
      <c r="CA306" s="349">
        <v>0.12828921058945864</v>
      </c>
      <c r="CB306" s="349">
        <v>0.10987299305056308</v>
      </c>
      <c r="CC306" s="349">
        <v>0.20679841897233198</v>
      </c>
      <c r="CD306" s="349">
        <v>0.12260432241402741</v>
      </c>
      <c r="CE306" s="349">
        <v>0.16152609267650919</v>
      </c>
      <c r="CF306" s="349">
        <v>8.6810054418242633E-3</v>
      </c>
      <c r="CG306" s="349">
        <v>8.7650649553920879E-2</v>
      </c>
      <c r="CH306" s="349">
        <v>4.4446019706528617E-2</v>
      </c>
      <c r="CI306" s="349">
        <v>0.10209075533484469</v>
      </c>
      <c r="CJ306" s="349">
        <v>-2.2664745185379309E-2</v>
      </c>
      <c r="CK306" s="349">
        <v>5.3154134883157678E-2</v>
      </c>
      <c r="CL306" s="349">
        <v>1.673798137427629E-2</v>
      </c>
      <c r="CM306" s="349">
        <v>2.5048169556840083E-2</v>
      </c>
      <c r="CN306" s="349">
        <v>4.38912073679667E-2</v>
      </c>
      <c r="CO306" s="349">
        <v>3.3935116058096959E-2</v>
      </c>
      <c r="CP306" s="349">
        <v>2.5011428198262964E-2</v>
      </c>
      <c r="CQ306" s="349">
        <v>0.19678284182305639</v>
      </c>
      <c r="CR306" s="349">
        <v>-3.5870315014945975E-2</v>
      </c>
      <c r="CS306" s="349">
        <v>7.1543507859883615E-2</v>
      </c>
      <c r="CT306" s="349">
        <v>5.6140350877192935E-2</v>
      </c>
      <c r="CU306" s="349">
        <v>0.20953956437827403</v>
      </c>
      <c r="CV306" s="349">
        <v>0.12918471839306811</v>
      </c>
      <c r="CW306" s="349">
        <v>9.9515800203873628E-2</v>
      </c>
      <c r="CX306" s="349">
        <v>3.2258064516129004E-2</v>
      </c>
      <c r="CY306" s="349">
        <v>0.19627951347483896</v>
      </c>
      <c r="CZ306" s="349">
        <v>0.11170151322629085</v>
      </c>
      <c r="DA306" s="349">
        <v>0.13965353583293783</v>
      </c>
      <c r="DB306" s="349">
        <v>-1.1397310234784186E-3</v>
      </c>
      <c r="DC306" s="349">
        <v>6.7840948726892281E-2</v>
      </c>
      <c r="DD306" s="573">
        <v>8.9842391934175536E-2</v>
      </c>
      <c r="DE306" s="350">
        <v>-3.2552083333337034E-4</v>
      </c>
      <c r="DF306" s="349">
        <v>1.1961722488038173E-2</v>
      </c>
      <c r="DG306" s="349">
        <v>6.0785536159599918E-3</v>
      </c>
      <c r="DH306" s="349">
        <v>0.17553357626236332</v>
      </c>
      <c r="DI306" s="349">
        <v>0.18393427658603367</v>
      </c>
      <c r="DJ306" s="349">
        <v>0.17954161903206489</v>
      </c>
      <c r="DK306" s="573">
        <v>9.0783422388813539E-2</v>
      </c>
      <c r="DL306" s="351">
        <v>0.35808097253880389</v>
      </c>
      <c r="DM306" s="349">
        <v>0.30526004728132383</v>
      </c>
      <c r="DN306" s="349">
        <v>0.33038987864704361</v>
      </c>
      <c r="DO306" s="350">
        <v>0.13966876273137907</v>
      </c>
      <c r="DP306" s="349">
        <v>0.18860832690824991</v>
      </c>
      <c r="DQ306" s="349">
        <v>0.16310518299718457</v>
      </c>
      <c r="DR306" s="573">
        <v>0.24205498147787097</v>
      </c>
      <c r="DS306" s="350">
        <v>-1.8222506393861915E-2</v>
      </c>
      <c r="DT306" s="349">
        <v>-3.0186401026333076E-4</v>
      </c>
      <c r="DU306" s="350">
        <v>-9.0051624422621268E-3</v>
      </c>
      <c r="DV306" s="350">
        <v>-4.9999999999999933E-2</v>
      </c>
      <c r="DW306" s="349">
        <v>-9.9999999999999978E-2</v>
      </c>
      <c r="DX306" s="349">
        <v>-7.4469267092575619E-2</v>
      </c>
      <c r="DY306" s="573">
        <v>-4.1376265599246453E-2</v>
      </c>
      <c r="DZ306" s="350">
        <v>-0.15000000000000002</v>
      </c>
      <c r="EA306" s="350">
        <v>-0.25</v>
      </c>
      <c r="EB306" s="350">
        <v>-0.20188594257960901</v>
      </c>
      <c r="EC306" s="350">
        <v>-0.25</v>
      </c>
      <c r="ED306" s="349">
        <v>-0.25000000000000011</v>
      </c>
      <c r="EE306" s="349">
        <v>-0.25000000000000011</v>
      </c>
      <c r="EF306" s="573">
        <v>-0.22485636154112254</v>
      </c>
      <c r="EG306" s="350">
        <v>-0.25</v>
      </c>
      <c r="EH306" s="350">
        <v>-0.25</v>
      </c>
      <c r="EI306" s="350">
        <v>-0.25000000000000011</v>
      </c>
      <c r="EJ306" s="350">
        <v>-0.25000000000000011</v>
      </c>
      <c r="EK306" s="350">
        <v>-9.9999999999999867E-2</v>
      </c>
      <c r="EL306" s="349">
        <v>-0.17861715035392267</v>
      </c>
      <c r="EM306" s="573">
        <v>-0.2170261322489182</v>
      </c>
      <c r="EN306" s="350">
        <v>-9.9999999999999978E-2</v>
      </c>
      <c r="EO306" s="350">
        <v>-9.9999999999999867E-2</v>
      </c>
      <c r="EP306" s="350">
        <v>-9.9999999999999978E-2</v>
      </c>
      <c r="EQ306" s="351">
        <v>-9.9999999999999978E-2</v>
      </c>
      <c r="ER306" s="349">
        <v>4.9999999999999822E-2</v>
      </c>
      <c r="ES306" s="349">
        <v>-2.1784872049432691E-2</v>
      </c>
      <c r="ET306" s="581">
        <v>-6.2097737615161019E-2</v>
      </c>
      <c r="EU306" s="349">
        <v>0.10000000000000009</v>
      </c>
      <c r="EV306" s="349">
        <v>0.14999999999999991</v>
      </c>
      <c r="EW306" s="349">
        <v>0.12437900734419038</v>
      </c>
      <c r="EX306" s="349">
        <v>0.14999999999999991</v>
      </c>
      <c r="EY306" s="349">
        <v>0.19999999999999996</v>
      </c>
      <c r="EZ306" s="349">
        <v>0.17798494318938984</v>
      </c>
      <c r="FA306" s="581">
        <v>0.15147244093628132</v>
      </c>
      <c r="FB306" s="349">
        <v>0.20000000000000018</v>
      </c>
      <c r="FC306" s="349">
        <v>0.19999999999999996</v>
      </c>
      <c r="FD306" s="349">
        <v>0.20000000000000018</v>
      </c>
      <c r="FE306" s="349">
        <v>0.20000000000000018</v>
      </c>
      <c r="FF306" s="349">
        <v>0.19999999999999996</v>
      </c>
      <c r="FG306" s="349">
        <v>0.20000000000000018</v>
      </c>
      <c r="FH306" s="581">
        <v>0.20000000000000018</v>
      </c>
      <c r="FI306" s="349">
        <v>0.19999999999999996</v>
      </c>
      <c r="FJ306" s="349">
        <v>-0.15000000000000002</v>
      </c>
      <c r="FK306" s="349">
        <v>2.5458312687388851E-2</v>
      </c>
      <c r="FL306" s="349">
        <v>-0.15000000000000013</v>
      </c>
      <c r="FM306" s="349">
        <v>-0.15000000000000013</v>
      </c>
      <c r="FN306" s="349">
        <v>-0.15000000000000002</v>
      </c>
      <c r="FO306" s="581">
        <v>-6.5263413472946508E-2</v>
      </c>
      <c r="FP306" s="349">
        <v>-0.15000000000000024</v>
      </c>
      <c r="FQ306" s="349">
        <v>0</v>
      </c>
      <c r="FR306" s="349">
        <v>-8.7995487043566079E-2</v>
      </c>
      <c r="FS306" s="349">
        <v>0</v>
      </c>
      <c r="FT306" s="349">
        <v>0</v>
      </c>
      <c r="FU306" s="349">
        <v>0</v>
      </c>
      <c r="FV306" s="581">
        <v>-4.6621493751638599E-2</v>
      </c>
    </row>
    <row r="307" spans="2:178" x14ac:dyDescent="0.3">
      <c r="C307" s="280"/>
    </row>
    <row r="309" spans="2:178" outlineLevel="1" x14ac:dyDescent="0.3">
      <c r="B309" s="530" t="s">
        <v>632</v>
      </c>
    </row>
    <row r="310" spans="2:178" outlineLevel="1" x14ac:dyDescent="0.3"/>
    <row r="311" spans="2:178" outlineLevel="1" x14ac:dyDescent="0.3">
      <c r="B311" s="253" t="s">
        <v>14</v>
      </c>
      <c r="Y311" s="281">
        <f t="shared" ref="Y311:BD311" si="1087">Y17</f>
        <v>365</v>
      </c>
      <c r="Z311" s="281">
        <f t="shared" si="1087"/>
        <v>341.9</v>
      </c>
      <c r="AA311" s="281">
        <f t="shared" si="1087"/>
        <v>706.90000000000009</v>
      </c>
      <c r="AB311" s="281">
        <f t="shared" si="1087"/>
        <v>254.4</v>
      </c>
      <c r="AC311" s="281">
        <f t="shared" si="1087"/>
        <v>226.49999999999997</v>
      </c>
      <c r="AD311" s="281">
        <f t="shared" si="1087"/>
        <v>480.90000000000003</v>
      </c>
      <c r="AE311" s="281">
        <f t="shared" si="1087"/>
        <v>1187.8</v>
      </c>
      <c r="AF311" s="281">
        <f t="shared" si="1087"/>
        <v>289.3</v>
      </c>
      <c r="AG311" s="281">
        <f t="shared" si="1087"/>
        <v>303.2</v>
      </c>
      <c r="AH311" s="281">
        <f t="shared" si="1087"/>
        <v>592.5</v>
      </c>
      <c r="AI311" s="281">
        <f t="shared" si="1087"/>
        <v>263.2</v>
      </c>
      <c r="AJ311" s="281">
        <f t="shared" si="1087"/>
        <v>275.2</v>
      </c>
      <c r="AK311" s="281">
        <f t="shared" si="1087"/>
        <v>538.4</v>
      </c>
      <c r="AL311" s="281">
        <f t="shared" si="1087"/>
        <v>1130.8999999999999</v>
      </c>
      <c r="AM311" s="281">
        <f t="shared" si="1087"/>
        <v>314</v>
      </c>
      <c r="AN311" s="281">
        <f t="shared" si="1087"/>
        <v>284.70000000000005</v>
      </c>
      <c r="AO311" s="281">
        <f t="shared" si="1087"/>
        <v>598.70000000000005</v>
      </c>
      <c r="AP311" s="281">
        <f t="shared" si="1087"/>
        <v>278.7772971817202</v>
      </c>
      <c r="AQ311" s="281">
        <f t="shared" si="1087"/>
        <v>272.59679637111304</v>
      </c>
      <c r="AR311" s="281">
        <f t="shared" si="1087"/>
        <v>551.3740935528333</v>
      </c>
      <c r="AS311" s="281">
        <f t="shared" si="1087"/>
        <v>1150.0740935528333</v>
      </c>
      <c r="AT311" s="281">
        <f t="shared" si="1087"/>
        <v>312.10000000000002</v>
      </c>
      <c r="AU311" s="281">
        <f t="shared" si="1087"/>
        <v>331.1</v>
      </c>
      <c r="AV311" s="281">
        <f t="shared" si="1087"/>
        <v>643.20000000000005</v>
      </c>
      <c r="AW311" s="281">
        <f t="shared" si="1087"/>
        <v>284.5</v>
      </c>
      <c r="AX311" s="281">
        <f t="shared" si="1087"/>
        <v>312.8</v>
      </c>
      <c r="AY311" s="281">
        <f t="shared" si="1087"/>
        <v>597.30000000000007</v>
      </c>
      <c r="AZ311" s="281">
        <f t="shared" si="1087"/>
        <v>1240.5</v>
      </c>
      <c r="BA311" s="281">
        <f t="shared" si="1087"/>
        <v>340.09999999999991</v>
      </c>
      <c r="BB311" s="281">
        <f t="shared" si="1087"/>
        <v>334.7</v>
      </c>
      <c r="BC311" s="281">
        <f t="shared" si="1087"/>
        <v>674.80000000000007</v>
      </c>
      <c r="BD311" s="281">
        <f t="shared" si="1087"/>
        <v>320.90000000000003</v>
      </c>
      <c r="BE311" s="281">
        <f t="shared" ref="BE311:CJ311" si="1088">BE17</f>
        <v>330.3</v>
      </c>
      <c r="BF311" s="281">
        <f t="shared" si="1088"/>
        <v>651.20000000000005</v>
      </c>
      <c r="BG311" s="281">
        <f t="shared" si="1088"/>
        <v>1326</v>
      </c>
      <c r="BH311" s="281">
        <f t="shared" si="1088"/>
        <v>372.29999999999995</v>
      </c>
      <c r="BI311" s="281">
        <f t="shared" si="1088"/>
        <v>392.1</v>
      </c>
      <c r="BJ311" s="281">
        <f t="shared" si="1088"/>
        <v>764.4</v>
      </c>
      <c r="BK311" s="281">
        <f t="shared" si="1088"/>
        <v>354.4</v>
      </c>
      <c r="BL311" s="281">
        <f t="shared" si="1088"/>
        <v>379.90000000000003</v>
      </c>
      <c r="BM311" s="281">
        <f t="shared" si="1088"/>
        <v>734.30000000000018</v>
      </c>
      <c r="BN311" s="281">
        <f t="shared" si="1088"/>
        <v>1498.7</v>
      </c>
      <c r="BO311" s="281">
        <f t="shared" si="1088"/>
        <v>413.1</v>
      </c>
      <c r="BP311" s="281">
        <f t="shared" si="1088"/>
        <v>440.40000000000003</v>
      </c>
      <c r="BQ311" s="281">
        <f t="shared" si="1088"/>
        <v>853.49999999999989</v>
      </c>
      <c r="BR311" s="281">
        <f t="shared" si="1088"/>
        <v>388.20000000000005</v>
      </c>
      <c r="BS311" s="281">
        <f t="shared" si="1088"/>
        <v>414.8</v>
      </c>
      <c r="BT311" s="281">
        <f t="shared" si="1088"/>
        <v>803.00000000000011</v>
      </c>
      <c r="BU311" s="281">
        <f t="shared" si="1088"/>
        <v>1656.5</v>
      </c>
      <c r="BV311" s="281">
        <f t="shared" si="1088"/>
        <v>430.99999999999994</v>
      </c>
      <c r="BW311" s="281">
        <f t="shared" si="1088"/>
        <v>449.69999999999993</v>
      </c>
      <c r="BX311" s="281">
        <f t="shared" si="1088"/>
        <v>880.7</v>
      </c>
      <c r="BY311" s="281">
        <f t="shared" si="1088"/>
        <v>415.79999999999995</v>
      </c>
      <c r="BZ311" s="281">
        <f t="shared" si="1088"/>
        <v>433.90000000000009</v>
      </c>
      <c r="CA311" s="281">
        <f t="shared" si="1088"/>
        <v>849.69999999999993</v>
      </c>
      <c r="CB311" s="281">
        <f t="shared" si="1088"/>
        <v>1730.3999999999999</v>
      </c>
      <c r="CC311" s="281">
        <f t="shared" si="1088"/>
        <v>477.00000000000006</v>
      </c>
      <c r="CD311" s="281">
        <f t="shared" si="1088"/>
        <v>496.3</v>
      </c>
      <c r="CE311" s="281">
        <f t="shared" si="1088"/>
        <v>973.3</v>
      </c>
      <c r="CF311" s="281">
        <f t="shared" si="1088"/>
        <v>455.19999999999993</v>
      </c>
      <c r="CG311" s="281">
        <f t="shared" si="1088"/>
        <v>494.40000000000003</v>
      </c>
      <c r="CH311" s="281">
        <f t="shared" si="1088"/>
        <v>949.59999999999991</v>
      </c>
      <c r="CI311" s="281">
        <f t="shared" si="1088"/>
        <v>1922.8999999999999</v>
      </c>
      <c r="CJ311" s="281">
        <f t="shared" si="1088"/>
        <v>608.9</v>
      </c>
      <c r="CK311" s="281">
        <f t="shared" ref="CK311:DP311" si="1089">CK17</f>
        <v>639.19999999999993</v>
      </c>
      <c r="CL311" s="281">
        <f t="shared" si="1089"/>
        <v>1248.0999999999999</v>
      </c>
      <c r="CM311" s="281">
        <f t="shared" si="1089"/>
        <v>601</v>
      </c>
      <c r="CN311" s="281">
        <f t="shared" si="1089"/>
        <v>631.5</v>
      </c>
      <c r="CO311" s="281">
        <f t="shared" si="1089"/>
        <v>1232.5</v>
      </c>
      <c r="CP311" s="281">
        <f t="shared" si="1089"/>
        <v>2480.5999999999995</v>
      </c>
      <c r="CQ311" s="281">
        <f t="shared" si="1089"/>
        <v>651.20000000000005</v>
      </c>
      <c r="CR311" s="281">
        <f t="shared" si="1089"/>
        <v>644.69999999999993</v>
      </c>
      <c r="CS311" s="281">
        <f t="shared" si="1089"/>
        <v>1295.9000000000001</v>
      </c>
      <c r="CT311" s="281">
        <f t="shared" si="1089"/>
        <v>585.99999999999989</v>
      </c>
      <c r="CU311" s="281">
        <f t="shared" si="1089"/>
        <v>624.79999999999995</v>
      </c>
      <c r="CV311" s="281">
        <f t="shared" si="1089"/>
        <v>1210.8</v>
      </c>
      <c r="CW311" s="281">
        <f t="shared" si="1089"/>
        <v>2506.6999999999998</v>
      </c>
      <c r="CX311" s="281">
        <f t="shared" si="1089"/>
        <v>656.59999999999991</v>
      </c>
      <c r="CY311" s="281">
        <f t="shared" si="1089"/>
        <v>660.2</v>
      </c>
      <c r="CZ311" s="281">
        <f t="shared" si="1089"/>
        <v>1316.8</v>
      </c>
      <c r="DA311" s="281">
        <f t="shared" si="1089"/>
        <v>616.70000000000005</v>
      </c>
      <c r="DB311" s="281">
        <f t="shared" si="1089"/>
        <v>673.3</v>
      </c>
      <c r="DC311" s="281">
        <f t="shared" si="1089"/>
        <v>1289.9999999999998</v>
      </c>
      <c r="DD311" s="575">
        <f t="shared" si="1089"/>
        <v>2606.8000000000002</v>
      </c>
      <c r="DE311" s="281">
        <f t="shared" si="1089"/>
        <v>626.5</v>
      </c>
      <c r="DF311" s="281">
        <f t="shared" si="1089"/>
        <v>737.00000000000011</v>
      </c>
      <c r="DG311" s="281">
        <f t="shared" si="1089"/>
        <v>1363.5</v>
      </c>
      <c r="DH311" s="281">
        <f t="shared" si="1089"/>
        <v>738.6</v>
      </c>
      <c r="DI311" s="281">
        <f t="shared" si="1089"/>
        <v>806.60000000000014</v>
      </c>
      <c r="DJ311" s="281">
        <f t="shared" si="1089"/>
        <v>1545.1999999999998</v>
      </c>
      <c r="DK311" s="575">
        <f t="shared" si="1089"/>
        <v>2908.7000000000003</v>
      </c>
      <c r="DL311" s="339">
        <f t="shared" si="1089"/>
        <v>843.50000000000011</v>
      </c>
      <c r="DM311" s="281">
        <f t="shared" si="1089"/>
        <v>903.19999999999993</v>
      </c>
      <c r="DN311" s="281">
        <f t="shared" si="1089"/>
        <v>1746.7000000000003</v>
      </c>
      <c r="DO311" s="281">
        <f t="shared" si="1089"/>
        <v>900</v>
      </c>
      <c r="DP311" s="281">
        <f t="shared" si="1089"/>
        <v>968</v>
      </c>
      <c r="DQ311" s="281">
        <f t="shared" ref="DQ311:EM311" si="1090">DQ17</f>
        <v>1867.9999999999998</v>
      </c>
      <c r="DR311" s="575">
        <f t="shared" si="1090"/>
        <v>3614.7000000000003</v>
      </c>
      <c r="DS311" s="281">
        <f t="shared" si="1090"/>
        <v>1001.1000000000001</v>
      </c>
      <c r="DT311" s="281">
        <f t="shared" si="1090"/>
        <v>997.60000000000014</v>
      </c>
      <c r="DU311" s="281">
        <f t="shared" si="1090"/>
        <v>1998.7000000000003</v>
      </c>
      <c r="DV311" s="281">
        <f t="shared" si="1090"/>
        <v>860.8</v>
      </c>
      <c r="DW311" s="281">
        <f t="shared" si="1090"/>
        <v>917.59999999999991</v>
      </c>
      <c r="DX311" s="281">
        <f t="shared" si="1090"/>
        <v>1778.3999999999999</v>
      </c>
      <c r="DY311" s="575">
        <f t="shared" si="1090"/>
        <v>3777.1000000000004</v>
      </c>
      <c r="DZ311" s="281">
        <f t="shared" si="1090"/>
        <v>954.3</v>
      </c>
      <c r="EA311" s="281">
        <f t="shared" si="1090"/>
        <v>998.8</v>
      </c>
      <c r="EB311" s="281">
        <f t="shared" si="1090"/>
        <v>1953.1</v>
      </c>
      <c r="EC311" s="281">
        <f t="shared" si="1090"/>
        <v>978.19999999999993</v>
      </c>
      <c r="ED311" s="281">
        <f t="shared" si="1090"/>
        <v>1005.0000000000002</v>
      </c>
      <c r="EE311" s="281">
        <f t="shared" si="1090"/>
        <v>1983.2000000000003</v>
      </c>
      <c r="EF311" s="575">
        <f t="shared" si="1090"/>
        <v>3936.2999999999997</v>
      </c>
      <c r="EG311" s="281">
        <f t="shared" si="1090"/>
        <v>991.89999999999986</v>
      </c>
      <c r="EH311" s="281">
        <f t="shared" si="1090"/>
        <v>960.8</v>
      </c>
      <c r="EI311" s="565">
        <f t="shared" si="1090"/>
        <v>1952.6999999999998</v>
      </c>
      <c r="EJ311" s="281">
        <f t="shared" si="1090"/>
        <v>953.3</v>
      </c>
      <c r="EK311" s="281">
        <f t="shared" si="1090"/>
        <v>971.50000000000023</v>
      </c>
      <c r="EL311" s="281">
        <f t="shared" si="1090"/>
        <v>1924.8000000000002</v>
      </c>
      <c r="EM311" s="575">
        <f t="shared" si="1090"/>
        <v>3877.5000000000005</v>
      </c>
      <c r="EN311" s="281">
        <f t="shared" ref="EN311:EP311" si="1091">EN17</f>
        <v>899.9</v>
      </c>
      <c r="EO311" s="281">
        <f t="shared" si="1091"/>
        <v>1292.2</v>
      </c>
      <c r="EP311" s="565">
        <f t="shared" si="1091"/>
        <v>1936.3</v>
      </c>
      <c r="EQ311" s="339">
        <f t="shared" ref="EQ311" si="1092">EQ17</f>
        <v>1239.8</v>
      </c>
    </row>
    <row r="312" spans="2:178" outlineLevel="1" x14ac:dyDescent="0.3">
      <c r="B312" s="253" t="s">
        <v>416</v>
      </c>
      <c r="Y312" s="288">
        <v>-241</v>
      </c>
      <c r="Z312" s="288">
        <v>-228.7</v>
      </c>
      <c r="AA312" s="283">
        <f>SUM(Y312:Z312)</f>
        <v>-469.7</v>
      </c>
      <c r="AB312" s="288">
        <v>-172</v>
      </c>
      <c r="AC312" s="283">
        <f>AE312-AA312-AB312</f>
        <v>-172.09999999999997</v>
      </c>
      <c r="AD312" s="283">
        <f>SUM(AB312:AC312)</f>
        <v>-344.09999999999997</v>
      </c>
      <c r="AE312" s="317">
        <v>-813.8</v>
      </c>
      <c r="AF312" s="288">
        <v>-174.1</v>
      </c>
      <c r="AG312" s="288">
        <v>-186.6</v>
      </c>
      <c r="AH312" s="283">
        <f>SUM(AF312:AG312)</f>
        <v>-360.7</v>
      </c>
      <c r="AI312" s="288">
        <v>-164.3</v>
      </c>
      <c r="AJ312" s="283">
        <f>AL312-AH312-AI312</f>
        <v>-183.5</v>
      </c>
      <c r="AK312" s="283">
        <f>SUM(AI312:AJ312)</f>
        <v>-347.8</v>
      </c>
      <c r="AL312" s="317">
        <v>-708.5</v>
      </c>
      <c r="AM312" s="288">
        <v>-201.6</v>
      </c>
      <c r="AN312" s="288">
        <v>-194.2</v>
      </c>
      <c r="AO312" s="283">
        <f>SUM(AM312:AN312)</f>
        <v>-395.79999999999995</v>
      </c>
      <c r="AP312" s="288">
        <v>-187.8</v>
      </c>
      <c r="AQ312" s="283">
        <f>AS312-AO312-AP312</f>
        <v>-191.50000000000006</v>
      </c>
      <c r="AR312" s="283">
        <f>SUM(AP312:AQ312)</f>
        <v>-379.30000000000007</v>
      </c>
      <c r="AS312" s="317">
        <v>-775.1</v>
      </c>
      <c r="AT312" s="288">
        <v>-205.4</v>
      </c>
      <c r="AU312" s="288">
        <v>-219</v>
      </c>
      <c r="AV312" s="283">
        <f>SUM(AT312:AU312)</f>
        <v>-424.4</v>
      </c>
      <c r="AW312" s="288">
        <v>-192.4</v>
      </c>
      <c r="AX312" s="283">
        <f>AZ312-AV312-AW312</f>
        <v>-213.70000000000002</v>
      </c>
      <c r="AY312" s="283">
        <f>SUM(AW312:AX312)</f>
        <v>-406.1</v>
      </c>
      <c r="AZ312" s="317">
        <v>-830.5</v>
      </c>
      <c r="BA312" s="288">
        <v>-229.7</v>
      </c>
      <c r="BB312" s="288">
        <v>-223.1</v>
      </c>
      <c r="BC312" s="283">
        <f>SUM(BA312:BB312)</f>
        <v>-452.79999999999995</v>
      </c>
      <c r="BD312" s="288">
        <v>-224.2</v>
      </c>
      <c r="BE312" s="283">
        <f>BG312-BC312-BD312</f>
        <v>-225.00000000000006</v>
      </c>
      <c r="BF312" s="283">
        <f>SUM(BD312:BE312)</f>
        <v>-449.20000000000005</v>
      </c>
      <c r="BG312" s="317">
        <v>-902</v>
      </c>
      <c r="BH312" s="288">
        <v>-245.9</v>
      </c>
      <c r="BI312" s="288">
        <v>-258.89999999999998</v>
      </c>
      <c r="BJ312" s="283">
        <f>SUM(BH312:BI312)</f>
        <v>-504.79999999999995</v>
      </c>
      <c r="BK312" s="288">
        <v>-231.7</v>
      </c>
      <c r="BL312" s="283">
        <f>BN312-BJ312-BK312</f>
        <v>-250.90000000000003</v>
      </c>
      <c r="BM312" s="283">
        <f>SUM(BK312:BL312)</f>
        <v>-482.6</v>
      </c>
      <c r="BN312" s="317">
        <v>-987.4</v>
      </c>
      <c r="BO312" s="288">
        <v>-276.60000000000002</v>
      </c>
      <c r="BP312" s="288">
        <v>-289.5</v>
      </c>
      <c r="BQ312" s="283">
        <f>SUM(BO312:BP312)</f>
        <v>-566.1</v>
      </c>
      <c r="BR312" s="288">
        <v>-253.2</v>
      </c>
      <c r="BS312" s="283">
        <f>BU312-BQ312-BR312</f>
        <v>-258.7999999999999</v>
      </c>
      <c r="BT312" s="283">
        <f>SUM(BR312:BS312)</f>
        <v>-511.99999999999989</v>
      </c>
      <c r="BU312" s="317">
        <v>-1078.0999999999999</v>
      </c>
      <c r="BV312" s="288">
        <v>-270.7</v>
      </c>
      <c r="BW312" s="288">
        <v>-285.2</v>
      </c>
      <c r="BX312" s="283">
        <f>SUM(BV312:BW312)</f>
        <v>-555.9</v>
      </c>
      <c r="BY312" s="288">
        <v>-264.39999999999998</v>
      </c>
      <c r="BZ312" s="283">
        <f>CB312-BX312-BY312</f>
        <v>-275.70000000000005</v>
      </c>
      <c r="CA312" s="283">
        <f>SUM(BY312:BZ312)</f>
        <v>-540.1</v>
      </c>
      <c r="CB312" s="317">
        <v>-1096</v>
      </c>
      <c r="CC312" s="288">
        <v>-300.89999999999998</v>
      </c>
      <c r="CD312" s="288">
        <v>-313.7</v>
      </c>
      <c r="CE312" s="283">
        <f>SUM(CC312:CD312)</f>
        <v>-614.59999999999991</v>
      </c>
      <c r="CF312" s="288">
        <v>-298.8</v>
      </c>
      <c r="CG312" s="283">
        <f>CI312-CE312-CF312</f>
        <v>-333.50000000000017</v>
      </c>
      <c r="CH312" s="283">
        <f>SUM(CF312:CG312)</f>
        <v>-632.30000000000018</v>
      </c>
      <c r="CI312" s="317">
        <v>-1246.9000000000001</v>
      </c>
      <c r="CJ312" s="288">
        <v>-338.7</v>
      </c>
      <c r="CK312" s="288">
        <v>-338.6</v>
      </c>
      <c r="CL312" s="283">
        <f>SUM(CJ312:CK312)</f>
        <v>-677.3</v>
      </c>
      <c r="CM312" s="288">
        <v>-312.2</v>
      </c>
      <c r="CN312" s="283">
        <f>CP312-CL312-CM312</f>
        <v>-334.8</v>
      </c>
      <c r="CO312" s="283">
        <f>SUM(CM312:CN312)</f>
        <v>-647</v>
      </c>
      <c r="CP312" s="317">
        <v>-1324.3</v>
      </c>
      <c r="CQ312" s="288">
        <v>-429.9</v>
      </c>
      <c r="CR312" s="288">
        <v>-437.5</v>
      </c>
      <c r="CS312" s="283">
        <f>SUM(CQ312:CR312)</f>
        <v>-867.4</v>
      </c>
      <c r="CT312" s="288">
        <v>-394</v>
      </c>
      <c r="CU312" s="283">
        <f>CW312-CS312-CT312</f>
        <v>-414.19999999999993</v>
      </c>
      <c r="CV312" s="283">
        <f>SUM(CT312:CU312)</f>
        <v>-808.19999999999993</v>
      </c>
      <c r="CW312" s="317">
        <v>-1675.6</v>
      </c>
      <c r="CX312" s="317">
        <v>-423.7</v>
      </c>
      <c r="CY312" s="317">
        <v>-420</v>
      </c>
      <c r="CZ312" s="283">
        <f>SUM(CX312:CY312)</f>
        <v>-843.7</v>
      </c>
      <c r="DA312" s="317">
        <v>-396.1</v>
      </c>
      <c r="DB312" s="283">
        <f>DD312-CZ312-DA312</f>
        <v>-433.29999999999984</v>
      </c>
      <c r="DC312" s="283">
        <f>SUM(DA312:DB312)</f>
        <v>-829.39999999999986</v>
      </c>
      <c r="DD312" s="668">
        <v>-1673.1</v>
      </c>
      <c r="DE312" s="317">
        <v>-406.8</v>
      </c>
      <c r="DF312" s="317">
        <v>-467.6</v>
      </c>
      <c r="DG312" s="283">
        <f>SUM(DE312:DF312)</f>
        <v>-874.40000000000009</v>
      </c>
      <c r="DH312" s="317">
        <v>-466.6</v>
      </c>
      <c r="DI312" s="283">
        <f>DK312-DG312-DH312</f>
        <v>-515.99999999999989</v>
      </c>
      <c r="DJ312" s="283">
        <f>SUM(DH312:DI312)</f>
        <v>-982.59999999999991</v>
      </c>
      <c r="DK312" s="668">
        <v>-1857</v>
      </c>
      <c r="DL312" s="531">
        <v>-535.5</v>
      </c>
      <c r="DM312" s="288">
        <v>-574.29999999999995</v>
      </c>
      <c r="DN312" s="283">
        <f>SUM(DL312:DM312)</f>
        <v>-1109.8</v>
      </c>
      <c r="DO312" s="317">
        <v>-577.5</v>
      </c>
      <c r="DP312" s="283">
        <f>DR312-DN312-DO312</f>
        <v>-613.89999999999986</v>
      </c>
      <c r="DQ312" s="283">
        <f>SUM(DO312:DP312)</f>
        <v>-1191.3999999999999</v>
      </c>
      <c r="DR312" s="668">
        <v>-2301.1999999999998</v>
      </c>
      <c r="DS312" s="317">
        <v>-661.8</v>
      </c>
      <c r="DT312" s="288">
        <v>-644.29999999999995</v>
      </c>
      <c r="DU312" s="283">
        <f>SUM(DS312:DT312)</f>
        <v>-1306.0999999999999</v>
      </c>
      <c r="DV312" s="317">
        <v>-571.20000000000005</v>
      </c>
      <c r="DW312" s="283">
        <f>DY312-DU312-DV312</f>
        <v>-587.79999999999995</v>
      </c>
      <c r="DX312" s="283">
        <f>SUM(DV312:DW312)</f>
        <v>-1159</v>
      </c>
      <c r="DY312" s="668">
        <v>-2465.1</v>
      </c>
      <c r="DZ312" s="317">
        <v>-580.9</v>
      </c>
      <c r="EA312" s="288">
        <v>-595.20000000000005</v>
      </c>
      <c r="EB312" s="283">
        <f>SUM(DZ312:EA312)</f>
        <v>-1176.0999999999999</v>
      </c>
      <c r="EC312" s="317">
        <v>-577.6</v>
      </c>
      <c r="ED312" s="283">
        <f>EF312-EB312-EC312</f>
        <v>-594.20000000000016</v>
      </c>
      <c r="EE312" s="283">
        <f>SUM(EC312:ED312)</f>
        <v>-1171.8000000000002</v>
      </c>
      <c r="EF312" s="668">
        <v>-2347.9</v>
      </c>
      <c r="EG312" s="317">
        <v>-595</v>
      </c>
      <c r="EH312" s="288">
        <v>-587.9</v>
      </c>
      <c r="EI312" s="283">
        <f>SUM(EG312:EH312)</f>
        <v>-1182.9000000000001</v>
      </c>
      <c r="EJ312" s="317">
        <v>-590.9</v>
      </c>
      <c r="EK312" s="283">
        <f>EM312-EI312-EJ312</f>
        <v>-598.69999999999993</v>
      </c>
      <c r="EL312" s="283">
        <f>SUM(EJ312:EK312)</f>
        <v>-1189.5999999999999</v>
      </c>
      <c r="EM312" s="668">
        <v>-2372.5</v>
      </c>
      <c r="EN312" s="317">
        <v>-563</v>
      </c>
      <c r="EO312" s="288">
        <v>-871.1</v>
      </c>
      <c r="EP312" s="283">
        <f>SUM(EN312:EO312)</f>
        <v>-1434.1</v>
      </c>
      <c r="EQ312" s="531">
        <v>-791.6</v>
      </c>
    </row>
    <row r="313" spans="2:178" outlineLevel="1" x14ac:dyDescent="0.3">
      <c r="B313" s="253" t="s">
        <v>417</v>
      </c>
      <c r="Y313" s="288">
        <v>-54.2</v>
      </c>
      <c r="Z313" s="288">
        <v>-56</v>
      </c>
      <c r="AA313" s="283">
        <f>SUM(Y313:Z313)</f>
        <v>-110.2</v>
      </c>
      <c r="AB313" s="288">
        <v>-51.9</v>
      </c>
      <c r="AC313" s="283">
        <f>AE313-AA313-AB313</f>
        <v>-46.70000000000001</v>
      </c>
      <c r="AD313" s="283">
        <f>SUM(AB313:AC313)</f>
        <v>-98.600000000000009</v>
      </c>
      <c r="AE313" s="317">
        <v>-208.8</v>
      </c>
      <c r="AF313" s="288">
        <v>-41.4</v>
      </c>
      <c r="AG313" s="288">
        <v>-49</v>
      </c>
      <c r="AH313" s="283">
        <f>SUM(AF313:AG313)</f>
        <v>-90.4</v>
      </c>
      <c r="AI313" s="288">
        <v>-46.9</v>
      </c>
      <c r="AJ313" s="283">
        <f>AL313-AH313-AI313</f>
        <v>-48.500000000000007</v>
      </c>
      <c r="AK313" s="283">
        <f>SUM(AI313:AJ313)</f>
        <v>-95.4</v>
      </c>
      <c r="AL313" s="317">
        <v>-185.8</v>
      </c>
      <c r="AM313" s="288">
        <v>-45.9</v>
      </c>
      <c r="AN313" s="288">
        <v>-35.1</v>
      </c>
      <c r="AO313" s="283">
        <f>SUM(AM313:AN313)</f>
        <v>-81</v>
      </c>
      <c r="AP313" s="288">
        <v>-49.4</v>
      </c>
      <c r="AQ313" s="283">
        <f>AS313-AO313-AP313</f>
        <v>-43.000000000000007</v>
      </c>
      <c r="AR313" s="283">
        <f>SUM(AP313:AQ313)</f>
        <v>-92.4</v>
      </c>
      <c r="AS313" s="317">
        <v>-173.4</v>
      </c>
      <c r="AT313" s="288">
        <v>-45.5</v>
      </c>
      <c r="AU313" s="288">
        <v>-48.6</v>
      </c>
      <c r="AV313" s="283">
        <f>SUM(AT313:AU313)</f>
        <v>-94.1</v>
      </c>
      <c r="AW313" s="288">
        <v>-48</v>
      </c>
      <c r="AX313" s="283">
        <f>AZ313-AV313-AW313</f>
        <v>-48.900000000000006</v>
      </c>
      <c r="AY313" s="283">
        <f>SUM(AW313:AX313)</f>
        <v>-96.9</v>
      </c>
      <c r="AZ313" s="317">
        <v>-191</v>
      </c>
      <c r="BA313" s="288">
        <v>-44.3</v>
      </c>
      <c r="BB313" s="288">
        <v>-56.6</v>
      </c>
      <c r="BC313" s="283">
        <f>SUM(BA313:BB313)</f>
        <v>-100.9</v>
      </c>
      <c r="BD313" s="288">
        <v>-59.7</v>
      </c>
      <c r="BE313" s="283">
        <f>BG313-BC313-BD313</f>
        <v>-57.999999999999986</v>
      </c>
      <c r="BF313" s="283">
        <f>SUM(BD313:BE313)</f>
        <v>-117.69999999999999</v>
      </c>
      <c r="BG313" s="317">
        <v>-218.6</v>
      </c>
      <c r="BH313" s="288">
        <v>-54.9</v>
      </c>
      <c r="BI313" s="288">
        <v>-53.8</v>
      </c>
      <c r="BJ313" s="283">
        <f>SUM(BH313:BI313)</f>
        <v>-108.69999999999999</v>
      </c>
      <c r="BK313" s="288">
        <v>-53.8</v>
      </c>
      <c r="BL313" s="283">
        <f>BN313-BJ313-BK313</f>
        <v>-61.90000000000002</v>
      </c>
      <c r="BM313" s="283">
        <f>SUM(BK313:BL313)</f>
        <v>-115.70000000000002</v>
      </c>
      <c r="BN313" s="317">
        <v>-224.4</v>
      </c>
      <c r="BO313" s="288">
        <v>-59.9</v>
      </c>
      <c r="BP313" s="288">
        <v>-60.8</v>
      </c>
      <c r="BQ313" s="283">
        <f>SUM(BO313:BP313)</f>
        <v>-120.69999999999999</v>
      </c>
      <c r="BR313" s="288">
        <v>-56</v>
      </c>
      <c r="BS313" s="283">
        <f>BU313-BQ313-BR313</f>
        <v>-68.800000000000011</v>
      </c>
      <c r="BT313" s="283">
        <f>SUM(BR313:BS313)</f>
        <v>-124.80000000000001</v>
      </c>
      <c r="BU313" s="317">
        <v>-245.5</v>
      </c>
      <c r="BV313" s="288">
        <v>-61.5</v>
      </c>
      <c r="BW313" s="288">
        <v>-62.6</v>
      </c>
      <c r="BX313" s="283">
        <f>SUM(BV313:BW313)</f>
        <v>-124.1</v>
      </c>
      <c r="BY313" s="288">
        <v>-61.4</v>
      </c>
      <c r="BZ313" s="283">
        <f>CB313-BX313-BY313</f>
        <v>-68.699999999999989</v>
      </c>
      <c r="CA313" s="283">
        <f>SUM(BY313:BZ313)</f>
        <v>-130.1</v>
      </c>
      <c r="CB313" s="317">
        <v>-254.2</v>
      </c>
      <c r="CC313" s="288">
        <v>-72</v>
      </c>
      <c r="CD313" s="288">
        <v>-69.099999999999994</v>
      </c>
      <c r="CE313" s="283">
        <f>SUM(CC313:CD313)</f>
        <v>-141.1</v>
      </c>
      <c r="CF313" s="288">
        <v>-74.599999999999994</v>
      </c>
      <c r="CG313" s="283">
        <f>CI313-CE313-CF313</f>
        <v>-75.900000000000034</v>
      </c>
      <c r="CH313" s="283">
        <f>SUM(CF313:CG313)</f>
        <v>-150.50000000000003</v>
      </c>
      <c r="CI313" s="317">
        <v>-291.60000000000002</v>
      </c>
      <c r="CJ313" s="288">
        <v>-73.5</v>
      </c>
      <c r="CK313" s="288">
        <v>-75</v>
      </c>
      <c r="CL313" s="283">
        <f>SUM(CJ313:CK313)</f>
        <v>-148.5</v>
      </c>
      <c r="CM313" s="288">
        <v>-77.7</v>
      </c>
      <c r="CN313" s="283">
        <f>CP313-CL313-CM313</f>
        <v>-85.100000000000009</v>
      </c>
      <c r="CO313" s="283">
        <f>SUM(CM313:CN313)</f>
        <v>-162.80000000000001</v>
      </c>
      <c r="CP313" s="317">
        <v>-311.3</v>
      </c>
      <c r="CQ313" s="288">
        <v>-104.9</v>
      </c>
      <c r="CR313" s="288">
        <v>-98.9</v>
      </c>
      <c r="CS313" s="283">
        <f>SUM(CQ313:CR313)</f>
        <v>-203.8</v>
      </c>
      <c r="CT313" s="288">
        <v>-97.5</v>
      </c>
      <c r="CU313" s="283">
        <f>CW313-CS313-CT313</f>
        <v>-102.30000000000001</v>
      </c>
      <c r="CV313" s="283">
        <f>SUM(CT313:CU313)</f>
        <v>-199.8</v>
      </c>
      <c r="CW313" s="317">
        <v>-403.6</v>
      </c>
      <c r="CX313" s="317">
        <v>-101.5</v>
      </c>
      <c r="CY313" s="317">
        <v>-98.1</v>
      </c>
      <c r="CZ313" s="283">
        <f>SUM(CX313:CY313)</f>
        <v>-199.6</v>
      </c>
      <c r="DA313" s="317">
        <v>-105.9</v>
      </c>
      <c r="DB313" s="283">
        <f>DD313-CZ313-DA313</f>
        <v>-110.30000000000001</v>
      </c>
      <c r="DC313" s="283">
        <f>SUM(DA313:DB313)</f>
        <v>-216.20000000000002</v>
      </c>
      <c r="DD313" s="668">
        <v>-415.8</v>
      </c>
      <c r="DE313" s="317">
        <v>-87.6</v>
      </c>
      <c r="DF313" s="317">
        <v>-98</v>
      </c>
      <c r="DG313" s="283">
        <f>SUM(DE313:DF313)</f>
        <v>-185.6</v>
      </c>
      <c r="DH313" s="317">
        <v>-94.9</v>
      </c>
      <c r="DI313" s="283">
        <f>DK313-DG313-DH313</f>
        <v>-109.10000000000002</v>
      </c>
      <c r="DJ313" s="283">
        <f>SUM(DH313:DI313)</f>
        <v>-204.00000000000003</v>
      </c>
      <c r="DK313" s="668">
        <v>-389.6</v>
      </c>
      <c r="DL313" s="531">
        <v>-119.1</v>
      </c>
      <c r="DM313" s="288">
        <v>-114.2</v>
      </c>
      <c r="DN313" s="283">
        <f>SUM(DL313:DM313)</f>
        <v>-233.3</v>
      </c>
      <c r="DO313" s="317">
        <v>-109</v>
      </c>
      <c r="DP313" s="283">
        <f>DR313-DN313-DO313</f>
        <v>-118.89999999999998</v>
      </c>
      <c r="DQ313" s="283">
        <f>SUM(DO313:DP313)</f>
        <v>-227.89999999999998</v>
      </c>
      <c r="DR313" s="668">
        <v>-461.2</v>
      </c>
      <c r="DS313" s="317">
        <v>-121.6</v>
      </c>
      <c r="DT313" s="288">
        <v>-124.6</v>
      </c>
      <c r="DU313" s="283">
        <f>SUM(DS313:DT313)</f>
        <v>-246.2</v>
      </c>
      <c r="DV313" s="317">
        <v>-115.1</v>
      </c>
      <c r="DW313" s="283">
        <f>DY313-DU313-DV313</f>
        <v>-132.70000000000002</v>
      </c>
      <c r="DX313" s="283">
        <f>SUM(DV313:DW313)</f>
        <v>-247.8</v>
      </c>
      <c r="DY313" s="668">
        <v>-494</v>
      </c>
      <c r="DZ313" s="317">
        <v>-128.9</v>
      </c>
      <c r="EA313" s="288">
        <v>-152.80000000000001</v>
      </c>
      <c r="EB313" s="283">
        <f>SUM(DZ313:EA313)</f>
        <v>-281.70000000000005</v>
      </c>
      <c r="EC313" s="317">
        <v>-156.30000000000001</v>
      </c>
      <c r="ED313" s="283">
        <f>EF313-EB313-EC313</f>
        <v>-164.2</v>
      </c>
      <c r="EE313" s="283">
        <f>SUM(EC313:ED313)</f>
        <v>-320.5</v>
      </c>
      <c r="EF313" s="668">
        <v>-602.20000000000005</v>
      </c>
      <c r="EG313" s="317">
        <v>-149.80000000000001</v>
      </c>
      <c r="EH313" s="288">
        <v>-149.9</v>
      </c>
      <c r="EI313" s="283">
        <f>SUM(EG313:EH313)</f>
        <v>-299.70000000000005</v>
      </c>
      <c r="EJ313" s="317">
        <v>-144.69999999999999</v>
      </c>
      <c r="EK313" s="283">
        <f>EM313-EI313-EJ313</f>
        <v>-151.80000000000001</v>
      </c>
      <c r="EL313" s="283">
        <f>SUM(EJ313:EK313)</f>
        <v>-296.5</v>
      </c>
      <c r="EM313" s="668">
        <v>-596.20000000000005</v>
      </c>
      <c r="EN313" s="317">
        <v>-156.1</v>
      </c>
      <c r="EO313" s="288">
        <v>-250.8</v>
      </c>
      <c r="EP313" s="283">
        <f>SUM(EN313:EO313)</f>
        <v>-406.9</v>
      </c>
      <c r="EQ313" s="531">
        <v>-249.7</v>
      </c>
    </row>
    <row r="314" spans="2:178" outlineLevel="1" x14ac:dyDescent="0.3">
      <c r="B314" s="253" t="s">
        <v>633</v>
      </c>
      <c r="Y314" s="283">
        <f t="shared" ref="Y314:CJ314" si="1093">Y315-Y311-Y312-Y313</f>
        <v>-4.2999999999999972</v>
      </c>
      <c r="Z314" s="283">
        <f t="shared" si="1093"/>
        <v>-0.5</v>
      </c>
      <c r="AA314" s="283">
        <f t="shared" si="1093"/>
        <v>-4.800000000000054</v>
      </c>
      <c r="AB314" s="283">
        <f t="shared" si="1093"/>
        <v>1.0999999999999872</v>
      </c>
      <c r="AC314" s="283">
        <f t="shared" si="1093"/>
        <v>9.3999999999999986</v>
      </c>
      <c r="AD314" s="283">
        <f t="shared" si="1093"/>
        <v>10.499999999999929</v>
      </c>
      <c r="AE314" s="283">
        <f t="shared" si="1093"/>
        <v>5.6999999999999886</v>
      </c>
      <c r="AF314" s="283">
        <f t="shared" si="1093"/>
        <v>-10.000000000000007</v>
      </c>
      <c r="AG314" s="283">
        <f t="shared" si="1093"/>
        <v>-4.7999999999999829</v>
      </c>
      <c r="AH314" s="283">
        <f t="shared" si="1093"/>
        <v>-14.80000000000004</v>
      </c>
      <c r="AI314" s="283">
        <f t="shared" si="1093"/>
        <v>-8.1999999999999673</v>
      </c>
      <c r="AJ314" s="283">
        <f t="shared" si="1093"/>
        <v>-4.8999999999999986</v>
      </c>
      <c r="AK314" s="283">
        <f t="shared" si="1093"/>
        <v>-13.099999999999937</v>
      </c>
      <c r="AL314" s="283">
        <f t="shared" si="1093"/>
        <v>-27.899999999999807</v>
      </c>
      <c r="AM314" s="283">
        <f t="shared" si="1093"/>
        <v>-1.6000000000000014</v>
      </c>
      <c r="AN314" s="283">
        <f t="shared" si="1093"/>
        <v>-13.300000000000061</v>
      </c>
      <c r="AO314" s="283">
        <f t="shared" si="1093"/>
        <v>-14.900000000000091</v>
      </c>
      <c r="AP314" s="283">
        <f t="shared" si="1093"/>
        <v>-11.377297181720202</v>
      </c>
      <c r="AQ314" s="283">
        <f t="shared" si="1093"/>
        <v>8.7032036288870316</v>
      </c>
      <c r="AR314" s="283">
        <f t="shared" si="1093"/>
        <v>-2.6740935528332272</v>
      </c>
      <c r="AS314" s="283">
        <f t="shared" si="1093"/>
        <v>-17.574093552833318</v>
      </c>
      <c r="AT314" s="283">
        <f t="shared" si="1093"/>
        <v>-4.4000000000000057</v>
      </c>
      <c r="AU314" s="283">
        <f t="shared" si="1093"/>
        <v>-5.1000000000000441</v>
      </c>
      <c r="AV314" s="283">
        <f t="shared" si="1093"/>
        <v>-9.5000000000000284</v>
      </c>
      <c r="AW314" s="283">
        <f t="shared" si="1093"/>
        <v>-6.2999999999999829</v>
      </c>
      <c r="AX314" s="283">
        <f t="shared" si="1093"/>
        <v>-8.3000000000000114</v>
      </c>
      <c r="AY314" s="283">
        <f t="shared" si="1093"/>
        <v>-14.600000000000108</v>
      </c>
      <c r="AZ314" s="283">
        <f t="shared" si="1093"/>
        <v>-24.099999999999909</v>
      </c>
      <c r="BA314" s="283">
        <f t="shared" si="1093"/>
        <v>-8.3999999999999346</v>
      </c>
      <c r="BB314" s="283">
        <f t="shared" si="1093"/>
        <v>-3.3999999999999702</v>
      </c>
      <c r="BC314" s="283">
        <f t="shared" si="1093"/>
        <v>-11.800000000000153</v>
      </c>
      <c r="BD314" s="283">
        <f t="shared" si="1093"/>
        <v>-2.300000000000054</v>
      </c>
      <c r="BE314" s="283">
        <f t="shared" si="1093"/>
        <v>-10.299999999999969</v>
      </c>
      <c r="BF314" s="283">
        <f t="shared" si="1093"/>
        <v>-12.599999999999966</v>
      </c>
      <c r="BG314" s="283">
        <f t="shared" si="1093"/>
        <v>-24.400000000000006</v>
      </c>
      <c r="BH314" s="283">
        <f t="shared" si="1093"/>
        <v>-3.9999999999999503</v>
      </c>
      <c r="BI314" s="283">
        <f t="shared" si="1093"/>
        <v>-6.7000000000000597</v>
      </c>
      <c r="BJ314" s="283">
        <f t="shared" si="1093"/>
        <v>-10.699999999999989</v>
      </c>
      <c r="BK314" s="283">
        <f t="shared" si="1093"/>
        <v>-13.700000000000003</v>
      </c>
      <c r="BL314" s="283">
        <f t="shared" si="1093"/>
        <v>-9.7000000000000028</v>
      </c>
      <c r="BM314" s="283">
        <f t="shared" si="1093"/>
        <v>-23.400000000000119</v>
      </c>
      <c r="BN314" s="283">
        <f t="shared" si="1093"/>
        <v>-34.100000000000108</v>
      </c>
      <c r="BO314" s="283">
        <f t="shared" si="1093"/>
        <v>-5.4000000000000128</v>
      </c>
      <c r="BP314" s="283">
        <f t="shared" si="1093"/>
        <v>-5.0000000000000142</v>
      </c>
      <c r="BQ314" s="283">
        <f t="shared" si="1093"/>
        <v>-10.399999999999807</v>
      </c>
      <c r="BR314" s="283">
        <f t="shared" si="1093"/>
        <v>-12.10000000000008</v>
      </c>
      <c r="BS314" s="283">
        <f t="shared" si="1093"/>
        <v>-6.4000000000000909</v>
      </c>
      <c r="BT314" s="283">
        <f t="shared" si="1093"/>
        <v>-18.500000000000284</v>
      </c>
      <c r="BU314" s="283">
        <f t="shared" si="1093"/>
        <v>-28.900000000000091</v>
      </c>
      <c r="BV314" s="283">
        <f t="shared" si="1093"/>
        <v>-9.2999999999999545</v>
      </c>
      <c r="BW314" s="283">
        <f t="shared" si="1093"/>
        <v>-6.4999999999999076</v>
      </c>
      <c r="BX314" s="283">
        <f t="shared" si="1093"/>
        <v>-15.799999999999983</v>
      </c>
      <c r="BY314" s="283">
        <f t="shared" si="1093"/>
        <v>-7.9999999999999787</v>
      </c>
      <c r="BZ314" s="283">
        <f t="shared" si="1093"/>
        <v>-5.8000000000000682</v>
      </c>
      <c r="CA314" s="283">
        <f t="shared" si="1093"/>
        <v>-13.799999999999983</v>
      </c>
      <c r="CB314" s="283">
        <f t="shared" si="1093"/>
        <v>-29.599999999999739</v>
      </c>
      <c r="CC314" s="283">
        <f t="shared" si="1093"/>
        <v>-6.5000000000001137</v>
      </c>
      <c r="CD314" s="283">
        <f t="shared" si="1093"/>
        <v>-7.4000000000000057</v>
      </c>
      <c r="CE314" s="283">
        <f t="shared" si="1093"/>
        <v>-13.900000000000006</v>
      </c>
      <c r="CF314" s="283">
        <f t="shared" si="1093"/>
        <v>-8.2999999999999261</v>
      </c>
      <c r="CG314" s="283">
        <f t="shared" si="1093"/>
        <v>-7.8999999999998636</v>
      </c>
      <c r="CH314" s="283">
        <f t="shared" si="1093"/>
        <v>-16.199999999999676</v>
      </c>
      <c r="CI314" s="283">
        <f t="shared" si="1093"/>
        <v>-30.099999999999795</v>
      </c>
      <c r="CJ314" s="283">
        <f t="shared" si="1093"/>
        <v>-108.19999999999999</v>
      </c>
      <c r="CK314" s="283">
        <f t="shared" ref="CK314:DC314" si="1094">CK315-CK311-CK312-CK313</f>
        <v>-121.79999999999984</v>
      </c>
      <c r="CL314" s="283">
        <f t="shared" si="1094"/>
        <v>-230</v>
      </c>
      <c r="CM314" s="283">
        <f t="shared" si="1094"/>
        <v>-114.20000000000003</v>
      </c>
      <c r="CN314" s="283">
        <f t="shared" si="1094"/>
        <v>-108.29999999999991</v>
      </c>
      <c r="CO314" s="283">
        <f t="shared" si="1094"/>
        <v>-222.49999999999994</v>
      </c>
      <c r="CP314" s="283">
        <f t="shared" si="1094"/>
        <v>-452.49999999999949</v>
      </c>
      <c r="CQ314" s="283">
        <f t="shared" si="1094"/>
        <v>-9.3000000000000398</v>
      </c>
      <c r="CR314" s="283">
        <f t="shared" si="1094"/>
        <v>-1.3999999999999488</v>
      </c>
      <c r="CS314" s="283">
        <f t="shared" si="1094"/>
        <v>-10.700000000000102</v>
      </c>
      <c r="CT314" s="283">
        <f t="shared" si="1094"/>
        <v>-3.8999999999998636</v>
      </c>
      <c r="CU314" s="283">
        <f t="shared" si="1094"/>
        <v>-8.3000000000000114</v>
      </c>
      <c r="CV314" s="283">
        <f t="shared" si="1094"/>
        <v>-12.200000000000102</v>
      </c>
      <c r="CW314" s="283">
        <f t="shared" si="1094"/>
        <v>-22.899999999999977</v>
      </c>
      <c r="CX314" s="283">
        <f t="shared" si="1094"/>
        <v>-6.9999999999998295</v>
      </c>
      <c r="CY314" s="283">
        <f t="shared" si="1094"/>
        <v>-7.9000000000000057</v>
      </c>
      <c r="CZ314" s="283">
        <f t="shared" si="1094"/>
        <v>-14.900000000000006</v>
      </c>
      <c r="DA314" s="283">
        <f t="shared" si="1094"/>
        <v>-7.5000000000000284</v>
      </c>
      <c r="DB314" s="283">
        <f t="shared" si="1094"/>
        <v>-8.7000000000001023</v>
      </c>
      <c r="DC314" s="283">
        <f t="shared" si="1094"/>
        <v>-16.199999999999847</v>
      </c>
      <c r="DD314" s="673">
        <f>DD315-DD311-DD312-DD313</f>
        <v>-31.10000000000008</v>
      </c>
      <c r="DE314" s="283">
        <f t="shared" ref="DE314:DJ314" si="1095">DE315-DE311-DE312-DE313</f>
        <v>-7.1999999999999602</v>
      </c>
      <c r="DF314" s="283">
        <f t="shared" si="1095"/>
        <v>-8.3000000000000682</v>
      </c>
      <c r="DG314" s="283">
        <f t="shared" si="1095"/>
        <v>-15.499999999999915</v>
      </c>
      <c r="DH314" s="283">
        <f t="shared" si="1095"/>
        <v>-9.2000000000000171</v>
      </c>
      <c r="DI314" s="283">
        <f t="shared" si="1095"/>
        <v>-8.4000000000002046</v>
      </c>
      <c r="DJ314" s="283">
        <f t="shared" si="1095"/>
        <v>-17.599999999999881</v>
      </c>
      <c r="DK314" s="673">
        <f>DK315-DK311-DK312-DK313</f>
        <v>-33.10000000000025</v>
      </c>
      <c r="DL314" s="318">
        <f t="shared" ref="DL314:DQ314" si="1096">DL315-DL311-DL312-DL313</f>
        <v>-8.4000000000001194</v>
      </c>
      <c r="DM314" s="283">
        <f t="shared" si="1096"/>
        <v>-9.0000000000000426</v>
      </c>
      <c r="DN314" s="283">
        <f t="shared" si="1096"/>
        <v>-17.400000000000261</v>
      </c>
      <c r="DO314" s="283">
        <f t="shared" si="1096"/>
        <v>-9.3999999999999773</v>
      </c>
      <c r="DP314" s="283">
        <f t="shared" si="1096"/>
        <v>-9.9000000000002046</v>
      </c>
      <c r="DQ314" s="283">
        <f t="shared" si="1096"/>
        <v>-19.299999999999841</v>
      </c>
      <c r="DR314" s="673">
        <f>DR315-DR311-DR312-DR313</f>
        <v>-36.700000000000557</v>
      </c>
      <c r="DS314" s="283">
        <f t="shared" ref="DS314:DX314" si="1097">DS315-DS311-DS312-DS313</f>
        <v>-9.3000000000002103</v>
      </c>
      <c r="DT314" s="283">
        <f>DT315-DT311-DT312-DT313</f>
        <v>-10.200000000000188</v>
      </c>
      <c r="DU314" s="283">
        <f t="shared" si="1097"/>
        <v>-19.500000000000284</v>
      </c>
      <c r="DV314" s="283">
        <f t="shared" si="1097"/>
        <v>-9.0999999999999375</v>
      </c>
      <c r="DW314" s="283">
        <f t="shared" si="1097"/>
        <v>-9.5999999999999375</v>
      </c>
      <c r="DX314" s="283">
        <f t="shared" si="1097"/>
        <v>-18.699999999999989</v>
      </c>
      <c r="DY314" s="673">
        <f t="shared" ref="DY314:EM314" si="1098">DY315-DY311-DY312-DY313</f>
        <v>-38.200000000000273</v>
      </c>
      <c r="DZ314" s="283">
        <f t="shared" si="1098"/>
        <v>-10.599999999999881</v>
      </c>
      <c r="EA314" s="283">
        <f t="shared" si="1098"/>
        <v>-10.799999999999898</v>
      </c>
      <c r="EB314" s="283">
        <f t="shared" si="1098"/>
        <v>-21.400000000000091</v>
      </c>
      <c r="EC314" s="283">
        <f t="shared" si="1098"/>
        <v>-10.199999999999875</v>
      </c>
      <c r="ED314" s="283">
        <f t="shared" si="1098"/>
        <v>-13.800000000000011</v>
      </c>
      <c r="EE314" s="283">
        <f t="shared" si="1098"/>
        <v>-24</v>
      </c>
      <c r="EF314" s="673">
        <f t="shared" si="1098"/>
        <v>-45.399999999999409</v>
      </c>
      <c r="EG314" s="283">
        <f t="shared" si="1098"/>
        <v>-11.699999999999875</v>
      </c>
      <c r="EH314" s="283">
        <f t="shared" si="1098"/>
        <v>-11.999999999999972</v>
      </c>
      <c r="EI314" s="283">
        <f t="shared" si="1098"/>
        <v>-23.699999999999591</v>
      </c>
      <c r="EJ314" s="283">
        <f t="shared" si="1098"/>
        <v>-10.699999999999989</v>
      </c>
      <c r="EK314" s="283">
        <f t="shared" si="1098"/>
        <v>-11.20000000000033</v>
      </c>
      <c r="EL314" s="283">
        <f t="shared" si="1098"/>
        <v>-21.900000000000318</v>
      </c>
      <c r="EM314" s="673">
        <f t="shared" si="1098"/>
        <v>-45.600000000000136</v>
      </c>
      <c r="EN314" s="283">
        <f t="shared" ref="EN314:EP314" si="1099">EN315-EN311-EN312-EN313</f>
        <v>-11.799999999999983</v>
      </c>
      <c r="EO314" s="283">
        <f t="shared" si="1099"/>
        <v>81.499999999999943</v>
      </c>
      <c r="EP314" s="283">
        <f t="shared" si="1099"/>
        <v>314.69999999999993</v>
      </c>
      <c r="EQ314" s="318">
        <f t="shared" ref="EQ314" si="1100">EQ315-EQ311-EQ312-EQ313</f>
        <v>41.400000000000034</v>
      </c>
    </row>
    <row r="315" spans="2:178" outlineLevel="1" x14ac:dyDescent="0.3">
      <c r="B315" s="253" t="s">
        <v>634</v>
      </c>
      <c r="Y315" s="283">
        <f t="shared" ref="Y315:CJ315" si="1101">Y48</f>
        <v>65.499999999999986</v>
      </c>
      <c r="Z315" s="283">
        <f t="shared" si="1101"/>
        <v>56.7</v>
      </c>
      <c r="AA315" s="283">
        <f t="shared" si="1101"/>
        <v>122.19999999999999</v>
      </c>
      <c r="AB315" s="283">
        <f t="shared" si="1101"/>
        <v>31.599999999999994</v>
      </c>
      <c r="AC315" s="283">
        <f t="shared" si="1101"/>
        <v>17.099999999999998</v>
      </c>
      <c r="AD315" s="283">
        <f t="shared" si="1101"/>
        <v>48.699999999999989</v>
      </c>
      <c r="AE315" s="283">
        <f t="shared" si="1101"/>
        <v>170.9</v>
      </c>
      <c r="AF315" s="283">
        <f t="shared" si="1101"/>
        <v>63.800000000000004</v>
      </c>
      <c r="AG315" s="283">
        <f t="shared" si="1101"/>
        <v>62.800000000000004</v>
      </c>
      <c r="AH315" s="283">
        <f t="shared" si="1101"/>
        <v>126.59999999999998</v>
      </c>
      <c r="AI315" s="283">
        <f t="shared" si="1101"/>
        <v>43.800000000000004</v>
      </c>
      <c r="AJ315" s="283">
        <f t="shared" si="1101"/>
        <v>38.29999999999999</v>
      </c>
      <c r="AK315" s="283">
        <f t="shared" si="1101"/>
        <v>82.1</v>
      </c>
      <c r="AL315" s="283">
        <f t="shared" si="1101"/>
        <v>208.7</v>
      </c>
      <c r="AM315" s="283">
        <f t="shared" si="1101"/>
        <v>64.900000000000006</v>
      </c>
      <c r="AN315" s="283">
        <f t="shared" si="1101"/>
        <v>42.099999999999994</v>
      </c>
      <c r="AO315" s="283">
        <f t="shared" si="1101"/>
        <v>107</v>
      </c>
      <c r="AP315" s="283">
        <f t="shared" si="1101"/>
        <v>30.199999999999996</v>
      </c>
      <c r="AQ315" s="283">
        <f t="shared" si="1101"/>
        <v>46.8</v>
      </c>
      <c r="AR315" s="283">
        <f t="shared" si="1101"/>
        <v>77</v>
      </c>
      <c r="AS315" s="283">
        <f t="shared" si="1101"/>
        <v>184.00000000000003</v>
      </c>
      <c r="AT315" s="283">
        <f t="shared" si="1101"/>
        <v>56.800000000000011</v>
      </c>
      <c r="AU315" s="283">
        <f t="shared" si="1101"/>
        <v>58.4</v>
      </c>
      <c r="AV315" s="283">
        <f t="shared" si="1101"/>
        <v>115.2</v>
      </c>
      <c r="AW315" s="283">
        <f t="shared" si="1101"/>
        <v>37.799999999999997</v>
      </c>
      <c r="AX315" s="283">
        <f t="shared" si="1101"/>
        <v>41.9</v>
      </c>
      <c r="AY315" s="283">
        <f t="shared" si="1101"/>
        <v>79.699999999999989</v>
      </c>
      <c r="AZ315" s="283">
        <f t="shared" si="1101"/>
        <v>194.90000000000003</v>
      </c>
      <c r="BA315" s="283">
        <f t="shared" si="1101"/>
        <v>57.699999999999996</v>
      </c>
      <c r="BB315" s="283">
        <f t="shared" si="1101"/>
        <v>51.6</v>
      </c>
      <c r="BC315" s="283">
        <f t="shared" si="1101"/>
        <v>109.29999999999998</v>
      </c>
      <c r="BD315" s="283">
        <f t="shared" si="1101"/>
        <v>34.700000000000003</v>
      </c>
      <c r="BE315" s="283">
        <f t="shared" si="1101"/>
        <v>37</v>
      </c>
      <c r="BF315" s="283">
        <f t="shared" si="1101"/>
        <v>71.699999999999989</v>
      </c>
      <c r="BG315" s="283">
        <f t="shared" si="1101"/>
        <v>181</v>
      </c>
      <c r="BH315" s="283">
        <f t="shared" si="1101"/>
        <v>67.500000000000014</v>
      </c>
      <c r="BI315" s="283">
        <f t="shared" si="1101"/>
        <v>72.7</v>
      </c>
      <c r="BJ315" s="283">
        <f t="shared" si="1101"/>
        <v>140.20000000000002</v>
      </c>
      <c r="BK315" s="283">
        <f t="shared" si="1101"/>
        <v>55.2</v>
      </c>
      <c r="BL315" s="283">
        <f t="shared" si="1101"/>
        <v>57.4</v>
      </c>
      <c r="BM315" s="283">
        <f t="shared" si="1101"/>
        <v>112.59999999999998</v>
      </c>
      <c r="BN315" s="283">
        <f t="shared" si="1101"/>
        <v>252.80000000000007</v>
      </c>
      <c r="BO315" s="283">
        <f t="shared" si="1101"/>
        <v>71.2</v>
      </c>
      <c r="BP315" s="283">
        <f t="shared" si="1101"/>
        <v>85.100000000000009</v>
      </c>
      <c r="BQ315" s="283">
        <f t="shared" si="1101"/>
        <v>156.30000000000001</v>
      </c>
      <c r="BR315" s="283">
        <f t="shared" si="1101"/>
        <v>66.900000000000006</v>
      </c>
      <c r="BS315" s="283">
        <f t="shared" si="1101"/>
        <v>80.8</v>
      </c>
      <c r="BT315" s="283">
        <f t="shared" si="1101"/>
        <v>147.69999999999999</v>
      </c>
      <c r="BU315" s="283">
        <f t="shared" si="1101"/>
        <v>304</v>
      </c>
      <c r="BV315" s="283">
        <f t="shared" si="1101"/>
        <v>89.5</v>
      </c>
      <c r="BW315" s="283">
        <f t="shared" si="1101"/>
        <v>95.40000000000002</v>
      </c>
      <c r="BX315" s="283">
        <f t="shared" si="1101"/>
        <v>184.90000000000003</v>
      </c>
      <c r="BY315" s="283">
        <f t="shared" si="1101"/>
        <v>82</v>
      </c>
      <c r="BZ315" s="283">
        <f t="shared" si="1101"/>
        <v>83.699999999999989</v>
      </c>
      <c r="CA315" s="283">
        <f t="shared" si="1101"/>
        <v>165.7</v>
      </c>
      <c r="CB315" s="283">
        <f t="shared" si="1101"/>
        <v>350.60000000000008</v>
      </c>
      <c r="CC315" s="283">
        <f t="shared" si="1101"/>
        <v>97.6</v>
      </c>
      <c r="CD315" s="283">
        <f t="shared" si="1101"/>
        <v>106.10000000000001</v>
      </c>
      <c r="CE315" s="283">
        <f t="shared" si="1101"/>
        <v>203.70000000000002</v>
      </c>
      <c r="CF315" s="283">
        <f t="shared" si="1101"/>
        <v>73.500000000000014</v>
      </c>
      <c r="CG315" s="283">
        <f t="shared" si="1101"/>
        <v>77.09999999999998</v>
      </c>
      <c r="CH315" s="283">
        <f t="shared" si="1101"/>
        <v>150.6</v>
      </c>
      <c r="CI315" s="283">
        <f t="shared" si="1101"/>
        <v>354.3</v>
      </c>
      <c r="CJ315" s="283">
        <f t="shared" si="1101"/>
        <v>88.5</v>
      </c>
      <c r="CK315" s="283">
        <f t="shared" ref="CK315:DC315" si="1102">CK48</f>
        <v>103.80000000000001</v>
      </c>
      <c r="CL315" s="283">
        <f t="shared" si="1102"/>
        <v>192.29999999999998</v>
      </c>
      <c r="CM315" s="283">
        <f t="shared" si="1102"/>
        <v>96.899999999999977</v>
      </c>
      <c r="CN315" s="283">
        <f t="shared" si="1102"/>
        <v>103.30000000000003</v>
      </c>
      <c r="CO315" s="283">
        <f t="shared" si="1102"/>
        <v>200.2</v>
      </c>
      <c r="CP315" s="283">
        <f t="shared" si="1102"/>
        <v>392.49999999999994</v>
      </c>
      <c r="CQ315" s="283">
        <f t="shared" si="1102"/>
        <v>107.1</v>
      </c>
      <c r="CR315" s="283">
        <f t="shared" si="1102"/>
        <v>106.90000000000002</v>
      </c>
      <c r="CS315" s="283">
        <f t="shared" si="1102"/>
        <v>214</v>
      </c>
      <c r="CT315" s="283">
        <f t="shared" si="1102"/>
        <v>90.6</v>
      </c>
      <c r="CU315" s="283">
        <f t="shared" si="1102"/>
        <v>99.999999999999986</v>
      </c>
      <c r="CV315" s="283">
        <f t="shared" si="1102"/>
        <v>190.59999999999997</v>
      </c>
      <c r="CW315" s="283">
        <f t="shared" si="1102"/>
        <v>404.59999999999997</v>
      </c>
      <c r="CX315" s="283">
        <f t="shared" si="1102"/>
        <v>124.40000000000003</v>
      </c>
      <c r="CY315" s="283">
        <f t="shared" si="1102"/>
        <v>134.19999999999999</v>
      </c>
      <c r="CZ315" s="283">
        <f t="shared" si="1102"/>
        <v>258.59999999999997</v>
      </c>
      <c r="DA315" s="283">
        <f t="shared" si="1102"/>
        <v>107.2</v>
      </c>
      <c r="DB315" s="283">
        <f t="shared" si="1102"/>
        <v>120.99999999999997</v>
      </c>
      <c r="DC315" s="283">
        <f t="shared" si="1102"/>
        <v>228.20000000000002</v>
      </c>
      <c r="DD315" s="673">
        <f>DD48</f>
        <v>486.8</v>
      </c>
      <c r="DE315" s="283">
        <f t="shared" ref="DE315:DJ315" si="1103">DE48</f>
        <v>124.90000000000002</v>
      </c>
      <c r="DF315" s="283">
        <f t="shared" si="1103"/>
        <v>163.1</v>
      </c>
      <c r="DG315" s="283">
        <f t="shared" si="1103"/>
        <v>288</v>
      </c>
      <c r="DH315" s="283">
        <f t="shared" si="1103"/>
        <v>167.9</v>
      </c>
      <c r="DI315" s="283">
        <f t="shared" si="1103"/>
        <v>173.1</v>
      </c>
      <c r="DJ315" s="283">
        <f t="shared" si="1103"/>
        <v>341</v>
      </c>
      <c r="DK315" s="673">
        <f>DK48</f>
        <v>629.00000000000011</v>
      </c>
      <c r="DL315" s="318">
        <f t="shared" ref="DL315:DQ315" si="1104">DL48</f>
        <v>180.50000000000003</v>
      </c>
      <c r="DM315" s="283">
        <f t="shared" si="1104"/>
        <v>205.7</v>
      </c>
      <c r="DN315" s="283">
        <f t="shared" si="1104"/>
        <v>386.20000000000005</v>
      </c>
      <c r="DO315" s="283">
        <f t="shared" si="1104"/>
        <v>204.10000000000002</v>
      </c>
      <c r="DP315" s="283">
        <f t="shared" si="1104"/>
        <v>225.3</v>
      </c>
      <c r="DQ315" s="283">
        <f t="shared" si="1104"/>
        <v>429.40000000000003</v>
      </c>
      <c r="DR315" s="673">
        <f>DR48</f>
        <v>815.6</v>
      </c>
      <c r="DS315" s="283">
        <f t="shared" ref="DS315:DX315" si="1105">DS48</f>
        <v>208.4</v>
      </c>
      <c r="DT315" s="283">
        <f t="shared" si="1105"/>
        <v>218.50000000000003</v>
      </c>
      <c r="DU315" s="283">
        <f t="shared" si="1105"/>
        <v>426.90000000000003</v>
      </c>
      <c r="DV315" s="283">
        <f t="shared" si="1105"/>
        <v>165.39999999999998</v>
      </c>
      <c r="DW315" s="283">
        <f t="shared" si="1105"/>
        <v>187.5</v>
      </c>
      <c r="DX315" s="283">
        <f t="shared" si="1105"/>
        <v>352.89999999999992</v>
      </c>
      <c r="DY315" s="673">
        <f>DY48</f>
        <v>779.8</v>
      </c>
      <c r="DZ315" s="283">
        <f t="shared" ref="DZ315:EE315" si="1106">DZ48</f>
        <v>233.90000000000003</v>
      </c>
      <c r="EA315" s="283">
        <f t="shared" si="1106"/>
        <v>239.99999999999994</v>
      </c>
      <c r="EB315" s="283">
        <f t="shared" si="1106"/>
        <v>473.89999999999992</v>
      </c>
      <c r="EC315" s="283">
        <f t="shared" si="1106"/>
        <v>234.10000000000002</v>
      </c>
      <c r="ED315" s="283">
        <f t="shared" si="1106"/>
        <v>232.80000000000007</v>
      </c>
      <c r="EE315" s="283">
        <f t="shared" si="1106"/>
        <v>466.90000000000003</v>
      </c>
      <c r="EF315" s="673">
        <f>EF48</f>
        <v>940.80000000000007</v>
      </c>
      <c r="EG315" s="283">
        <f t="shared" ref="EG315:EL315" si="1107">EG48</f>
        <v>235.39999999999998</v>
      </c>
      <c r="EH315" s="283">
        <f t="shared" si="1107"/>
        <v>210.99999999999994</v>
      </c>
      <c r="EI315" s="283">
        <f t="shared" si="1107"/>
        <v>446.40000000000009</v>
      </c>
      <c r="EJ315" s="283">
        <f t="shared" si="1107"/>
        <v>207</v>
      </c>
      <c r="EK315" s="283">
        <f t="shared" si="1107"/>
        <v>209.79999999999998</v>
      </c>
      <c r="EL315" s="283">
        <f t="shared" si="1107"/>
        <v>416.79999999999995</v>
      </c>
      <c r="EM315" s="673">
        <f>EM48</f>
        <v>863.2</v>
      </c>
      <c r="EN315" s="283">
        <f t="shared" ref="EN315:EP315" si="1108">EN48</f>
        <v>169</v>
      </c>
      <c r="EO315" s="283">
        <f t="shared" si="1108"/>
        <v>251.8</v>
      </c>
      <c r="EP315" s="283">
        <f t="shared" si="1108"/>
        <v>410.00000000000006</v>
      </c>
      <c r="EQ315" s="318">
        <f t="shared" ref="EQ315" si="1109">EQ48</f>
        <v>239.9</v>
      </c>
    </row>
    <row r="318" spans="2:178" x14ac:dyDescent="0.3">
      <c r="B318" s="253" t="s">
        <v>671</v>
      </c>
    </row>
    <row r="319" spans="2:178" x14ac:dyDescent="0.3">
      <c r="B319" s="253" t="s">
        <v>672</v>
      </c>
      <c r="BU319" s="320"/>
      <c r="BV319" s="320"/>
      <c r="BW319" s="320"/>
      <c r="BX319" s="320"/>
      <c r="BY319" s="320"/>
      <c r="BZ319" s="320"/>
      <c r="CA319" s="320"/>
      <c r="CB319" s="320"/>
      <c r="CC319" s="320"/>
      <c r="CD319" s="320"/>
      <c r="CE319" s="320"/>
      <c r="CF319" s="320"/>
      <c r="CG319" s="320"/>
      <c r="CH319" s="320"/>
      <c r="CI319" s="320"/>
      <c r="CJ319" s="320"/>
      <c r="CK319" s="320"/>
      <c r="CL319" s="320"/>
      <c r="CM319" s="320"/>
      <c r="CN319" s="320"/>
      <c r="CO319" s="320"/>
      <c r="CP319" s="320"/>
      <c r="CQ319" s="320"/>
      <c r="CR319" s="320"/>
      <c r="CS319" s="320"/>
      <c r="CT319" s="320"/>
      <c r="CU319" s="320"/>
      <c r="CV319" s="320"/>
      <c r="CW319" s="320"/>
      <c r="CX319" s="320"/>
      <c r="CY319" s="320"/>
      <c r="CZ319" s="320"/>
      <c r="DA319" s="320"/>
      <c r="DB319" s="320"/>
      <c r="DC319" s="320"/>
      <c r="DE319" s="320"/>
      <c r="DF319" s="320"/>
      <c r="DG319" s="320"/>
      <c r="DH319" s="320"/>
      <c r="DI319" s="320"/>
      <c r="DJ319" s="320"/>
      <c r="DL319" s="344"/>
      <c r="DN319" s="320"/>
      <c r="DO319" s="320"/>
      <c r="DS319" s="320"/>
      <c r="DU319" s="320"/>
      <c r="DV319" s="320"/>
      <c r="DZ319" s="320"/>
      <c r="EB319" s="320"/>
      <c r="EC319" s="320"/>
      <c r="EG319" s="320"/>
      <c r="EI319" s="320"/>
      <c r="EJ319" s="320"/>
      <c r="EN319" s="320"/>
      <c r="EP319" s="320"/>
      <c r="EQ319" s="344"/>
    </row>
    <row r="320" spans="2:178" x14ac:dyDescent="0.3">
      <c r="B320" s="253" t="s">
        <v>673</v>
      </c>
      <c r="DD320" s="583"/>
      <c r="DK320" s="583"/>
      <c r="DM320" s="320"/>
      <c r="DP320" s="320"/>
      <c r="DQ320" s="320"/>
      <c r="DR320" s="583"/>
      <c r="DT320" s="320"/>
      <c r="DW320" s="320"/>
      <c r="DX320" s="320"/>
      <c r="DY320" s="583"/>
      <c r="EA320" s="320"/>
      <c r="ED320" s="320"/>
      <c r="EE320" s="320"/>
      <c r="EF320" s="583"/>
      <c r="EH320" s="320"/>
      <c r="EK320" s="320"/>
      <c r="EL320" s="320"/>
      <c r="EM320" s="583"/>
      <c r="EO320" s="320"/>
      <c r="ER320" s="320"/>
      <c r="ES320" s="320"/>
      <c r="EU320" s="320"/>
      <c r="EV320" s="320"/>
      <c r="EW320" s="320"/>
      <c r="EX320" s="320"/>
      <c r="EY320" s="320"/>
      <c r="EZ320" s="320"/>
    </row>
    <row r="321" spans="73:156" x14ac:dyDescent="0.3">
      <c r="BU321" s="320"/>
      <c r="BV321" s="320"/>
      <c r="BW321" s="320"/>
      <c r="BX321" s="320"/>
      <c r="BY321" s="320"/>
      <c r="BZ321" s="320"/>
      <c r="CA321" s="320"/>
      <c r="CB321" s="320"/>
      <c r="CC321" s="320"/>
      <c r="CD321" s="320"/>
      <c r="CE321" s="320"/>
      <c r="CF321" s="320"/>
      <c r="CG321" s="320"/>
      <c r="CH321" s="320"/>
      <c r="CI321" s="320"/>
      <c r="CJ321" s="320"/>
      <c r="CK321" s="320"/>
      <c r="CL321" s="320"/>
      <c r="CM321" s="320"/>
      <c r="CN321" s="320"/>
      <c r="CO321" s="320"/>
      <c r="CP321" s="320"/>
      <c r="CQ321" s="320"/>
      <c r="CR321" s="320"/>
      <c r="CS321" s="320"/>
      <c r="CT321" s="320"/>
      <c r="CU321" s="320"/>
      <c r="CV321" s="320"/>
      <c r="CW321" s="320"/>
      <c r="CX321" s="320"/>
      <c r="CY321" s="320"/>
      <c r="CZ321" s="320"/>
      <c r="DA321" s="320"/>
      <c r="DB321" s="320"/>
      <c r="DC321" s="320"/>
      <c r="DD321" s="583"/>
      <c r="DE321" s="320"/>
      <c r="DF321" s="320"/>
      <c r="DG321" s="320"/>
      <c r="DH321" s="320"/>
      <c r="DI321" s="320"/>
      <c r="DJ321" s="320"/>
      <c r="DK321" s="583"/>
      <c r="DL321" s="344"/>
      <c r="DM321" s="320"/>
      <c r="DN321" s="320"/>
      <c r="DO321" s="320"/>
      <c r="DP321" s="320"/>
      <c r="DQ321" s="320"/>
      <c r="DR321" s="583"/>
      <c r="DS321" s="320"/>
      <c r="DT321" s="320"/>
      <c r="DU321" s="320"/>
      <c r="DV321" s="320"/>
      <c r="DW321" s="320"/>
      <c r="DX321" s="320"/>
      <c r="DY321" s="583"/>
      <c r="DZ321" s="320"/>
      <c r="EA321" s="320"/>
      <c r="EB321" s="320"/>
      <c r="EC321" s="320"/>
      <c r="ED321" s="320"/>
      <c r="EE321" s="320"/>
      <c r="EF321" s="583"/>
      <c r="EG321" s="320"/>
      <c r="EH321" s="320"/>
      <c r="EI321" s="320"/>
      <c r="EJ321" s="320"/>
      <c r="EK321" s="320"/>
      <c r="EL321" s="320"/>
      <c r="EM321" s="583"/>
      <c r="EN321" s="320"/>
      <c r="EO321" s="320"/>
      <c r="EP321" s="320"/>
      <c r="EQ321" s="344"/>
      <c r="ER321" s="320"/>
      <c r="ES321" s="320"/>
      <c r="EU321" s="320"/>
      <c r="EV321" s="320"/>
      <c r="EW321" s="320"/>
      <c r="EX321" s="320"/>
      <c r="EY321" s="320"/>
      <c r="EZ321" s="320"/>
    </row>
    <row r="322" spans="73:156" x14ac:dyDescent="0.3">
      <c r="BU322" s="320"/>
      <c r="BV322" s="320"/>
      <c r="BW322" s="320"/>
      <c r="BX322" s="320"/>
      <c r="BY322" s="320"/>
      <c r="BZ322" s="320"/>
      <c r="CA322" s="320"/>
      <c r="CB322" s="320"/>
      <c r="CC322" s="320"/>
      <c r="CD322" s="320"/>
      <c r="CE322" s="320"/>
      <c r="CF322" s="320"/>
      <c r="CG322" s="320"/>
      <c r="CH322" s="320"/>
      <c r="CI322" s="320"/>
      <c r="CJ322" s="320"/>
      <c r="CK322" s="320"/>
      <c r="CL322" s="320"/>
      <c r="CM322" s="320"/>
      <c r="CN322" s="320"/>
      <c r="CO322" s="320"/>
      <c r="CP322" s="320"/>
      <c r="CQ322" s="320"/>
      <c r="CR322" s="320"/>
      <c r="CS322" s="320"/>
      <c r="CT322" s="320"/>
      <c r="CU322" s="320"/>
      <c r="CV322" s="320"/>
      <c r="CW322" s="320"/>
      <c r="CX322" s="320"/>
      <c r="CY322" s="320"/>
      <c r="CZ322" s="320"/>
      <c r="DA322" s="320"/>
      <c r="DB322" s="320"/>
      <c r="DC322" s="320"/>
      <c r="DD322" s="583"/>
      <c r="DE322" s="320"/>
      <c r="DF322" s="320"/>
      <c r="DG322" s="320"/>
      <c r="DH322" s="320"/>
      <c r="DI322" s="320"/>
      <c r="DJ322" s="320"/>
      <c r="DK322" s="583"/>
      <c r="DL322" s="344"/>
      <c r="DM322" s="320"/>
      <c r="DN322" s="320"/>
      <c r="DO322" s="320"/>
      <c r="DP322" s="320"/>
      <c r="DQ322" s="320"/>
      <c r="DR322" s="583"/>
      <c r="DS322" s="320"/>
      <c r="DT322" s="320"/>
      <c r="DU322" s="320"/>
      <c r="DV322" s="320"/>
      <c r="DW322" s="320"/>
      <c r="DX322" s="320"/>
      <c r="DY322" s="583"/>
      <c r="DZ322" s="320"/>
      <c r="EA322" s="320"/>
      <c r="EB322" s="320"/>
      <c r="EC322" s="320"/>
      <c r="ED322" s="320"/>
      <c r="EE322" s="320"/>
      <c r="EF322" s="583"/>
      <c r="EG322" s="320"/>
      <c r="EH322" s="320"/>
      <c r="EI322" s="320"/>
      <c r="EJ322" s="320"/>
      <c r="EK322" s="320"/>
      <c r="EL322" s="320"/>
      <c r="EM322" s="583"/>
      <c r="EN322" s="320"/>
      <c r="EO322" s="320"/>
      <c r="EP322" s="320"/>
      <c r="EQ322" s="344"/>
      <c r="ER322" s="320"/>
      <c r="ES322" s="320"/>
      <c r="EU322" s="320"/>
      <c r="EV322" s="320"/>
      <c r="EW322" s="320"/>
      <c r="EX322" s="320"/>
      <c r="EY322" s="320"/>
      <c r="EZ322" s="320"/>
    </row>
    <row r="345" spans="179:179" x14ac:dyDescent="0.3">
      <c r="FW345" s="628"/>
    </row>
    <row r="346" spans="179:179" x14ac:dyDescent="0.3">
      <c r="FW346" s="652"/>
    </row>
    <row r="347" spans="179:179" x14ac:dyDescent="0.3">
      <c r="FW347" s="653"/>
    </row>
    <row r="348" spans="179:179" x14ac:dyDescent="0.3">
      <c r="FW348" s="626"/>
    </row>
    <row r="349" spans="179:179" x14ac:dyDescent="0.3">
      <c r="FW349" s="652"/>
    </row>
    <row r="350" spans="179:179" x14ac:dyDescent="0.3">
      <c r="FW350" s="653"/>
    </row>
    <row r="351" spans="179:179" x14ac:dyDescent="0.3">
      <c r="FW351" s="650"/>
    </row>
  </sheetData>
  <phoneticPr fontId="31" type="noConversion"/>
  <conditionalFormatting sqref="C2:C4">
    <cfRule type="expression" dxfId="1" priority="1">
      <formula>SUM($D$219:$EM$219)&lt;&gt;0</formula>
    </cfRule>
  </conditionalFormatting>
  <conditionalFormatting sqref="C1">
    <cfRule type="expression" dxfId="0" priority="2">
      <formula>SUM($D$148:$EM$148,$D$158:$EM$158)&lt;&gt;0</formula>
    </cfRule>
  </conditionalFormatting>
  <pageMargins left="0.74803149606299213" right="0.74803149606299213" top="0.98425196850393704" bottom="0.98425196850393704" header="0.51181102362204722" footer="0.51181102362204722"/>
  <pageSetup paperSize="8" scale="67" fitToHeight="0" orientation="landscape" r:id="rId1"/>
  <headerFooter alignWithMargins="0">
    <oddHeader>&amp;A</oddHeader>
    <oddFooter>Page &amp;P of &amp;N</oddFooter>
  </headerFooter>
  <rowBreaks count="1" manualBreakCount="1">
    <brk id="91" max="142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3129-E021-4762-99BB-DB3A6CD90B5C}">
  <dimension ref="A1:B44"/>
  <sheetViews>
    <sheetView workbookViewId="0"/>
  </sheetViews>
  <sheetFormatPr defaultRowHeight="14.4" x14ac:dyDescent="0.3"/>
  <cols>
    <col min="1" max="1" width="29.09765625" customWidth="1"/>
  </cols>
  <sheetData>
    <row r="1" spans="1:2" x14ac:dyDescent="0.3">
      <c r="A1" s="737" t="s">
        <v>1028</v>
      </c>
      <c r="B1" s="745" t="s">
        <v>1029</v>
      </c>
    </row>
    <row r="2" spans="1:2" x14ac:dyDescent="0.3">
      <c r="A2" s="737" t="s">
        <v>1030</v>
      </c>
      <c r="B2" s="737" t="s">
        <v>1031</v>
      </c>
    </row>
    <row r="3" spans="1:2" x14ac:dyDescent="0.3">
      <c r="A3" s="737" t="s">
        <v>1032</v>
      </c>
      <c r="B3" s="737" t="s">
        <v>1033</v>
      </c>
    </row>
    <row r="4" spans="1:2" x14ac:dyDescent="0.3">
      <c r="A4" s="737" t="s">
        <v>1034</v>
      </c>
      <c r="B4" s="737" t="s">
        <v>1035</v>
      </c>
    </row>
    <row r="5" spans="1:2" x14ac:dyDescent="0.3">
      <c r="A5" s="737" t="s">
        <v>1036</v>
      </c>
      <c r="B5" s="737" t="s">
        <v>1037</v>
      </c>
    </row>
    <row r="6" spans="1:2" x14ac:dyDescent="0.3">
      <c r="A6" s="737" t="s">
        <v>1038</v>
      </c>
      <c r="B6" s="737"/>
    </row>
    <row r="7" spans="1:2" x14ac:dyDescent="0.3">
      <c r="A7" s="737" t="s">
        <v>1</v>
      </c>
      <c r="B7" s="737" t="s">
        <v>1039</v>
      </c>
    </row>
    <row r="8" spans="1:2" x14ac:dyDescent="0.3">
      <c r="A8" s="737" t="s">
        <v>1040</v>
      </c>
      <c r="B8" s="737" t="s">
        <v>1041</v>
      </c>
    </row>
    <row r="9" spans="1:2" x14ac:dyDescent="0.3">
      <c r="A9" s="737" t="s">
        <v>1042</v>
      </c>
      <c r="B9" s="737" t="s">
        <v>1043</v>
      </c>
    </row>
    <row r="10" spans="1:2" x14ac:dyDescent="0.3">
      <c r="A10" s="737" t="s">
        <v>1044</v>
      </c>
      <c r="B10" s="737"/>
    </row>
    <row r="11" spans="1:2" x14ac:dyDescent="0.3">
      <c r="A11" s="737" t="s">
        <v>1045</v>
      </c>
      <c r="B11" s="737"/>
    </row>
    <row r="12" spans="1:2" x14ac:dyDescent="0.3">
      <c r="A12" s="737" t="s">
        <v>1046</v>
      </c>
      <c r="B12" s="737"/>
    </row>
    <row r="13" spans="1:2" x14ac:dyDescent="0.3">
      <c r="A13" s="737" t="s">
        <v>1047</v>
      </c>
      <c r="B13" s="737"/>
    </row>
    <row r="14" spans="1:2" x14ac:dyDescent="0.3">
      <c r="A14" s="737" t="s">
        <v>1048</v>
      </c>
      <c r="B14" s="737"/>
    </row>
    <row r="15" spans="1:2" x14ac:dyDescent="0.3">
      <c r="A15" s="737" t="s">
        <v>1049</v>
      </c>
      <c r="B15" s="737"/>
    </row>
    <row r="16" spans="1:2" x14ac:dyDescent="0.3">
      <c r="A16" s="737" t="s">
        <v>1050</v>
      </c>
      <c r="B16" s="737"/>
    </row>
    <row r="17" spans="1:2" x14ac:dyDescent="0.3">
      <c r="A17" s="737" t="s">
        <v>1051</v>
      </c>
      <c r="B17" s="737" t="s">
        <v>1052</v>
      </c>
    </row>
    <row r="18" spans="1:2" x14ac:dyDescent="0.3">
      <c r="A18" s="737" t="s">
        <v>1053</v>
      </c>
      <c r="B18" s="737" t="s">
        <v>1054</v>
      </c>
    </row>
    <row r="19" spans="1:2" x14ac:dyDescent="0.3">
      <c r="A19" s="737" t="s">
        <v>1055</v>
      </c>
      <c r="B19" s="737" t="s">
        <v>645</v>
      </c>
    </row>
    <row r="20" spans="1:2" x14ac:dyDescent="0.3">
      <c r="A20" s="737" t="s">
        <v>1056</v>
      </c>
      <c r="B20" s="737"/>
    </row>
    <row r="21" spans="1:2" x14ac:dyDescent="0.3">
      <c r="A21" s="737" t="s">
        <v>1057</v>
      </c>
      <c r="B21" s="737" t="s">
        <v>645</v>
      </c>
    </row>
    <row r="22" spans="1:2" x14ac:dyDescent="0.3">
      <c r="A22" s="737" t="s">
        <v>644</v>
      </c>
      <c r="B22" s="737" t="s">
        <v>1058</v>
      </c>
    </row>
    <row r="23" spans="1:2" x14ac:dyDescent="0.3">
      <c r="A23" s="737" t="s">
        <v>1059</v>
      </c>
      <c r="B23" s="745" t="s">
        <v>1060</v>
      </c>
    </row>
    <row r="24" spans="1:2" x14ac:dyDescent="0.3">
      <c r="A24" s="737" t="s">
        <v>232</v>
      </c>
      <c r="B24" s="737" t="s">
        <v>637</v>
      </c>
    </row>
    <row r="25" spans="1:2" x14ac:dyDescent="0.3">
      <c r="A25" s="737" t="s">
        <v>1061</v>
      </c>
      <c r="B25" s="737" t="s">
        <v>1062</v>
      </c>
    </row>
    <row r="26" spans="1:2" x14ac:dyDescent="0.3">
      <c r="A26" s="737" t="s">
        <v>1063</v>
      </c>
      <c r="B26" s="737" t="s">
        <v>1064</v>
      </c>
    </row>
    <row r="27" spans="1:2" x14ac:dyDescent="0.3">
      <c r="A27" s="737" t="s">
        <v>1065</v>
      </c>
      <c r="B27" s="737" t="s">
        <v>1066</v>
      </c>
    </row>
    <row r="28" spans="1:2" x14ac:dyDescent="0.3">
      <c r="A28" s="737" t="s">
        <v>1067</v>
      </c>
      <c r="B28" s="737" t="s">
        <v>1068</v>
      </c>
    </row>
    <row r="29" spans="1:2" x14ac:dyDescent="0.3">
      <c r="A29" s="737" t="s">
        <v>1069</v>
      </c>
      <c r="B29" s="737"/>
    </row>
    <row r="30" spans="1:2" x14ac:dyDescent="0.3">
      <c r="A30" s="737" t="s">
        <v>1070</v>
      </c>
      <c r="B30" s="737"/>
    </row>
    <row r="31" spans="1:2" x14ac:dyDescent="0.3">
      <c r="A31" s="737" t="s">
        <v>1071</v>
      </c>
      <c r="B31" s="737"/>
    </row>
    <row r="32" spans="1:2" x14ac:dyDescent="0.3">
      <c r="A32" s="737" t="s">
        <v>1072</v>
      </c>
      <c r="B32" s="737"/>
    </row>
    <row r="33" spans="1:2" x14ac:dyDescent="0.3">
      <c r="A33" s="737" t="s">
        <v>1073</v>
      </c>
      <c r="B33" s="737"/>
    </row>
    <row r="34" spans="1:2" x14ac:dyDescent="0.3">
      <c r="A34" s="737" t="s">
        <v>1074</v>
      </c>
      <c r="B34" s="737"/>
    </row>
    <row r="35" spans="1:2" x14ac:dyDescent="0.3">
      <c r="A35" s="737" t="s">
        <v>1075</v>
      </c>
      <c r="B35" s="737" t="s">
        <v>1076</v>
      </c>
    </row>
    <row r="36" spans="1:2" x14ac:dyDescent="0.3">
      <c r="A36" s="737" t="s">
        <v>1077</v>
      </c>
      <c r="B36" s="737" t="s">
        <v>1078</v>
      </c>
    </row>
    <row r="37" spans="1:2" x14ac:dyDescent="0.3">
      <c r="A37" s="737" t="s">
        <v>1079</v>
      </c>
      <c r="B37" s="737" t="s">
        <v>1080</v>
      </c>
    </row>
    <row r="38" spans="1:2" x14ac:dyDescent="0.3">
      <c r="A38" s="737" t="s">
        <v>1081</v>
      </c>
      <c r="B38" s="737" t="s">
        <v>1082</v>
      </c>
    </row>
    <row r="39" spans="1:2" x14ac:dyDescent="0.3">
      <c r="A39" s="737" t="s">
        <v>1083</v>
      </c>
      <c r="B39" s="737" t="s">
        <v>1084</v>
      </c>
    </row>
    <row r="40" spans="1:2" x14ac:dyDescent="0.3">
      <c r="A40" s="737" t="s">
        <v>1085</v>
      </c>
      <c r="B40" s="737" t="s">
        <v>1086</v>
      </c>
    </row>
    <row r="41" spans="1:2" x14ac:dyDescent="0.3">
      <c r="A41" s="737" t="s">
        <v>1087</v>
      </c>
      <c r="B41" s="737" t="s">
        <v>1088</v>
      </c>
    </row>
    <row r="42" spans="1:2" x14ac:dyDescent="0.3">
      <c r="A42" s="737" t="s">
        <v>1089</v>
      </c>
      <c r="B42" s="737"/>
    </row>
    <row r="43" spans="1:2" x14ac:dyDescent="0.3">
      <c r="A43" s="737" t="s">
        <v>1090</v>
      </c>
      <c r="B43" s="737"/>
    </row>
    <row r="44" spans="1:2" x14ac:dyDescent="0.3">
      <c r="A44" s="737" t="s">
        <v>1091</v>
      </c>
      <c r="B44" s="737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C08C8-8ECA-4FB1-9441-10AE7782AA02}">
  <dimension ref="A1:A13"/>
  <sheetViews>
    <sheetView workbookViewId="0">
      <selection activeCell="Z1" sqref="Z1"/>
    </sheetView>
  </sheetViews>
  <sheetFormatPr defaultRowHeight="14.4" x14ac:dyDescent="0.3"/>
  <cols>
    <col min="1" max="1" width="28.296875" bestFit="1" customWidth="1"/>
  </cols>
  <sheetData>
    <row r="1" spans="1:1" x14ac:dyDescent="0.3">
      <c r="A1" s="737" t="s">
        <v>1093</v>
      </c>
    </row>
    <row r="2" spans="1:1" x14ac:dyDescent="0.3">
      <c r="A2" s="737" t="s">
        <v>1094</v>
      </c>
    </row>
    <row r="3" spans="1:1" x14ac:dyDescent="0.3">
      <c r="A3" s="737" t="s">
        <v>1095</v>
      </c>
    </row>
    <row r="4" spans="1:1" x14ac:dyDescent="0.3">
      <c r="A4" s="737" t="s">
        <v>1096</v>
      </c>
    </row>
    <row r="5" spans="1:1" x14ac:dyDescent="0.3">
      <c r="A5" s="737" t="s">
        <v>1097</v>
      </c>
    </row>
    <row r="6" spans="1:1" x14ac:dyDescent="0.3">
      <c r="A6" s="737" t="s">
        <v>1098</v>
      </c>
    </row>
    <row r="7" spans="1:1" x14ac:dyDescent="0.3">
      <c r="A7" s="737" t="s">
        <v>1099</v>
      </c>
    </row>
    <row r="8" spans="1:1" x14ac:dyDescent="0.3">
      <c r="A8" s="737" t="s">
        <v>1100</v>
      </c>
    </row>
    <row r="9" spans="1:1" x14ac:dyDescent="0.3">
      <c r="A9" s="737" t="s">
        <v>1101</v>
      </c>
    </row>
    <row r="10" spans="1:1" x14ac:dyDescent="0.3">
      <c r="A10" s="737" t="s">
        <v>1102</v>
      </c>
    </row>
    <row r="11" spans="1:1" x14ac:dyDescent="0.3">
      <c r="A11" s="737" t="s">
        <v>1103</v>
      </c>
    </row>
    <row r="12" spans="1:1" x14ac:dyDescent="0.3">
      <c r="A12" s="737" t="s">
        <v>1104</v>
      </c>
    </row>
    <row r="13" spans="1:1" x14ac:dyDescent="0.3">
      <c r="A13" s="737" t="s">
        <v>1105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56785405"><![CDATA[{"JHX-US^FE_SEGMENT_DATA(EBIT,MEAN,BUS,+1,,Y,'')":[676.05,149.225,46.2,-277.6]}]]></FdsFormulaCache>
</file>

<file path=customXml/itemProps1.xml><?xml version="1.0" encoding="utf-8"?>
<ds:datastoreItem xmlns:ds="http://schemas.openxmlformats.org/officeDocument/2006/customXml" ds:itemID="{230E4F99-193D-4E7C-9764-21D6888F3CFB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42</vt:i4>
      </vt:variant>
    </vt:vector>
  </HeadingPairs>
  <TitlesOfParts>
    <vt:vector size="48" baseType="lpstr">
      <vt:lpstr>ImportantDisclosures</vt:lpstr>
      <vt:lpstr>Financial Summary</vt:lpstr>
      <vt:lpstr>Valuation</vt:lpstr>
      <vt:lpstr>BS,CF and P&amp;L</vt:lpstr>
      <vt:lpstr>IndexInformation</vt:lpstr>
      <vt:lpstr>ModPubIndex</vt:lpstr>
      <vt:lpstr>InterestExpenseCopy</vt:lpstr>
      <vt:lpstr>InterestExpensePaste</vt:lpstr>
      <vt:lpstr>InterestIncomeCopy</vt:lpstr>
      <vt:lpstr>InterestIncomePaste</vt:lpstr>
      <vt:lpstr>Linking_1</vt:lpstr>
      <vt:lpstr>Linking_102</vt:lpstr>
      <vt:lpstr>Linking_109</vt:lpstr>
      <vt:lpstr>Linking_11</vt:lpstr>
      <vt:lpstr>Linking_123</vt:lpstr>
      <vt:lpstr>Linking_128</vt:lpstr>
      <vt:lpstr>Linking_130</vt:lpstr>
      <vt:lpstr>Linking_140</vt:lpstr>
      <vt:lpstr>Linking_141</vt:lpstr>
      <vt:lpstr>Linking_142</vt:lpstr>
      <vt:lpstr>Linking_144</vt:lpstr>
      <vt:lpstr>Linking_145</vt:lpstr>
      <vt:lpstr>Linking_15</vt:lpstr>
      <vt:lpstr>Linking_16</vt:lpstr>
      <vt:lpstr>Linking_19</vt:lpstr>
      <vt:lpstr>Linking_2</vt:lpstr>
      <vt:lpstr>Linking_29</vt:lpstr>
      <vt:lpstr>Linking_3</vt:lpstr>
      <vt:lpstr>Linking_31</vt:lpstr>
      <vt:lpstr>Linking_41</vt:lpstr>
      <vt:lpstr>Linking_43</vt:lpstr>
      <vt:lpstr>Linking_44</vt:lpstr>
      <vt:lpstr>Linking_52</vt:lpstr>
      <vt:lpstr>Linking_53</vt:lpstr>
      <vt:lpstr>Linking_59</vt:lpstr>
      <vt:lpstr>Linking_61</vt:lpstr>
      <vt:lpstr>Linking_78</vt:lpstr>
      <vt:lpstr>Linking_83</vt:lpstr>
      <vt:lpstr>Linking_87</vt:lpstr>
      <vt:lpstr>Linking_88</vt:lpstr>
      <vt:lpstr>Linking_89</vt:lpstr>
      <vt:lpstr>Linking_9</vt:lpstr>
      <vt:lpstr>Linking_90</vt:lpstr>
      <vt:lpstr>Per_share_data</vt:lpstr>
      <vt:lpstr>'BS,CF and P&amp;L'!Print_Area</vt:lpstr>
      <vt:lpstr>'Financial Summary'!Print_Area</vt:lpstr>
      <vt:lpstr>Valuation!Print_Area</vt:lpstr>
      <vt:lpstr>'BS,CF and P&amp;L'!Print_Titles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Turkmen, Fatih (IST)</dc:creator>
  <cp:lastModifiedBy>Kelly, Suzanne (Research)</cp:lastModifiedBy>
  <cp:lastPrinted>2026-02-11T06:14:53Z</cp:lastPrinted>
  <dcterms:created xsi:type="dcterms:W3CDTF">2022-11-16T00:13:34Z</dcterms:created>
  <dcterms:modified xsi:type="dcterms:W3CDTF">2026-02-11T22:02:48Z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119e6-c6cd-44b0-a5ee-ac1aff68c56e_Enabled">
    <vt:lpwstr>true</vt:lpwstr>
  </property>
  <property fmtid="{D5CDD505-2E9C-101B-9397-08002B2CF9AE}" pid="3" name="MSIP_Label_07f119e6-c6cd-44b0-a5ee-ac1aff68c56e_SetDate">
    <vt:lpwstr>2022-11-16T00:13:48Z</vt:lpwstr>
  </property>
  <property fmtid="{D5CDD505-2E9C-101B-9397-08002B2CF9AE}" pid="4" name="MSIP_Label_07f119e6-c6cd-44b0-a5ee-ac1aff68c56e_Method">
    <vt:lpwstr>Standard</vt:lpwstr>
  </property>
  <property fmtid="{D5CDD505-2E9C-101B-9397-08002B2CF9AE}" pid="5" name="MSIP_Label_07f119e6-c6cd-44b0-a5ee-ac1aff68c56e_Name">
    <vt:lpwstr>Confidential v1</vt:lpwstr>
  </property>
  <property fmtid="{D5CDD505-2E9C-101B-9397-08002B2CF9AE}" pid="6" name="MSIP_Label_07f119e6-c6cd-44b0-a5ee-ac1aff68c56e_SiteId">
    <vt:lpwstr>e29b8111-49f8-418d-ac2a-935335a52614</vt:lpwstr>
  </property>
  <property fmtid="{D5CDD505-2E9C-101B-9397-08002B2CF9AE}" pid="7" name="MSIP_Label_07f119e6-c6cd-44b0-a5ee-ac1aff68c56e_ActionId">
    <vt:lpwstr>0a8b3d8e-7f2d-4dfd-a6c9-87eed349cf54</vt:lpwstr>
  </property>
  <property fmtid="{D5CDD505-2E9C-101B-9397-08002B2CF9AE}" pid="8" name="MSIP_Label_07f119e6-c6cd-44b0-a5ee-ac1aff68c56e_ContentBits">
    <vt:lpwstr>0</vt:lpwstr>
  </property>
  <property fmtid="{D5CDD505-2E9C-101B-9397-08002B2CF9AE}" pid="9" name="ERModPubTicket">
    <vt:lpwstr>NA</vt:lpwstr>
  </property>
  <property fmtid="{D5CDD505-2E9C-101B-9397-08002B2CF9AE}" pid="10" name="ERModPubConfirmEmail">
    <vt:bool>false</vt:bool>
  </property>
  <property fmtid="{D5CDD505-2E9C-101B-9397-08002B2CF9AE}" pid="11" name="ERModPubUserEmail">
    <vt:lpwstr>sickjul@ms.com</vt:lpwstr>
  </property>
  <property fmtid="{D5CDD505-2E9C-101B-9397-08002B2CF9AE}" pid="12" name="ERModPubGCIMTagged">
    <vt:bool>true</vt:bool>
  </property>
  <property fmtid="{D5CDD505-2E9C-101B-9397-08002B2CF9AE}" pid="13" name="ERCompanyUploadState">
    <vt:lpwstr>P</vt:lpwstr>
  </property>
  <property fmtid="{D5CDD505-2E9C-101B-9397-08002B2CF9AE}" pid="14" name="ERModPubCurrentYear">
    <vt:i4>2026</vt:i4>
  </property>
  <property fmtid="{D5CDD505-2E9C-101B-9397-08002B2CF9AE}" pid="15" name="ModelId">
    <vt:lpwstr>9784976</vt:lpwstr>
  </property>
  <property fmtid="{D5CDD505-2E9C-101B-9397-08002B2CF9AE}" pid="16" name="ERModPubCompanyName">
    <vt:lpwstr>James Hardie Industries plc</vt:lpwstr>
  </property>
</Properties>
</file>